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6.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R:\"/>
    </mc:Choice>
  </mc:AlternateContent>
  <xr:revisionPtr revIDLastSave="0" documentId="8_{53832E7C-0FD2-4A20-BFE7-3DD80CFF8129}" xr6:coauthVersionLast="47" xr6:coauthVersionMax="47" xr10:uidLastSave="{00000000-0000-0000-0000-000000000000}"/>
  <bookViews>
    <workbookView xWindow="-108" yWindow="-108" windowWidth="23256" windowHeight="12456" firstSheet="2" activeTab="4" xr2:uid="{22C568C2-D479-4482-99B5-8AF92A54DF9F}"/>
  </bookViews>
  <sheets>
    <sheet name="messy_products csv" sheetId="6" r:id="rId1"/>
    <sheet name="messy_order_items csv" sheetId="5" r:id="rId2"/>
    <sheet name="messy_orders csv" sheetId="4" r:id="rId3"/>
    <sheet name="messy_customers csv" sheetId="3" r:id="rId4"/>
    <sheet name="pivot table" sheetId="7" r:id="rId5"/>
    <sheet name="dashboard" sheetId="1" r:id="rId6"/>
  </sheets>
  <definedNames>
    <definedName name="_xlcn.WorksheetConnection_Book1messy_customers_csv" hidden="1">messy_customers_csv[]</definedName>
    <definedName name="_xlcn.WorksheetConnection_Book1messy_order_items_csv" hidden="1">messy_order_items_csv[]</definedName>
    <definedName name="_xlcn.WorksheetConnection_Book1messy_orders_csv" hidden="1">messy_orders_csv[]</definedName>
    <definedName name="_xlcn.WorksheetConnection_Book1messy_products_csv" hidden="1">messy_products_csv[]</definedName>
    <definedName name="ExternalData_2" localSheetId="3" hidden="1">'messy_customers csv'!$A$1:$D$501</definedName>
    <definedName name="ExternalData_3" localSheetId="2" hidden="1">'messy_orders csv'!$A$1:$D$1201</definedName>
    <definedName name="ExternalData_4" localSheetId="1" hidden="1">'messy_order_items csv'!$A$1:$D$2051</definedName>
    <definedName name="ExternalData_5" localSheetId="0" hidden="1">'messy_products csv'!$A$1:$D$81</definedName>
    <definedName name="Slicer_category">#N/A</definedName>
    <definedName name="Slicer_city">#N/A</definedName>
    <definedName name="Slicer_order_date__Year">#N/A</definedName>
    <definedName name="Slicer_payment_method">#N/A</definedName>
  </definedNames>
  <calcPr calcId="191029"/>
  <pivotCaches>
    <pivotCache cacheId="1" r:id="rId7"/>
    <pivotCache cacheId="2" r:id="rId8"/>
    <pivotCache cacheId="3" r:id="rId9"/>
    <pivotCache cacheId="4" r:id="rId10"/>
    <pivotCache cacheId="5" r:id="rId11"/>
    <pivotCache cacheId="6" r:id="rId12"/>
    <pivotCache cacheId="7" r:id="rId13"/>
    <pivotCache cacheId="8" r:id="rId14"/>
    <pivotCache cacheId="9" r:id="rId15"/>
    <pivotCache cacheId="10" r:id="rId16"/>
    <pivotCache cacheId="11" r:id="rId17"/>
    <pivotCache cacheId="12" r:id="rId18"/>
    <pivotCache cacheId="13" r:id="rId19"/>
    <pivotCache cacheId="14" r:id="rId20"/>
    <pivotCache cacheId="15" r:id="rId21"/>
    <pivotCache cacheId="16" r:id="rId22"/>
  </pivotCaches>
  <extLst>
    <ext xmlns:x14="http://schemas.microsoft.com/office/spreadsheetml/2009/9/main" uri="{876F7934-8845-4945-9796-88D515C7AA90}">
      <x14:pivotCaches>
        <pivotCache cacheId="17" r:id="rId23"/>
      </x14:pivotCaches>
    </ext>
    <ext xmlns:x14="http://schemas.microsoft.com/office/spreadsheetml/2009/9/main" uri="{BBE1A952-AA13-448e-AADC-164F8A28A991}">
      <x14:slicerCaches>
        <x14:slicerCache r:id="rId24"/>
        <x14:slicerCache r:id="rId25"/>
        <x14:slicerCache r:id="rId26"/>
        <x14:slicerCache r:id="rId2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messy_products_csv" name="messy_products_csv" connection="WorksheetConnection_Book1!messy_products_csv"/>
          <x15:modelTable id="messy_orders_csv" name="messy_orders_csv" connection="WorksheetConnection_Book1!messy_orders_csv"/>
          <x15:modelTable id="messy_order_items_csv" name="messy_order_items_csv" connection="WorksheetConnection_Book1!messy_order_items_csv"/>
          <x15:modelTable id="messy_customers_csv" name="messy_customers_csv" connection="WorksheetConnection_Book1!messy_customers_csv"/>
        </x15:modelTables>
        <x15:modelRelationships>
          <x15:modelRelationship fromTable="messy_order_items_csv" fromColumn="order_id" toTable="messy_orders_csv" toColumn="order_id"/>
          <x15:modelRelationship fromTable="messy_order_items_csv" fromColumn="product_id" toTable="messy_products_csv" toColumn="product_id"/>
          <x15:modelRelationship fromTable="messy_orders_csv" fromColumn="customer_id" toTable="messy_customers_csv" toColumn="customer_id"/>
        </x15:modelRelationships>
        <x15:extLst>
          <ext xmlns:x16="http://schemas.microsoft.com/office/spreadsheetml/2014/11/main" uri="{9835A34E-60A6-4A7C-AAB8-D5F71C897F49}">
            <x16:modelTimeGroupings>
              <x16:modelTimeGrouping tableName="messy_customers_csv" columnName="signup_date" columnId="signup_date">
                <x16:calculatedTimeColumn columnName="signup_date (Year)" columnId="signup_date (Year)" contentType="years" isSelected="1"/>
                <x16:calculatedTimeColumn columnName="signup_date (Quarter)" columnId="signup_date (Quarter)" contentType="quarters" isSelected="1"/>
                <x16:calculatedTimeColumn columnName="signup_date (Month Index)" columnId="signup_date (Month Index)" contentType="monthsindex" isSelected="1"/>
                <x16:calculatedTimeColumn columnName="signup_date (Month)" columnId="signup_date (Month)" contentType="months" isSelected="1"/>
              </x16:modelTimeGrouping>
              <x16:modelTimeGrouping tableName="messy_orders_csv" columnName="order_date" columnId="Column1">
                <x16:calculatedTimeColumn columnName="order_date (Year)" columnId="order_date (Year)" contentType="years" isSelected="1"/>
                <x16:calculatedTimeColumn columnName="order_date (Quarter)" columnId="order_date (Quarter)" contentType="quarters" isSelected="1"/>
                <x16:calculatedTimeColumn columnName="order_date (Month Index)" columnId="order_date (Month Index)" contentType="monthsindex" isSelected="1"/>
                <x16:calculatedTimeColumn columnName="order_date (Month)" columnId="order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2" i="1" l="1" a="1"/>
  <c r="W2" i="1" s="1"/>
  <c r="D43" i="7" a="1"/>
  <c r="D43" i="7" s="1"/>
  <c r="F2" i="5"/>
  <c r="F3" i="5"/>
  <c r="F4" i="5"/>
  <c r="F5" i="5"/>
  <c r="F6" i="5"/>
  <c r="F7" i="5"/>
  <c r="F8" i="5"/>
  <c r="F9" i="5"/>
  <c r="F10" i="5"/>
  <c r="F11" i="5"/>
  <c r="F12" i="5"/>
  <c r="F13" i="5"/>
  <c r="F14" i="5"/>
  <c r="F15" i="5"/>
  <c r="F16" i="5"/>
  <c r="F17" i="5"/>
  <c r="F18" i="5"/>
  <c r="F19" i="5"/>
  <c r="F20" i="5"/>
  <c r="F21" i="5"/>
  <c r="F22" i="5"/>
  <c r="F23" i="5"/>
  <c r="F24" i="5"/>
  <c r="F25" i="5"/>
  <c r="F26" i="5"/>
  <c r="F27" i="5"/>
  <c r="F28" i="5"/>
  <c r="F29" i="5"/>
  <c r="F30" i="5"/>
  <c r="F31" i="5"/>
  <c r="F32" i="5"/>
  <c r="F33" i="5"/>
  <c r="F34" i="5"/>
  <c r="F35" i="5"/>
  <c r="F36" i="5"/>
  <c r="F37" i="5"/>
  <c r="F38" i="5"/>
  <c r="F39" i="5"/>
  <c r="F40" i="5"/>
  <c r="F41" i="5"/>
  <c r="F42" i="5"/>
  <c r="F43" i="5"/>
  <c r="F44" i="5"/>
  <c r="F45" i="5"/>
  <c r="F46" i="5"/>
  <c r="F47" i="5"/>
  <c r="F48" i="5"/>
  <c r="F49" i="5"/>
  <c r="F50" i="5"/>
  <c r="F51" i="5"/>
  <c r="F52" i="5"/>
  <c r="F53" i="5"/>
  <c r="F54" i="5"/>
  <c r="F55" i="5"/>
  <c r="F56" i="5"/>
  <c r="F57" i="5"/>
  <c r="F58" i="5"/>
  <c r="F59" i="5"/>
  <c r="F60" i="5"/>
  <c r="F61" i="5"/>
  <c r="F62" i="5"/>
  <c r="F63" i="5"/>
  <c r="F64" i="5"/>
  <c r="F65" i="5"/>
  <c r="F66" i="5"/>
  <c r="F67" i="5"/>
  <c r="F68" i="5"/>
  <c r="F69" i="5"/>
  <c r="F70" i="5"/>
  <c r="F71" i="5"/>
  <c r="F72" i="5"/>
  <c r="F73" i="5"/>
  <c r="F74" i="5"/>
  <c r="F75" i="5"/>
  <c r="F76" i="5"/>
  <c r="F77" i="5"/>
  <c r="F78" i="5"/>
  <c r="F79" i="5"/>
  <c r="F80" i="5"/>
  <c r="F81" i="5"/>
  <c r="F82" i="5"/>
  <c r="F83" i="5"/>
  <c r="F84" i="5"/>
  <c r="F85" i="5"/>
  <c r="F86" i="5"/>
  <c r="F87" i="5"/>
  <c r="F88" i="5"/>
  <c r="F89" i="5"/>
  <c r="F90" i="5"/>
  <c r="F91" i="5"/>
  <c r="F92" i="5"/>
  <c r="F93" i="5"/>
  <c r="F94" i="5"/>
  <c r="F95" i="5"/>
  <c r="F96" i="5"/>
  <c r="F97" i="5"/>
  <c r="F98" i="5"/>
  <c r="F99" i="5"/>
  <c r="F100" i="5"/>
  <c r="F101" i="5"/>
  <c r="F102" i="5"/>
  <c r="F103" i="5"/>
  <c r="F104" i="5"/>
  <c r="F105" i="5"/>
  <c r="F106" i="5"/>
  <c r="F107" i="5"/>
  <c r="F108" i="5"/>
  <c r="F109" i="5"/>
  <c r="F110" i="5"/>
  <c r="F111" i="5"/>
  <c r="F112" i="5"/>
  <c r="F113" i="5"/>
  <c r="F114" i="5"/>
  <c r="F115" i="5"/>
  <c r="F116" i="5"/>
  <c r="F117" i="5"/>
  <c r="F118" i="5"/>
  <c r="F119" i="5"/>
  <c r="F120" i="5"/>
  <c r="F121" i="5"/>
  <c r="F122" i="5"/>
  <c r="F123" i="5"/>
  <c r="F124" i="5"/>
  <c r="F125" i="5"/>
  <c r="F126" i="5"/>
  <c r="F127" i="5"/>
  <c r="F128" i="5"/>
  <c r="F129" i="5"/>
  <c r="F130" i="5"/>
  <c r="F131" i="5"/>
  <c r="F132" i="5"/>
  <c r="F133" i="5"/>
  <c r="F134" i="5"/>
  <c r="F135" i="5"/>
  <c r="F136" i="5"/>
  <c r="F137" i="5"/>
  <c r="F138" i="5"/>
  <c r="F139" i="5"/>
  <c r="F140" i="5"/>
  <c r="F141" i="5"/>
  <c r="F142" i="5"/>
  <c r="F143" i="5"/>
  <c r="F144" i="5"/>
  <c r="F145" i="5"/>
  <c r="F146" i="5"/>
  <c r="F147" i="5"/>
  <c r="F148" i="5"/>
  <c r="F149" i="5"/>
  <c r="F150" i="5"/>
  <c r="F151" i="5"/>
  <c r="F152" i="5"/>
  <c r="F153" i="5"/>
  <c r="F154" i="5"/>
  <c r="F155" i="5"/>
  <c r="F156" i="5"/>
  <c r="F157" i="5"/>
  <c r="F158" i="5"/>
  <c r="F159" i="5"/>
  <c r="F160" i="5"/>
  <c r="F161" i="5"/>
  <c r="F162" i="5"/>
  <c r="F163" i="5"/>
  <c r="F164" i="5"/>
  <c r="F165" i="5"/>
  <c r="F166" i="5"/>
  <c r="F167" i="5"/>
  <c r="F168" i="5"/>
  <c r="F169" i="5"/>
  <c r="F170" i="5"/>
  <c r="F171" i="5"/>
  <c r="F172" i="5"/>
  <c r="F173" i="5"/>
  <c r="F174" i="5"/>
  <c r="F175" i="5"/>
  <c r="F176" i="5"/>
  <c r="F177" i="5"/>
  <c r="F178" i="5"/>
  <c r="F179" i="5"/>
  <c r="F180" i="5"/>
  <c r="F181" i="5"/>
  <c r="F182" i="5"/>
  <c r="F183" i="5"/>
  <c r="F184" i="5"/>
  <c r="F185" i="5"/>
  <c r="F186" i="5"/>
  <c r="F187" i="5"/>
  <c r="F188" i="5"/>
  <c r="F189" i="5"/>
  <c r="F190" i="5"/>
  <c r="F191" i="5"/>
  <c r="F192" i="5"/>
  <c r="F193" i="5"/>
  <c r="F194" i="5"/>
  <c r="F195" i="5"/>
  <c r="F196" i="5"/>
  <c r="F197" i="5"/>
  <c r="F198" i="5"/>
  <c r="F199" i="5"/>
  <c r="F200" i="5"/>
  <c r="F201" i="5"/>
  <c r="F202" i="5"/>
  <c r="F203" i="5"/>
  <c r="F204" i="5"/>
  <c r="F205" i="5"/>
  <c r="F206" i="5"/>
  <c r="F207" i="5"/>
  <c r="F208" i="5"/>
  <c r="F209" i="5"/>
  <c r="F210" i="5"/>
  <c r="F211" i="5"/>
  <c r="F212" i="5"/>
  <c r="F213" i="5"/>
  <c r="F214" i="5"/>
  <c r="F215" i="5"/>
  <c r="F216" i="5"/>
  <c r="F217" i="5"/>
  <c r="F218" i="5"/>
  <c r="F219" i="5"/>
  <c r="F220" i="5"/>
  <c r="F221" i="5"/>
  <c r="F222" i="5"/>
  <c r="F223" i="5"/>
  <c r="F224" i="5"/>
  <c r="F225" i="5"/>
  <c r="F226" i="5"/>
  <c r="F227" i="5"/>
  <c r="F228" i="5"/>
  <c r="F229" i="5"/>
  <c r="F230" i="5"/>
  <c r="F231" i="5"/>
  <c r="F232" i="5"/>
  <c r="F233" i="5"/>
  <c r="F234" i="5"/>
  <c r="F235" i="5"/>
  <c r="F236" i="5"/>
  <c r="F237" i="5"/>
  <c r="F238" i="5"/>
  <c r="F239" i="5"/>
  <c r="F240" i="5"/>
  <c r="F241" i="5"/>
  <c r="F242" i="5"/>
  <c r="F243" i="5"/>
  <c r="F244" i="5"/>
  <c r="F245" i="5"/>
  <c r="F246" i="5"/>
  <c r="F247" i="5"/>
  <c r="F248" i="5"/>
  <c r="F249" i="5"/>
  <c r="F250" i="5"/>
  <c r="F251" i="5"/>
  <c r="F252" i="5"/>
  <c r="F253" i="5"/>
  <c r="F254" i="5"/>
  <c r="F255" i="5"/>
  <c r="F256" i="5"/>
  <c r="F257" i="5"/>
  <c r="F258" i="5"/>
  <c r="F259" i="5"/>
  <c r="F260" i="5"/>
  <c r="F261" i="5"/>
  <c r="F262" i="5"/>
  <c r="F263" i="5"/>
  <c r="F264" i="5"/>
  <c r="F265" i="5"/>
  <c r="F266" i="5"/>
  <c r="F267" i="5"/>
  <c r="F268" i="5"/>
  <c r="F269" i="5"/>
  <c r="F270" i="5"/>
  <c r="F271" i="5"/>
  <c r="F272" i="5"/>
  <c r="F273" i="5"/>
  <c r="F274" i="5"/>
  <c r="F275" i="5"/>
  <c r="F276" i="5"/>
  <c r="F277" i="5"/>
  <c r="F278" i="5"/>
  <c r="F279" i="5"/>
  <c r="F280" i="5"/>
  <c r="F281" i="5"/>
  <c r="F282" i="5"/>
  <c r="F283" i="5"/>
  <c r="F284" i="5"/>
  <c r="F285" i="5"/>
  <c r="F286" i="5"/>
  <c r="F287" i="5"/>
  <c r="F288" i="5"/>
  <c r="F289" i="5"/>
  <c r="F290" i="5"/>
  <c r="F291" i="5"/>
  <c r="F292" i="5"/>
  <c r="F293" i="5"/>
  <c r="F294" i="5"/>
  <c r="F295" i="5"/>
  <c r="F296" i="5"/>
  <c r="F297" i="5"/>
  <c r="F298" i="5"/>
  <c r="F299" i="5"/>
  <c r="F300" i="5"/>
  <c r="F301" i="5"/>
  <c r="F302" i="5"/>
  <c r="F303" i="5"/>
  <c r="F304" i="5"/>
  <c r="F305" i="5"/>
  <c r="F306" i="5"/>
  <c r="F307" i="5"/>
  <c r="F308" i="5"/>
  <c r="F309" i="5"/>
  <c r="F310" i="5"/>
  <c r="F311" i="5"/>
  <c r="F312" i="5"/>
  <c r="F313" i="5"/>
  <c r="F314" i="5"/>
  <c r="F315" i="5"/>
  <c r="F316" i="5"/>
  <c r="F317" i="5"/>
  <c r="F318" i="5"/>
  <c r="F319" i="5"/>
  <c r="F320" i="5"/>
  <c r="F321" i="5"/>
  <c r="F322" i="5"/>
  <c r="F323" i="5"/>
  <c r="F324" i="5"/>
  <c r="F325" i="5"/>
  <c r="F326" i="5"/>
  <c r="F327" i="5"/>
  <c r="F328" i="5"/>
  <c r="F329" i="5"/>
  <c r="F330" i="5"/>
  <c r="F331" i="5"/>
  <c r="F332" i="5"/>
  <c r="F333" i="5"/>
  <c r="F334" i="5"/>
  <c r="F335" i="5"/>
  <c r="F336" i="5"/>
  <c r="F337" i="5"/>
  <c r="F338" i="5"/>
  <c r="F339" i="5"/>
  <c r="F340" i="5"/>
  <c r="F341" i="5"/>
  <c r="F342" i="5"/>
  <c r="F343" i="5"/>
  <c r="F344" i="5"/>
  <c r="F345" i="5"/>
  <c r="F346" i="5"/>
  <c r="F347" i="5"/>
  <c r="F348" i="5"/>
  <c r="F349" i="5"/>
  <c r="F350" i="5"/>
  <c r="F351" i="5"/>
  <c r="F352" i="5"/>
  <c r="F353" i="5"/>
  <c r="F354" i="5"/>
  <c r="F355" i="5"/>
  <c r="F356" i="5"/>
  <c r="F357" i="5"/>
  <c r="F358" i="5"/>
  <c r="F359" i="5"/>
  <c r="F360" i="5"/>
  <c r="F361" i="5"/>
  <c r="F362" i="5"/>
  <c r="F363" i="5"/>
  <c r="F364" i="5"/>
  <c r="F365" i="5"/>
  <c r="F366" i="5"/>
  <c r="F367" i="5"/>
  <c r="F368" i="5"/>
  <c r="F369" i="5"/>
  <c r="F370" i="5"/>
  <c r="F371" i="5"/>
  <c r="F372" i="5"/>
  <c r="F373" i="5"/>
  <c r="F374" i="5"/>
  <c r="F375" i="5"/>
  <c r="F376" i="5"/>
  <c r="F377" i="5"/>
  <c r="F378" i="5"/>
  <c r="F379" i="5"/>
  <c r="F380" i="5"/>
  <c r="F381" i="5"/>
  <c r="F382" i="5"/>
  <c r="F383" i="5"/>
  <c r="F384" i="5"/>
  <c r="F385" i="5"/>
  <c r="F386" i="5"/>
  <c r="F387" i="5"/>
  <c r="F388" i="5"/>
  <c r="F389" i="5"/>
  <c r="F390" i="5"/>
  <c r="F391" i="5"/>
  <c r="F392" i="5"/>
  <c r="F393" i="5"/>
  <c r="F394" i="5"/>
  <c r="F395" i="5"/>
  <c r="F396" i="5"/>
  <c r="F397" i="5"/>
  <c r="F398" i="5"/>
  <c r="F399" i="5"/>
  <c r="F400" i="5"/>
  <c r="F401" i="5"/>
  <c r="F402" i="5"/>
  <c r="F403" i="5"/>
  <c r="F404" i="5"/>
  <c r="F405" i="5"/>
  <c r="F406" i="5"/>
  <c r="F407" i="5"/>
  <c r="F408" i="5"/>
  <c r="F409" i="5"/>
  <c r="F410" i="5"/>
  <c r="F411" i="5"/>
  <c r="F412" i="5"/>
  <c r="F413" i="5"/>
  <c r="F414" i="5"/>
  <c r="F415" i="5"/>
  <c r="F416" i="5"/>
  <c r="F417" i="5"/>
  <c r="F418" i="5"/>
  <c r="F419" i="5"/>
  <c r="F420" i="5"/>
  <c r="F421" i="5"/>
  <c r="F422" i="5"/>
  <c r="F423" i="5"/>
  <c r="F424" i="5"/>
  <c r="F425" i="5"/>
  <c r="F426" i="5"/>
  <c r="F427" i="5"/>
  <c r="F428" i="5"/>
  <c r="F429" i="5"/>
  <c r="F430" i="5"/>
  <c r="F431" i="5"/>
  <c r="F432" i="5"/>
  <c r="F433" i="5"/>
  <c r="F434" i="5"/>
  <c r="F435" i="5"/>
  <c r="F436" i="5"/>
  <c r="F437" i="5"/>
  <c r="F438" i="5"/>
  <c r="F439" i="5"/>
  <c r="F440" i="5"/>
  <c r="F441" i="5"/>
  <c r="F442" i="5"/>
  <c r="F443" i="5"/>
  <c r="F444" i="5"/>
  <c r="F445" i="5"/>
  <c r="F446" i="5"/>
  <c r="F447" i="5"/>
  <c r="F448" i="5"/>
  <c r="F449" i="5"/>
  <c r="F450" i="5"/>
  <c r="F451" i="5"/>
  <c r="F452" i="5"/>
  <c r="F453" i="5"/>
  <c r="F454" i="5"/>
  <c r="F455" i="5"/>
  <c r="F456" i="5"/>
  <c r="F457" i="5"/>
  <c r="F458" i="5"/>
  <c r="F459" i="5"/>
  <c r="F460" i="5"/>
  <c r="F461" i="5"/>
  <c r="F462" i="5"/>
  <c r="F463" i="5"/>
  <c r="F464" i="5"/>
  <c r="F465" i="5"/>
  <c r="F466" i="5"/>
  <c r="F467" i="5"/>
  <c r="F468" i="5"/>
  <c r="F469" i="5"/>
  <c r="F470" i="5"/>
  <c r="F471" i="5"/>
  <c r="F472" i="5"/>
  <c r="F473" i="5"/>
  <c r="F474" i="5"/>
  <c r="F475" i="5"/>
  <c r="F476" i="5"/>
  <c r="F477" i="5"/>
  <c r="F478" i="5"/>
  <c r="F479" i="5"/>
  <c r="F480" i="5"/>
  <c r="F481" i="5"/>
  <c r="F482" i="5"/>
  <c r="F483" i="5"/>
  <c r="F484" i="5"/>
  <c r="F485" i="5"/>
  <c r="F486" i="5"/>
  <c r="F487" i="5"/>
  <c r="F488" i="5"/>
  <c r="F489" i="5"/>
  <c r="F490" i="5"/>
  <c r="F491" i="5"/>
  <c r="F492" i="5"/>
  <c r="F493" i="5"/>
  <c r="F494" i="5"/>
  <c r="F495" i="5"/>
  <c r="F496" i="5"/>
  <c r="F497" i="5"/>
  <c r="F498" i="5"/>
  <c r="F499" i="5"/>
  <c r="F500" i="5"/>
  <c r="F501" i="5"/>
  <c r="F502" i="5"/>
  <c r="F503" i="5"/>
  <c r="F504" i="5"/>
  <c r="F505" i="5"/>
  <c r="F506" i="5"/>
  <c r="F507" i="5"/>
  <c r="F508" i="5"/>
  <c r="F509" i="5"/>
  <c r="F510" i="5"/>
  <c r="F511" i="5"/>
  <c r="F512" i="5"/>
  <c r="F513" i="5"/>
  <c r="F514" i="5"/>
  <c r="F515" i="5"/>
  <c r="F516" i="5"/>
  <c r="F517" i="5"/>
  <c r="F518" i="5"/>
  <c r="F519" i="5"/>
  <c r="F520" i="5"/>
  <c r="F521" i="5"/>
  <c r="F522" i="5"/>
  <c r="F523" i="5"/>
  <c r="F524" i="5"/>
  <c r="F525" i="5"/>
  <c r="F526" i="5"/>
  <c r="F527" i="5"/>
  <c r="F528" i="5"/>
  <c r="F529" i="5"/>
  <c r="F530" i="5"/>
  <c r="F531" i="5"/>
  <c r="F532" i="5"/>
  <c r="F533" i="5"/>
  <c r="F534" i="5"/>
  <c r="F535" i="5"/>
  <c r="F536" i="5"/>
  <c r="F537" i="5"/>
  <c r="F538" i="5"/>
  <c r="F539" i="5"/>
  <c r="F540" i="5"/>
  <c r="F541" i="5"/>
  <c r="F542" i="5"/>
  <c r="F543" i="5"/>
  <c r="F544" i="5"/>
  <c r="F545" i="5"/>
  <c r="F546" i="5"/>
  <c r="F547" i="5"/>
  <c r="F548" i="5"/>
  <c r="F549" i="5"/>
  <c r="F550" i="5"/>
  <c r="F551" i="5"/>
  <c r="F552" i="5"/>
  <c r="F553" i="5"/>
  <c r="F554" i="5"/>
  <c r="F555" i="5"/>
  <c r="F556" i="5"/>
  <c r="F557" i="5"/>
  <c r="F558" i="5"/>
  <c r="F559" i="5"/>
  <c r="F560" i="5"/>
  <c r="F561" i="5"/>
  <c r="F562" i="5"/>
  <c r="F563" i="5"/>
  <c r="F564" i="5"/>
  <c r="F565" i="5"/>
  <c r="F566" i="5"/>
  <c r="F567" i="5"/>
  <c r="F568" i="5"/>
  <c r="F569" i="5"/>
  <c r="F570" i="5"/>
  <c r="F571" i="5"/>
  <c r="F572" i="5"/>
  <c r="F573" i="5"/>
  <c r="F574" i="5"/>
  <c r="F575" i="5"/>
  <c r="F576" i="5"/>
  <c r="F577" i="5"/>
  <c r="F578" i="5"/>
  <c r="F579" i="5"/>
  <c r="F580" i="5"/>
  <c r="F581" i="5"/>
  <c r="F582" i="5"/>
  <c r="F583" i="5"/>
  <c r="F584" i="5"/>
  <c r="F585" i="5"/>
  <c r="F586" i="5"/>
  <c r="F587" i="5"/>
  <c r="F588" i="5"/>
  <c r="F589" i="5"/>
  <c r="F590" i="5"/>
  <c r="F591" i="5"/>
  <c r="F592" i="5"/>
  <c r="F593" i="5"/>
  <c r="F594" i="5"/>
  <c r="F595" i="5"/>
  <c r="F596" i="5"/>
  <c r="F597" i="5"/>
  <c r="F598" i="5"/>
  <c r="F599" i="5"/>
  <c r="F600" i="5"/>
  <c r="F601" i="5"/>
  <c r="F602" i="5"/>
  <c r="F603" i="5"/>
  <c r="F604" i="5"/>
  <c r="F605" i="5"/>
  <c r="F606" i="5"/>
  <c r="F607" i="5"/>
  <c r="F608" i="5"/>
  <c r="F609" i="5"/>
  <c r="F610" i="5"/>
  <c r="F611" i="5"/>
  <c r="F612" i="5"/>
  <c r="F613" i="5"/>
  <c r="F614" i="5"/>
  <c r="F615" i="5"/>
  <c r="F616" i="5"/>
  <c r="F617" i="5"/>
  <c r="F618" i="5"/>
  <c r="F619" i="5"/>
  <c r="F620" i="5"/>
  <c r="F621" i="5"/>
  <c r="F622" i="5"/>
  <c r="F623" i="5"/>
  <c r="F624" i="5"/>
  <c r="F625" i="5"/>
  <c r="F626" i="5"/>
  <c r="F627" i="5"/>
  <c r="F628" i="5"/>
  <c r="F629" i="5"/>
  <c r="F630" i="5"/>
  <c r="F631" i="5"/>
  <c r="F632" i="5"/>
  <c r="F633" i="5"/>
  <c r="F634" i="5"/>
  <c r="F635" i="5"/>
  <c r="F636" i="5"/>
  <c r="F637" i="5"/>
  <c r="F638" i="5"/>
  <c r="F639" i="5"/>
  <c r="F640" i="5"/>
  <c r="F641" i="5"/>
  <c r="F642" i="5"/>
  <c r="F643" i="5"/>
  <c r="F644" i="5"/>
  <c r="F645" i="5"/>
  <c r="F646" i="5"/>
  <c r="F647" i="5"/>
  <c r="F648" i="5"/>
  <c r="F649" i="5"/>
  <c r="F650" i="5"/>
  <c r="F651" i="5"/>
  <c r="F652" i="5"/>
  <c r="F653" i="5"/>
  <c r="F654" i="5"/>
  <c r="F655" i="5"/>
  <c r="F656" i="5"/>
  <c r="F657" i="5"/>
  <c r="F658" i="5"/>
  <c r="F659" i="5"/>
  <c r="F660" i="5"/>
  <c r="F661" i="5"/>
  <c r="F662" i="5"/>
  <c r="F663" i="5"/>
  <c r="F664" i="5"/>
  <c r="F665" i="5"/>
  <c r="F666" i="5"/>
  <c r="F667" i="5"/>
  <c r="F668" i="5"/>
  <c r="F669" i="5"/>
  <c r="F670" i="5"/>
  <c r="F671" i="5"/>
  <c r="F672" i="5"/>
  <c r="F673" i="5"/>
  <c r="F674" i="5"/>
  <c r="F675" i="5"/>
  <c r="F676" i="5"/>
  <c r="F677" i="5"/>
  <c r="F678" i="5"/>
  <c r="F679" i="5"/>
  <c r="F680" i="5"/>
  <c r="F681" i="5"/>
  <c r="F682" i="5"/>
  <c r="F683" i="5"/>
  <c r="F684" i="5"/>
  <c r="F685" i="5"/>
  <c r="F686" i="5"/>
  <c r="F687" i="5"/>
  <c r="F688" i="5"/>
  <c r="F689" i="5"/>
  <c r="F690" i="5"/>
  <c r="F691" i="5"/>
  <c r="F692" i="5"/>
  <c r="F693" i="5"/>
  <c r="F694" i="5"/>
  <c r="F695" i="5"/>
  <c r="F696" i="5"/>
  <c r="F697" i="5"/>
  <c r="F698" i="5"/>
  <c r="F699" i="5"/>
  <c r="F700" i="5"/>
  <c r="F701" i="5"/>
  <c r="F702" i="5"/>
  <c r="F703" i="5"/>
  <c r="F704" i="5"/>
  <c r="F705" i="5"/>
  <c r="F706" i="5"/>
  <c r="F707" i="5"/>
  <c r="F708" i="5"/>
  <c r="F709" i="5"/>
  <c r="F710" i="5"/>
  <c r="F711" i="5"/>
  <c r="F712" i="5"/>
  <c r="F713" i="5"/>
  <c r="F714" i="5"/>
  <c r="F715" i="5"/>
  <c r="F716" i="5"/>
  <c r="F717" i="5"/>
  <c r="F718" i="5"/>
  <c r="F719" i="5"/>
  <c r="F720" i="5"/>
  <c r="F721" i="5"/>
  <c r="F722" i="5"/>
  <c r="F723" i="5"/>
  <c r="F724" i="5"/>
  <c r="F725" i="5"/>
  <c r="F726" i="5"/>
  <c r="F727" i="5"/>
  <c r="F728" i="5"/>
  <c r="F729" i="5"/>
  <c r="F730" i="5"/>
  <c r="F731" i="5"/>
  <c r="F732" i="5"/>
  <c r="F733" i="5"/>
  <c r="F734" i="5"/>
  <c r="F735" i="5"/>
  <c r="F736" i="5"/>
  <c r="F737" i="5"/>
  <c r="F738" i="5"/>
  <c r="F739" i="5"/>
  <c r="F740" i="5"/>
  <c r="F741" i="5"/>
  <c r="F742" i="5"/>
  <c r="F743" i="5"/>
  <c r="F744" i="5"/>
  <c r="F745" i="5"/>
  <c r="F746" i="5"/>
  <c r="F747" i="5"/>
  <c r="F748" i="5"/>
  <c r="F749" i="5"/>
  <c r="F750" i="5"/>
  <c r="F751" i="5"/>
  <c r="F752" i="5"/>
  <c r="F753" i="5"/>
  <c r="F754" i="5"/>
  <c r="F755" i="5"/>
  <c r="F756" i="5"/>
  <c r="F757" i="5"/>
  <c r="F758" i="5"/>
  <c r="F759" i="5"/>
  <c r="F760" i="5"/>
  <c r="F761" i="5"/>
  <c r="F762" i="5"/>
  <c r="F763" i="5"/>
  <c r="F764" i="5"/>
  <c r="F765" i="5"/>
  <c r="F766" i="5"/>
  <c r="F767" i="5"/>
  <c r="F768" i="5"/>
  <c r="F769" i="5"/>
  <c r="F770" i="5"/>
  <c r="F771" i="5"/>
  <c r="F772" i="5"/>
  <c r="F773" i="5"/>
  <c r="F774" i="5"/>
  <c r="F775" i="5"/>
  <c r="F776" i="5"/>
  <c r="F777" i="5"/>
  <c r="F778" i="5"/>
  <c r="F779" i="5"/>
  <c r="F780" i="5"/>
  <c r="F781" i="5"/>
  <c r="F782" i="5"/>
  <c r="F783" i="5"/>
  <c r="F784" i="5"/>
  <c r="F785" i="5"/>
  <c r="F786" i="5"/>
  <c r="F787" i="5"/>
  <c r="F788" i="5"/>
  <c r="F789" i="5"/>
  <c r="F790" i="5"/>
  <c r="F791" i="5"/>
  <c r="F792" i="5"/>
  <c r="F793" i="5"/>
  <c r="F794" i="5"/>
  <c r="F795" i="5"/>
  <c r="F796" i="5"/>
  <c r="F797" i="5"/>
  <c r="F798" i="5"/>
  <c r="F799" i="5"/>
  <c r="F800" i="5"/>
  <c r="F801" i="5"/>
  <c r="F802" i="5"/>
  <c r="F803" i="5"/>
  <c r="F804" i="5"/>
  <c r="F805" i="5"/>
  <c r="F806" i="5"/>
  <c r="F807" i="5"/>
  <c r="F808" i="5"/>
  <c r="F809" i="5"/>
  <c r="F810" i="5"/>
  <c r="F811" i="5"/>
  <c r="F812" i="5"/>
  <c r="F813" i="5"/>
  <c r="F814" i="5"/>
  <c r="F815" i="5"/>
  <c r="F816" i="5"/>
  <c r="F817" i="5"/>
  <c r="F818" i="5"/>
  <c r="F819" i="5"/>
  <c r="F820" i="5"/>
  <c r="F821" i="5"/>
  <c r="F822" i="5"/>
  <c r="F823" i="5"/>
  <c r="F824" i="5"/>
  <c r="F825" i="5"/>
  <c r="F826" i="5"/>
  <c r="F827" i="5"/>
  <c r="F828" i="5"/>
  <c r="F829" i="5"/>
  <c r="F830" i="5"/>
  <c r="F831" i="5"/>
  <c r="F832" i="5"/>
  <c r="F833" i="5"/>
  <c r="F834" i="5"/>
  <c r="F835" i="5"/>
  <c r="F836" i="5"/>
  <c r="F837" i="5"/>
  <c r="F838" i="5"/>
  <c r="F839" i="5"/>
  <c r="F840" i="5"/>
  <c r="F841" i="5"/>
  <c r="F842" i="5"/>
  <c r="F843" i="5"/>
  <c r="F844" i="5"/>
  <c r="F845" i="5"/>
  <c r="F846" i="5"/>
  <c r="F847" i="5"/>
  <c r="F848" i="5"/>
  <c r="F849" i="5"/>
  <c r="F850" i="5"/>
  <c r="F851" i="5"/>
  <c r="F852" i="5"/>
  <c r="F853" i="5"/>
  <c r="F854" i="5"/>
  <c r="F855" i="5"/>
  <c r="F856" i="5"/>
  <c r="F857" i="5"/>
  <c r="F858" i="5"/>
  <c r="F859" i="5"/>
  <c r="F860" i="5"/>
  <c r="F861" i="5"/>
  <c r="F862" i="5"/>
  <c r="F863" i="5"/>
  <c r="F864" i="5"/>
  <c r="F865" i="5"/>
  <c r="F866" i="5"/>
  <c r="F867" i="5"/>
  <c r="F868" i="5"/>
  <c r="F869" i="5"/>
  <c r="F870" i="5"/>
  <c r="F871" i="5"/>
  <c r="F872" i="5"/>
  <c r="F873" i="5"/>
  <c r="F874" i="5"/>
  <c r="F875" i="5"/>
  <c r="F876" i="5"/>
  <c r="F877" i="5"/>
  <c r="F878" i="5"/>
  <c r="F879" i="5"/>
  <c r="F880" i="5"/>
  <c r="F881" i="5"/>
  <c r="F882" i="5"/>
  <c r="F883" i="5"/>
  <c r="F884" i="5"/>
  <c r="F885" i="5"/>
  <c r="F886" i="5"/>
  <c r="F887" i="5"/>
  <c r="F888" i="5"/>
  <c r="F889" i="5"/>
  <c r="F890" i="5"/>
  <c r="F891" i="5"/>
  <c r="F892" i="5"/>
  <c r="F893" i="5"/>
  <c r="F894" i="5"/>
  <c r="F895" i="5"/>
  <c r="F896" i="5"/>
  <c r="F897" i="5"/>
  <c r="F898" i="5"/>
  <c r="F899" i="5"/>
  <c r="F900" i="5"/>
  <c r="F901" i="5"/>
  <c r="F902" i="5"/>
  <c r="F903" i="5"/>
  <c r="F904" i="5"/>
  <c r="F905" i="5"/>
  <c r="F906" i="5"/>
  <c r="F907" i="5"/>
  <c r="F908" i="5"/>
  <c r="F909" i="5"/>
  <c r="F910" i="5"/>
  <c r="F911" i="5"/>
  <c r="F912" i="5"/>
  <c r="F913" i="5"/>
  <c r="F914" i="5"/>
  <c r="F915" i="5"/>
  <c r="F916" i="5"/>
  <c r="F917" i="5"/>
  <c r="F918" i="5"/>
  <c r="F919" i="5"/>
  <c r="F920" i="5"/>
  <c r="F921" i="5"/>
  <c r="F922" i="5"/>
  <c r="F923" i="5"/>
  <c r="F924" i="5"/>
  <c r="F925" i="5"/>
  <c r="F926" i="5"/>
  <c r="F927" i="5"/>
  <c r="F928" i="5"/>
  <c r="F929" i="5"/>
  <c r="F930" i="5"/>
  <c r="F931" i="5"/>
  <c r="F932" i="5"/>
  <c r="F933" i="5"/>
  <c r="F934" i="5"/>
  <c r="F935" i="5"/>
  <c r="F936" i="5"/>
  <c r="F937" i="5"/>
  <c r="F938" i="5"/>
  <c r="F939" i="5"/>
  <c r="F940" i="5"/>
  <c r="F941" i="5"/>
  <c r="F942" i="5"/>
  <c r="F943" i="5"/>
  <c r="F944" i="5"/>
  <c r="F945" i="5"/>
  <c r="F946" i="5"/>
  <c r="F947" i="5"/>
  <c r="F948" i="5"/>
  <c r="F949" i="5"/>
  <c r="F950" i="5"/>
  <c r="F951" i="5"/>
  <c r="F952" i="5"/>
  <c r="F953" i="5"/>
  <c r="F954" i="5"/>
  <c r="F955" i="5"/>
  <c r="F956" i="5"/>
  <c r="F957" i="5"/>
  <c r="F958" i="5"/>
  <c r="F959" i="5"/>
  <c r="F960" i="5"/>
  <c r="F961" i="5"/>
  <c r="F962" i="5"/>
  <c r="F963" i="5"/>
  <c r="F964" i="5"/>
  <c r="F965" i="5"/>
  <c r="F966" i="5"/>
  <c r="F967" i="5"/>
  <c r="F968" i="5"/>
  <c r="F969" i="5"/>
  <c r="F970" i="5"/>
  <c r="F971" i="5"/>
  <c r="F972" i="5"/>
  <c r="F973" i="5"/>
  <c r="F974" i="5"/>
  <c r="F975" i="5"/>
  <c r="F976" i="5"/>
  <c r="F977" i="5"/>
  <c r="F978" i="5"/>
  <c r="F979" i="5"/>
  <c r="F980" i="5"/>
  <c r="F981" i="5"/>
  <c r="F982" i="5"/>
  <c r="F983" i="5"/>
  <c r="F984" i="5"/>
  <c r="F985" i="5"/>
  <c r="F986" i="5"/>
  <c r="F987" i="5"/>
  <c r="F988" i="5"/>
  <c r="F989" i="5"/>
  <c r="F990" i="5"/>
  <c r="F991" i="5"/>
  <c r="F992" i="5"/>
  <c r="F993" i="5"/>
  <c r="F994" i="5"/>
  <c r="F995" i="5"/>
  <c r="F996" i="5"/>
  <c r="F997" i="5"/>
  <c r="F998" i="5"/>
  <c r="F999" i="5"/>
  <c r="F1000" i="5"/>
  <c r="F1001" i="5"/>
  <c r="F1002" i="5"/>
  <c r="F1003" i="5"/>
  <c r="F1004" i="5"/>
  <c r="F1005" i="5"/>
  <c r="F1006" i="5"/>
  <c r="F1007" i="5"/>
  <c r="F1008" i="5"/>
  <c r="F1009" i="5"/>
  <c r="F1010" i="5"/>
  <c r="F1011" i="5"/>
  <c r="F1012" i="5"/>
  <c r="F1013" i="5"/>
  <c r="F1014" i="5"/>
  <c r="F1015" i="5"/>
  <c r="F1016" i="5"/>
  <c r="F1017" i="5"/>
  <c r="F1018" i="5"/>
  <c r="F1019" i="5"/>
  <c r="F1020" i="5"/>
  <c r="F1021" i="5"/>
  <c r="F1022" i="5"/>
  <c r="F1023" i="5"/>
  <c r="F1024" i="5"/>
  <c r="F1025" i="5"/>
  <c r="F1026" i="5"/>
  <c r="F1027" i="5"/>
  <c r="F1028" i="5"/>
  <c r="F1029" i="5"/>
  <c r="F1030" i="5"/>
  <c r="F1031" i="5"/>
  <c r="F1032" i="5"/>
  <c r="F1033" i="5"/>
  <c r="F1034" i="5"/>
  <c r="F1035" i="5"/>
  <c r="F1036" i="5"/>
  <c r="F1037" i="5"/>
  <c r="F1038" i="5"/>
  <c r="F1039" i="5"/>
  <c r="F1040" i="5"/>
  <c r="F1041" i="5"/>
  <c r="F1042" i="5"/>
  <c r="F1043" i="5"/>
  <c r="F1044" i="5"/>
  <c r="F1045" i="5"/>
  <c r="F1046" i="5"/>
  <c r="F1047" i="5"/>
  <c r="F1048" i="5"/>
  <c r="F1049" i="5"/>
  <c r="F1050" i="5"/>
  <c r="F1051" i="5"/>
  <c r="F1052" i="5"/>
  <c r="F1053" i="5"/>
  <c r="F1054" i="5"/>
  <c r="F1055" i="5"/>
  <c r="F1056" i="5"/>
  <c r="F1057" i="5"/>
  <c r="F1058" i="5"/>
  <c r="F1059" i="5"/>
  <c r="F1060" i="5"/>
  <c r="F1061" i="5"/>
  <c r="F1062" i="5"/>
  <c r="F1063" i="5"/>
  <c r="F1064" i="5"/>
  <c r="F1065" i="5"/>
  <c r="F1066" i="5"/>
  <c r="F1067" i="5"/>
  <c r="F1068" i="5"/>
  <c r="F1069" i="5"/>
  <c r="F1070" i="5"/>
  <c r="F1071" i="5"/>
  <c r="F1072" i="5"/>
  <c r="F1073" i="5"/>
  <c r="F1074" i="5"/>
  <c r="F1075" i="5"/>
  <c r="F1076" i="5"/>
  <c r="F1077" i="5"/>
  <c r="F1078" i="5"/>
  <c r="F1079" i="5"/>
  <c r="F1080" i="5"/>
  <c r="F1081" i="5"/>
  <c r="F1082" i="5"/>
  <c r="F1083" i="5"/>
  <c r="F1084" i="5"/>
  <c r="F1085" i="5"/>
  <c r="F1086" i="5"/>
  <c r="F1087" i="5"/>
  <c r="F1088" i="5"/>
  <c r="F1089" i="5"/>
  <c r="F1090" i="5"/>
  <c r="F1091" i="5"/>
  <c r="F1092" i="5"/>
  <c r="F1093" i="5"/>
  <c r="F1094" i="5"/>
  <c r="F1095" i="5"/>
  <c r="F1096" i="5"/>
  <c r="F1097" i="5"/>
  <c r="F1098" i="5"/>
  <c r="F1099" i="5"/>
  <c r="F1100" i="5"/>
  <c r="F1101" i="5"/>
  <c r="F1102" i="5"/>
  <c r="F1103" i="5"/>
  <c r="F1104" i="5"/>
  <c r="F1105" i="5"/>
  <c r="F1106" i="5"/>
  <c r="F1107" i="5"/>
  <c r="F1108" i="5"/>
  <c r="F1109" i="5"/>
  <c r="F1110" i="5"/>
  <c r="F1111" i="5"/>
  <c r="F1112" i="5"/>
  <c r="F1113" i="5"/>
  <c r="F1114" i="5"/>
  <c r="F1115" i="5"/>
  <c r="F1116" i="5"/>
  <c r="F1117" i="5"/>
  <c r="F1118" i="5"/>
  <c r="F1119" i="5"/>
  <c r="F1120" i="5"/>
  <c r="F1121" i="5"/>
  <c r="F1122" i="5"/>
  <c r="F1123" i="5"/>
  <c r="F1124" i="5"/>
  <c r="F1125" i="5"/>
  <c r="F1126" i="5"/>
  <c r="F1127" i="5"/>
  <c r="F1128" i="5"/>
  <c r="F1129" i="5"/>
  <c r="F1130" i="5"/>
  <c r="F1131" i="5"/>
  <c r="F1132" i="5"/>
  <c r="F1133" i="5"/>
  <c r="F1134" i="5"/>
  <c r="F1135" i="5"/>
  <c r="F1136" i="5"/>
  <c r="F1137" i="5"/>
  <c r="F1138" i="5"/>
  <c r="F1139" i="5"/>
  <c r="F1140" i="5"/>
  <c r="F1141" i="5"/>
  <c r="F1142" i="5"/>
  <c r="F1143" i="5"/>
  <c r="F1144" i="5"/>
  <c r="F1145" i="5"/>
  <c r="F1146" i="5"/>
  <c r="F1147" i="5"/>
  <c r="F1148" i="5"/>
  <c r="F1149" i="5"/>
  <c r="F1150" i="5"/>
  <c r="F1151" i="5"/>
  <c r="F1152" i="5"/>
  <c r="F1153" i="5"/>
  <c r="F1154" i="5"/>
  <c r="F1155" i="5"/>
  <c r="F1156" i="5"/>
  <c r="F1157" i="5"/>
  <c r="F1158" i="5"/>
  <c r="F1159" i="5"/>
  <c r="F1160" i="5"/>
  <c r="F1161" i="5"/>
  <c r="F1162" i="5"/>
  <c r="F1163" i="5"/>
  <c r="F1164" i="5"/>
  <c r="F1165" i="5"/>
  <c r="F1166" i="5"/>
  <c r="F1167" i="5"/>
  <c r="F1168" i="5"/>
  <c r="F1169" i="5"/>
  <c r="F1170" i="5"/>
  <c r="F1171" i="5"/>
  <c r="F1172" i="5"/>
  <c r="F1173" i="5"/>
  <c r="F1174" i="5"/>
  <c r="F1175" i="5"/>
  <c r="F1176" i="5"/>
  <c r="F1177" i="5"/>
  <c r="F1178" i="5"/>
  <c r="F1179" i="5"/>
  <c r="F1180" i="5"/>
  <c r="F1181" i="5"/>
  <c r="F1182" i="5"/>
  <c r="F1183" i="5"/>
  <c r="F1184" i="5"/>
  <c r="F1185" i="5"/>
  <c r="F1186" i="5"/>
  <c r="F1187" i="5"/>
  <c r="F1188" i="5"/>
  <c r="F1189" i="5"/>
  <c r="F1190" i="5"/>
  <c r="F1191" i="5"/>
  <c r="F1192" i="5"/>
  <c r="F1193" i="5"/>
  <c r="F1194" i="5"/>
  <c r="F1195" i="5"/>
  <c r="F1196" i="5"/>
  <c r="F1197" i="5"/>
  <c r="F1198" i="5"/>
  <c r="F1199" i="5"/>
  <c r="F1200" i="5"/>
  <c r="F1201" i="5"/>
  <c r="F1202" i="5"/>
  <c r="F1203" i="5"/>
  <c r="F1204" i="5"/>
  <c r="F1205" i="5"/>
  <c r="F1206" i="5"/>
  <c r="F1207" i="5"/>
  <c r="F1208" i="5"/>
  <c r="F1209" i="5"/>
  <c r="F1210" i="5"/>
  <c r="F1211" i="5"/>
  <c r="F1212" i="5"/>
  <c r="F1213" i="5"/>
  <c r="F1214" i="5"/>
  <c r="F1215" i="5"/>
  <c r="F1216" i="5"/>
  <c r="F1217" i="5"/>
  <c r="F1218" i="5"/>
  <c r="F1219" i="5"/>
  <c r="F1220" i="5"/>
  <c r="F1221" i="5"/>
  <c r="F1222" i="5"/>
  <c r="F1223" i="5"/>
  <c r="F1224" i="5"/>
  <c r="F1225" i="5"/>
  <c r="F1226" i="5"/>
  <c r="F1227" i="5"/>
  <c r="F1228" i="5"/>
  <c r="F1229" i="5"/>
  <c r="F1230" i="5"/>
  <c r="F1231" i="5"/>
  <c r="F1232" i="5"/>
  <c r="F1233" i="5"/>
  <c r="F1234" i="5"/>
  <c r="F1235" i="5"/>
  <c r="F1236" i="5"/>
  <c r="F1237" i="5"/>
  <c r="F1238" i="5"/>
  <c r="F1239" i="5"/>
  <c r="F1240" i="5"/>
  <c r="F1241" i="5"/>
  <c r="F1242" i="5"/>
  <c r="F1243" i="5"/>
  <c r="F1244" i="5"/>
  <c r="F1245" i="5"/>
  <c r="F1246" i="5"/>
  <c r="F1247" i="5"/>
  <c r="F1248" i="5"/>
  <c r="F1249" i="5"/>
  <c r="F1250" i="5"/>
  <c r="F1251" i="5"/>
  <c r="F1252" i="5"/>
  <c r="F1253" i="5"/>
  <c r="F1254" i="5"/>
  <c r="F1255" i="5"/>
  <c r="F1256" i="5"/>
  <c r="F1257" i="5"/>
  <c r="F1258" i="5"/>
  <c r="F1259" i="5"/>
  <c r="F1260" i="5"/>
  <c r="F1261" i="5"/>
  <c r="F1262" i="5"/>
  <c r="F1263" i="5"/>
  <c r="F1264" i="5"/>
  <c r="F1265" i="5"/>
  <c r="F1266" i="5"/>
  <c r="F1267" i="5"/>
  <c r="F1268" i="5"/>
  <c r="F1269" i="5"/>
  <c r="F1270" i="5"/>
  <c r="F1271" i="5"/>
  <c r="F1272" i="5"/>
  <c r="F1273" i="5"/>
  <c r="F1274" i="5"/>
  <c r="F1275" i="5"/>
  <c r="F1276" i="5"/>
  <c r="F1277" i="5"/>
  <c r="F1278" i="5"/>
  <c r="F1279" i="5"/>
  <c r="F1280" i="5"/>
  <c r="F1281" i="5"/>
  <c r="F1282" i="5"/>
  <c r="F1283" i="5"/>
  <c r="F1284" i="5"/>
  <c r="F1285" i="5"/>
  <c r="F1286" i="5"/>
  <c r="F1287" i="5"/>
  <c r="F1288" i="5"/>
  <c r="F1289" i="5"/>
  <c r="F1290" i="5"/>
  <c r="F1291" i="5"/>
  <c r="F1292" i="5"/>
  <c r="F1293" i="5"/>
  <c r="F1294" i="5"/>
  <c r="F1295" i="5"/>
  <c r="F1296" i="5"/>
  <c r="F1297" i="5"/>
  <c r="F1298" i="5"/>
  <c r="F1299" i="5"/>
  <c r="F1300" i="5"/>
  <c r="F1301" i="5"/>
  <c r="F1302" i="5"/>
  <c r="F1303" i="5"/>
  <c r="F1304" i="5"/>
  <c r="F1305" i="5"/>
  <c r="F1306" i="5"/>
  <c r="F1307" i="5"/>
  <c r="F1308" i="5"/>
  <c r="F1309" i="5"/>
  <c r="F1310" i="5"/>
  <c r="F1311" i="5"/>
  <c r="F1312" i="5"/>
  <c r="F1313" i="5"/>
  <c r="F1314" i="5"/>
  <c r="F1315" i="5"/>
  <c r="F1316" i="5"/>
  <c r="F1317" i="5"/>
  <c r="F1318" i="5"/>
  <c r="F1319" i="5"/>
  <c r="F1320" i="5"/>
  <c r="F1321" i="5"/>
  <c r="F1322" i="5"/>
  <c r="F1323" i="5"/>
  <c r="F1324" i="5"/>
  <c r="F1325" i="5"/>
  <c r="F1326" i="5"/>
  <c r="F1327" i="5"/>
  <c r="F1328" i="5"/>
  <c r="F1329" i="5"/>
  <c r="F1330" i="5"/>
  <c r="F1331" i="5"/>
  <c r="F1332" i="5"/>
  <c r="F1333" i="5"/>
  <c r="F1334" i="5"/>
  <c r="F1335" i="5"/>
  <c r="F1336" i="5"/>
  <c r="F1337" i="5"/>
  <c r="F1338" i="5"/>
  <c r="F1339" i="5"/>
  <c r="F1340" i="5"/>
  <c r="F1341" i="5"/>
  <c r="F1342" i="5"/>
  <c r="F1343" i="5"/>
  <c r="F1344" i="5"/>
  <c r="F1345" i="5"/>
  <c r="F1346" i="5"/>
  <c r="F1347" i="5"/>
  <c r="F1348" i="5"/>
  <c r="F1349" i="5"/>
  <c r="F1350" i="5"/>
  <c r="F1351" i="5"/>
  <c r="F1352" i="5"/>
  <c r="F1353" i="5"/>
  <c r="F1354" i="5"/>
  <c r="F1355" i="5"/>
  <c r="F1356" i="5"/>
  <c r="F1357" i="5"/>
  <c r="F1358" i="5"/>
  <c r="F1359" i="5"/>
  <c r="F1360" i="5"/>
  <c r="F1361" i="5"/>
  <c r="F1362" i="5"/>
  <c r="F1363" i="5"/>
  <c r="F1364" i="5"/>
  <c r="F1365" i="5"/>
  <c r="F1366" i="5"/>
  <c r="F1367" i="5"/>
  <c r="F1368" i="5"/>
  <c r="F1369" i="5"/>
  <c r="F1370" i="5"/>
  <c r="F1371" i="5"/>
  <c r="F1372" i="5"/>
  <c r="F1373" i="5"/>
  <c r="F1374" i="5"/>
  <c r="F1375" i="5"/>
  <c r="F1376" i="5"/>
  <c r="F1377" i="5"/>
  <c r="F1378" i="5"/>
  <c r="F1379" i="5"/>
  <c r="F1380" i="5"/>
  <c r="F1381" i="5"/>
  <c r="F1382" i="5"/>
  <c r="F1383" i="5"/>
  <c r="F1384" i="5"/>
  <c r="F1385" i="5"/>
  <c r="F1386" i="5"/>
  <c r="F1387" i="5"/>
  <c r="F1388" i="5"/>
  <c r="F1389" i="5"/>
  <c r="F1390" i="5"/>
  <c r="F1391" i="5"/>
  <c r="F1392" i="5"/>
  <c r="F1393" i="5"/>
  <c r="F1394" i="5"/>
  <c r="F1395" i="5"/>
  <c r="F1396" i="5"/>
  <c r="F1397" i="5"/>
  <c r="F1398" i="5"/>
  <c r="F1399" i="5"/>
  <c r="F1400" i="5"/>
  <c r="F1401" i="5"/>
  <c r="F1402" i="5"/>
  <c r="F1403" i="5"/>
  <c r="F1404" i="5"/>
  <c r="F1405" i="5"/>
  <c r="F1406" i="5"/>
  <c r="F1407" i="5"/>
  <c r="F1408" i="5"/>
  <c r="F1409" i="5"/>
  <c r="F1410" i="5"/>
  <c r="F1411" i="5"/>
  <c r="F1412" i="5"/>
  <c r="F1413" i="5"/>
  <c r="F1414" i="5"/>
  <c r="F1415" i="5"/>
  <c r="F1416" i="5"/>
  <c r="F1417" i="5"/>
  <c r="F1418" i="5"/>
  <c r="F1419" i="5"/>
  <c r="F1420" i="5"/>
  <c r="F1421" i="5"/>
  <c r="F1422" i="5"/>
  <c r="F1423" i="5"/>
  <c r="F1424" i="5"/>
  <c r="F1425" i="5"/>
  <c r="F1426" i="5"/>
  <c r="F1427" i="5"/>
  <c r="F1428" i="5"/>
  <c r="F1429" i="5"/>
  <c r="F1430" i="5"/>
  <c r="F1431" i="5"/>
  <c r="F1432" i="5"/>
  <c r="F1433" i="5"/>
  <c r="F1434" i="5"/>
  <c r="F1435" i="5"/>
  <c r="F1436" i="5"/>
  <c r="F1437" i="5"/>
  <c r="F1438" i="5"/>
  <c r="F1439" i="5"/>
  <c r="F1440" i="5"/>
  <c r="F1441" i="5"/>
  <c r="F1442" i="5"/>
  <c r="F1443" i="5"/>
  <c r="F1444" i="5"/>
  <c r="F1445" i="5"/>
  <c r="F1446" i="5"/>
  <c r="F1447" i="5"/>
  <c r="F1448" i="5"/>
  <c r="F1449" i="5"/>
  <c r="F1450" i="5"/>
  <c r="F1451" i="5"/>
  <c r="F1452" i="5"/>
  <c r="F1453" i="5"/>
  <c r="F1454" i="5"/>
  <c r="F1455" i="5"/>
  <c r="F1456" i="5"/>
  <c r="F1457" i="5"/>
  <c r="F1458" i="5"/>
  <c r="F1459" i="5"/>
  <c r="F1460" i="5"/>
  <c r="F1461" i="5"/>
  <c r="F1462" i="5"/>
  <c r="F1463" i="5"/>
  <c r="F1464" i="5"/>
  <c r="F1465" i="5"/>
  <c r="F1466" i="5"/>
  <c r="F1467" i="5"/>
  <c r="F1468" i="5"/>
  <c r="F1469" i="5"/>
  <c r="F1470" i="5"/>
  <c r="F1471" i="5"/>
  <c r="F1472" i="5"/>
  <c r="F1473" i="5"/>
  <c r="F1474" i="5"/>
  <c r="F1475" i="5"/>
  <c r="F1476" i="5"/>
  <c r="F1477" i="5"/>
  <c r="F1478" i="5"/>
  <c r="F1479" i="5"/>
  <c r="F1480" i="5"/>
  <c r="F1481" i="5"/>
  <c r="F1482" i="5"/>
  <c r="F1483" i="5"/>
  <c r="F1484" i="5"/>
  <c r="F1485" i="5"/>
  <c r="F1486" i="5"/>
  <c r="F1487" i="5"/>
  <c r="F1488" i="5"/>
  <c r="F1489" i="5"/>
  <c r="F1490" i="5"/>
  <c r="F1491" i="5"/>
  <c r="F1492" i="5"/>
  <c r="F1493" i="5"/>
  <c r="F1494" i="5"/>
  <c r="F1495" i="5"/>
  <c r="F1496" i="5"/>
  <c r="F1497" i="5"/>
  <c r="F1498" i="5"/>
  <c r="F1499" i="5"/>
  <c r="F1500" i="5"/>
  <c r="F1501" i="5"/>
  <c r="F1502" i="5"/>
  <c r="F1503" i="5"/>
  <c r="F1504" i="5"/>
  <c r="F1505" i="5"/>
  <c r="F1506" i="5"/>
  <c r="F1507" i="5"/>
  <c r="F1508" i="5"/>
  <c r="F1509" i="5"/>
  <c r="F1510" i="5"/>
  <c r="F1511" i="5"/>
  <c r="F1512" i="5"/>
  <c r="F1513" i="5"/>
  <c r="F1514" i="5"/>
  <c r="F1515" i="5"/>
  <c r="F1516" i="5"/>
  <c r="F1517" i="5"/>
  <c r="F1518" i="5"/>
  <c r="F1519" i="5"/>
  <c r="F1520" i="5"/>
  <c r="F1521" i="5"/>
  <c r="F1522" i="5"/>
  <c r="F1523" i="5"/>
  <c r="F1524" i="5"/>
  <c r="F1525" i="5"/>
  <c r="F1526" i="5"/>
  <c r="F1527" i="5"/>
  <c r="F1528" i="5"/>
  <c r="F1529" i="5"/>
  <c r="F1530" i="5"/>
  <c r="F1531" i="5"/>
  <c r="F1532" i="5"/>
  <c r="F1533" i="5"/>
  <c r="F1534" i="5"/>
  <c r="F1535" i="5"/>
  <c r="F1536" i="5"/>
  <c r="F1537" i="5"/>
  <c r="F1538" i="5"/>
  <c r="F1539" i="5"/>
  <c r="F1540" i="5"/>
  <c r="F1541" i="5"/>
  <c r="F1542" i="5"/>
  <c r="F1543" i="5"/>
  <c r="F1544" i="5"/>
  <c r="F1545" i="5"/>
  <c r="F1546" i="5"/>
  <c r="F1547" i="5"/>
  <c r="F1548" i="5"/>
  <c r="F1549" i="5"/>
  <c r="F1550" i="5"/>
  <c r="F1551" i="5"/>
  <c r="F1552" i="5"/>
  <c r="F1553" i="5"/>
  <c r="F1554" i="5"/>
  <c r="F1555" i="5"/>
  <c r="F1556" i="5"/>
  <c r="F1557" i="5"/>
  <c r="F1558" i="5"/>
  <c r="F1559" i="5"/>
  <c r="F1560" i="5"/>
  <c r="F1561" i="5"/>
  <c r="F1562" i="5"/>
  <c r="F1563" i="5"/>
  <c r="F1564" i="5"/>
  <c r="F1565" i="5"/>
  <c r="F1566" i="5"/>
  <c r="F1567" i="5"/>
  <c r="F1568" i="5"/>
  <c r="F1569" i="5"/>
  <c r="F1570" i="5"/>
  <c r="F1571" i="5"/>
  <c r="F1572" i="5"/>
  <c r="F1573" i="5"/>
  <c r="F1574" i="5"/>
  <c r="F1575" i="5"/>
  <c r="F1576" i="5"/>
  <c r="F1577" i="5"/>
  <c r="F1578" i="5"/>
  <c r="F1579" i="5"/>
  <c r="F1580" i="5"/>
  <c r="F1581" i="5"/>
  <c r="F1582" i="5"/>
  <c r="F1583" i="5"/>
  <c r="F1584" i="5"/>
  <c r="F1585" i="5"/>
  <c r="F1586" i="5"/>
  <c r="F1587" i="5"/>
  <c r="F1588" i="5"/>
  <c r="F1589" i="5"/>
  <c r="F1590" i="5"/>
  <c r="F1591" i="5"/>
  <c r="F1592" i="5"/>
  <c r="F1593" i="5"/>
  <c r="F1594" i="5"/>
  <c r="F1595" i="5"/>
  <c r="F1596" i="5"/>
  <c r="F1597" i="5"/>
  <c r="F1598" i="5"/>
  <c r="F1599" i="5"/>
  <c r="F1600" i="5"/>
  <c r="F1601" i="5"/>
  <c r="F1602" i="5"/>
  <c r="F1603" i="5"/>
  <c r="F1604" i="5"/>
  <c r="F1605" i="5"/>
  <c r="F1606" i="5"/>
  <c r="F1607" i="5"/>
  <c r="F1608" i="5"/>
  <c r="F1609" i="5"/>
  <c r="F1610" i="5"/>
  <c r="F1611" i="5"/>
  <c r="F1612" i="5"/>
  <c r="F1613" i="5"/>
  <c r="F1614" i="5"/>
  <c r="F1615" i="5"/>
  <c r="F1616" i="5"/>
  <c r="F1617" i="5"/>
  <c r="F1618" i="5"/>
  <c r="F1619" i="5"/>
  <c r="F1620" i="5"/>
  <c r="F1621" i="5"/>
  <c r="F1622" i="5"/>
  <c r="F1623" i="5"/>
  <c r="F1624" i="5"/>
  <c r="F1625" i="5"/>
  <c r="F1626" i="5"/>
  <c r="F1627" i="5"/>
  <c r="F1628" i="5"/>
  <c r="F1629" i="5"/>
  <c r="F1630" i="5"/>
  <c r="F1631" i="5"/>
  <c r="F1632" i="5"/>
  <c r="F1633" i="5"/>
  <c r="F1634" i="5"/>
  <c r="F1635" i="5"/>
  <c r="F1636" i="5"/>
  <c r="F1637" i="5"/>
  <c r="F1638" i="5"/>
  <c r="F1639" i="5"/>
  <c r="F1640" i="5"/>
  <c r="F1641" i="5"/>
  <c r="F1642" i="5"/>
  <c r="F1643" i="5"/>
  <c r="F1644" i="5"/>
  <c r="F1645" i="5"/>
  <c r="F1646" i="5"/>
  <c r="F1647" i="5"/>
  <c r="F1648" i="5"/>
  <c r="F1649" i="5"/>
  <c r="F1650" i="5"/>
  <c r="F1651" i="5"/>
  <c r="F1652" i="5"/>
  <c r="F1653" i="5"/>
  <c r="F1654" i="5"/>
  <c r="F1655" i="5"/>
  <c r="F1656" i="5"/>
  <c r="F1657" i="5"/>
  <c r="F1658" i="5"/>
  <c r="F1659" i="5"/>
  <c r="F1660" i="5"/>
  <c r="F1661" i="5"/>
  <c r="F1662" i="5"/>
  <c r="F1663" i="5"/>
  <c r="F1664" i="5"/>
  <c r="F1665" i="5"/>
  <c r="F1666" i="5"/>
  <c r="F1667" i="5"/>
  <c r="F1668" i="5"/>
  <c r="F1669" i="5"/>
  <c r="F1670" i="5"/>
  <c r="F1671" i="5"/>
  <c r="F1672" i="5"/>
  <c r="F1673" i="5"/>
  <c r="F1674" i="5"/>
  <c r="F1675" i="5"/>
  <c r="F1676" i="5"/>
  <c r="F1677" i="5"/>
  <c r="F1678" i="5"/>
  <c r="F1679" i="5"/>
  <c r="F1680" i="5"/>
  <c r="F1681" i="5"/>
  <c r="F1682" i="5"/>
  <c r="F1683" i="5"/>
  <c r="F1684" i="5"/>
  <c r="F1685" i="5"/>
  <c r="F1686" i="5"/>
  <c r="F1687" i="5"/>
  <c r="F1688" i="5"/>
  <c r="F1689" i="5"/>
  <c r="F1690" i="5"/>
  <c r="F1691" i="5"/>
  <c r="F1692" i="5"/>
  <c r="F1693" i="5"/>
  <c r="F1694" i="5"/>
  <c r="F1695" i="5"/>
  <c r="F1696" i="5"/>
  <c r="F1697" i="5"/>
  <c r="F1698" i="5"/>
  <c r="F1699" i="5"/>
  <c r="F1700" i="5"/>
  <c r="F1701" i="5"/>
  <c r="F1702" i="5"/>
  <c r="F1703" i="5"/>
  <c r="F1704" i="5"/>
  <c r="F1705" i="5"/>
  <c r="F1706" i="5"/>
  <c r="F1707" i="5"/>
  <c r="F1708" i="5"/>
  <c r="F1709" i="5"/>
  <c r="F1710" i="5"/>
  <c r="F1711" i="5"/>
  <c r="F1712" i="5"/>
  <c r="F1713" i="5"/>
  <c r="F1714" i="5"/>
  <c r="F1715" i="5"/>
  <c r="F1716" i="5"/>
  <c r="F1717" i="5"/>
  <c r="F1718" i="5"/>
  <c r="F1719" i="5"/>
  <c r="F1720" i="5"/>
  <c r="F1721" i="5"/>
  <c r="F1722" i="5"/>
  <c r="F1723" i="5"/>
  <c r="F1724" i="5"/>
  <c r="F1725" i="5"/>
  <c r="F1726" i="5"/>
  <c r="F1727" i="5"/>
  <c r="F1728" i="5"/>
  <c r="F1729" i="5"/>
  <c r="F1730" i="5"/>
  <c r="F1731" i="5"/>
  <c r="F1732" i="5"/>
  <c r="F1733" i="5"/>
  <c r="F1734" i="5"/>
  <c r="F1735" i="5"/>
  <c r="F1736" i="5"/>
  <c r="F1737" i="5"/>
  <c r="F1738" i="5"/>
  <c r="F1739" i="5"/>
  <c r="F1740" i="5"/>
  <c r="F1741" i="5"/>
  <c r="F1742" i="5"/>
  <c r="F1743" i="5"/>
  <c r="F1744" i="5"/>
  <c r="F1745" i="5"/>
  <c r="F1746" i="5"/>
  <c r="F1747" i="5"/>
  <c r="F1748" i="5"/>
  <c r="F1749" i="5"/>
  <c r="F1750" i="5"/>
  <c r="F1751" i="5"/>
  <c r="F1752" i="5"/>
  <c r="F1753" i="5"/>
  <c r="F1754" i="5"/>
  <c r="F1755" i="5"/>
  <c r="F1756" i="5"/>
  <c r="F1757" i="5"/>
  <c r="F1758" i="5"/>
  <c r="F1759" i="5"/>
  <c r="F1760" i="5"/>
  <c r="F1761" i="5"/>
  <c r="F1762" i="5"/>
  <c r="F1763" i="5"/>
  <c r="F1764" i="5"/>
  <c r="F1765" i="5"/>
  <c r="F1766" i="5"/>
  <c r="F1767" i="5"/>
  <c r="F1768" i="5"/>
  <c r="F1769" i="5"/>
  <c r="F1770" i="5"/>
  <c r="F1771" i="5"/>
  <c r="F1772" i="5"/>
  <c r="F1773" i="5"/>
  <c r="F1774" i="5"/>
  <c r="F1775" i="5"/>
  <c r="F1776" i="5"/>
  <c r="F1777" i="5"/>
  <c r="F1778" i="5"/>
  <c r="F1779" i="5"/>
  <c r="F1780" i="5"/>
  <c r="F1781" i="5"/>
  <c r="F1782" i="5"/>
  <c r="F1783" i="5"/>
  <c r="F1784" i="5"/>
  <c r="F1785" i="5"/>
  <c r="F1786" i="5"/>
  <c r="F1787" i="5"/>
  <c r="F1788" i="5"/>
  <c r="F1789" i="5"/>
  <c r="F1790" i="5"/>
  <c r="F1791" i="5"/>
  <c r="F1792" i="5"/>
  <c r="F1793" i="5"/>
  <c r="F1794" i="5"/>
  <c r="F1795" i="5"/>
  <c r="F1796" i="5"/>
  <c r="F1797" i="5"/>
  <c r="F1798" i="5"/>
  <c r="F1799" i="5"/>
  <c r="F1800" i="5"/>
  <c r="F1801" i="5"/>
  <c r="F1802" i="5"/>
  <c r="F1803" i="5"/>
  <c r="F1804" i="5"/>
  <c r="F1805" i="5"/>
  <c r="F1806" i="5"/>
  <c r="F1807" i="5"/>
  <c r="F1808" i="5"/>
  <c r="F1809" i="5"/>
  <c r="F1810" i="5"/>
  <c r="F1811" i="5"/>
  <c r="F1812" i="5"/>
  <c r="F1813" i="5"/>
  <c r="F1814" i="5"/>
  <c r="F1815" i="5"/>
  <c r="F1816" i="5"/>
  <c r="F1817" i="5"/>
  <c r="F1818" i="5"/>
  <c r="F1819" i="5"/>
  <c r="F1820" i="5"/>
  <c r="F1821" i="5"/>
  <c r="F1822" i="5"/>
  <c r="F1823" i="5"/>
  <c r="F1824" i="5"/>
  <c r="F1825" i="5"/>
  <c r="F1826" i="5"/>
  <c r="F1827" i="5"/>
  <c r="F1828" i="5"/>
  <c r="F1829" i="5"/>
  <c r="F1830" i="5"/>
  <c r="F1831" i="5"/>
  <c r="F1832" i="5"/>
  <c r="F1833" i="5"/>
  <c r="F1834" i="5"/>
  <c r="F1835" i="5"/>
  <c r="F1836" i="5"/>
  <c r="F1837" i="5"/>
  <c r="F1838" i="5"/>
  <c r="F1839" i="5"/>
  <c r="F1840" i="5"/>
  <c r="F1841" i="5"/>
  <c r="F1842" i="5"/>
  <c r="F1843" i="5"/>
  <c r="F1844" i="5"/>
  <c r="F1845" i="5"/>
  <c r="F1846" i="5"/>
  <c r="F1847" i="5"/>
  <c r="F1848" i="5"/>
  <c r="F1849" i="5"/>
  <c r="F1850" i="5"/>
  <c r="F1851" i="5"/>
  <c r="F1852" i="5"/>
  <c r="F1853" i="5"/>
  <c r="F1854" i="5"/>
  <c r="F1855" i="5"/>
  <c r="F1856" i="5"/>
  <c r="F1857" i="5"/>
  <c r="F1858" i="5"/>
  <c r="F1859" i="5"/>
  <c r="F1860" i="5"/>
  <c r="F1861" i="5"/>
  <c r="F1862" i="5"/>
  <c r="F1863" i="5"/>
  <c r="F1864" i="5"/>
  <c r="F1865" i="5"/>
  <c r="F1866" i="5"/>
  <c r="F1867" i="5"/>
  <c r="F1868" i="5"/>
  <c r="F1869" i="5"/>
  <c r="F1870" i="5"/>
  <c r="F1871" i="5"/>
  <c r="F1872" i="5"/>
  <c r="F1873" i="5"/>
  <c r="F1874" i="5"/>
  <c r="F1875" i="5"/>
  <c r="F1876" i="5"/>
  <c r="F1877" i="5"/>
  <c r="F1878" i="5"/>
  <c r="F1879" i="5"/>
  <c r="F1880" i="5"/>
  <c r="F1881" i="5"/>
  <c r="F1882" i="5"/>
  <c r="F1883" i="5"/>
  <c r="F1884" i="5"/>
  <c r="F1885" i="5"/>
  <c r="F1886" i="5"/>
  <c r="F1887" i="5"/>
  <c r="F1888" i="5"/>
  <c r="F1889" i="5"/>
  <c r="F1890" i="5"/>
  <c r="F1891" i="5"/>
  <c r="F1892" i="5"/>
  <c r="F1893" i="5"/>
  <c r="F1894" i="5"/>
  <c r="F1895" i="5"/>
  <c r="F1896" i="5"/>
  <c r="F1897" i="5"/>
  <c r="F1898" i="5"/>
  <c r="F1899" i="5"/>
  <c r="F1900" i="5"/>
  <c r="F1901" i="5"/>
  <c r="F1902" i="5"/>
  <c r="F1903" i="5"/>
  <c r="F1904" i="5"/>
  <c r="F1905" i="5"/>
  <c r="F1906" i="5"/>
  <c r="F1907" i="5"/>
  <c r="F1908" i="5"/>
  <c r="F1909" i="5"/>
  <c r="F1910" i="5"/>
  <c r="F1911" i="5"/>
  <c r="F1912" i="5"/>
  <c r="F1913" i="5"/>
  <c r="F1914" i="5"/>
  <c r="F1915" i="5"/>
  <c r="F1916" i="5"/>
  <c r="F1917" i="5"/>
  <c r="F1918" i="5"/>
  <c r="F1919" i="5"/>
  <c r="F1920" i="5"/>
  <c r="F1921" i="5"/>
  <c r="F1922" i="5"/>
  <c r="F1923" i="5"/>
  <c r="F1924" i="5"/>
  <c r="F1925" i="5"/>
  <c r="F1926" i="5"/>
  <c r="F1927" i="5"/>
  <c r="F1928" i="5"/>
  <c r="F1929" i="5"/>
  <c r="F1930" i="5"/>
  <c r="F1931" i="5"/>
  <c r="F1932" i="5"/>
  <c r="F1933" i="5"/>
  <c r="F1934" i="5"/>
  <c r="F1935" i="5"/>
  <c r="F1936" i="5"/>
  <c r="F1937" i="5"/>
  <c r="F1938" i="5"/>
  <c r="F1939" i="5"/>
  <c r="F1940" i="5"/>
  <c r="F1941" i="5"/>
  <c r="F1942" i="5"/>
  <c r="F1943" i="5"/>
  <c r="F1944" i="5"/>
  <c r="F1945" i="5"/>
  <c r="F1946" i="5"/>
  <c r="F1947" i="5"/>
  <c r="F1948" i="5"/>
  <c r="F1949" i="5"/>
  <c r="F1950" i="5"/>
  <c r="F1951" i="5"/>
  <c r="F1952" i="5"/>
  <c r="F1953" i="5"/>
  <c r="F1954" i="5"/>
  <c r="F1955" i="5"/>
  <c r="F1956" i="5"/>
  <c r="F1957" i="5"/>
  <c r="F1958" i="5"/>
  <c r="F1959" i="5"/>
  <c r="F1960" i="5"/>
  <c r="F1961" i="5"/>
  <c r="F1962" i="5"/>
  <c r="F1963" i="5"/>
  <c r="F1964" i="5"/>
  <c r="F1965" i="5"/>
  <c r="F1966" i="5"/>
  <c r="F1967" i="5"/>
  <c r="F1968" i="5"/>
  <c r="F1969" i="5"/>
  <c r="F1970" i="5"/>
  <c r="F1971" i="5"/>
  <c r="F1972" i="5"/>
  <c r="F1973" i="5"/>
  <c r="F1974" i="5"/>
  <c r="F1975" i="5"/>
  <c r="F1976" i="5"/>
  <c r="F1977" i="5"/>
  <c r="F1978" i="5"/>
  <c r="F1979" i="5"/>
  <c r="F1980" i="5"/>
  <c r="F1981" i="5"/>
  <c r="F1982" i="5"/>
  <c r="F1983" i="5"/>
  <c r="F1984" i="5"/>
  <c r="F1985" i="5"/>
  <c r="F1986" i="5"/>
  <c r="F1987" i="5"/>
  <c r="F1988" i="5"/>
  <c r="F1989" i="5"/>
  <c r="F1990" i="5"/>
  <c r="F1991" i="5"/>
  <c r="F1992" i="5"/>
  <c r="F1993" i="5"/>
  <c r="F1994" i="5"/>
  <c r="F1995" i="5"/>
  <c r="F1996" i="5"/>
  <c r="F1997" i="5"/>
  <c r="F1998" i="5"/>
  <c r="F1999" i="5"/>
  <c r="F2000" i="5"/>
  <c r="F2001" i="5"/>
  <c r="F2002" i="5"/>
  <c r="F2003" i="5"/>
  <c r="F2004" i="5"/>
  <c r="F2005" i="5"/>
  <c r="F2006" i="5"/>
  <c r="F2007" i="5"/>
  <c r="F2008" i="5"/>
  <c r="F2009" i="5"/>
  <c r="F2010" i="5"/>
  <c r="F2011" i="5"/>
  <c r="F2012" i="5"/>
  <c r="F2013" i="5"/>
  <c r="F2014" i="5"/>
  <c r="F2015" i="5"/>
  <c r="F2016" i="5"/>
  <c r="F2017" i="5"/>
  <c r="F2018" i="5"/>
  <c r="F2019" i="5"/>
  <c r="F2020" i="5"/>
  <c r="F2021" i="5"/>
  <c r="F2022" i="5"/>
  <c r="F2023" i="5"/>
  <c r="F2024" i="5"/>
  <c r="F2025" i="5"/>
  <c r="F2026" i="5"/>
  <c r="F2027" i="5"/>
  <c r="F2028" i="5"/>
  <c r="F2029" i="5"/>
  <c r="F2030" i="5"/>
  <c r="F2031" i="5"/>
  <c r="F2032" i="5"/>
  <c r="F2033" i="5"/>
  <c r="F2034" i="5"/>
  <c r="F2035" i="5"/>
  <c r="F2036" i="5"/>
  <c r="F2037" i="5"/>
  <c r="F2038" i="5"/>
  <c r="F2039" i="5"/>
  <c r="F2040" i="5"/>
  <c r="F2041" i="5"/>
  <c r="F2042" i="5"/>
  <c r="F2043" i="5"/>
  <c r="F2044" i="5"/>
  <c r="F2045" i="5"/>
  <c r="F2046" i="5"/>
  <c r="F2047" i="5"/>
  <c r="F2048" i="5"/>
  <c r="F2049" i="5"/>
  <c r="F2050" i="5"/>
  <c r="F2051" i="5"/>
  <c r="I2" i="5"/>
  <c r="Q4" i="7"/>
  <c r="Q3" i="7"/>
  <c r="Q7" i="7"/>
  <c r="A18" i="1"/>
  <c r="J4" i="7"/>
  <c r="A16" i="1"/>
  <c r="A21" i="1"/>
  <c r="A11" i="1"/>
  <c r="Q8" i="7"/>
  <c r="J2" i="7"/>
  <c r="J3" i="7"/>
  <c r="Q5" i="7"/>
  <c r="J6" i="7"/>
  <c r="J5" i="7"/>
  <c r="P16" i="7" l="1"/>
  <c r="P12" i="7"/>
  <c r="P14" i="7"/>
  <c r="Q6" i="7"/>
  <c r="Q2" i="7"/>
  <c r="P15" i="7" l="1"/>
  <c r="P11" i="7"/>
  <c r="P13" i="7"/>
  <c r="P17"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A9C17CF-0D83-4E91-BB37-FB067601526E}" keepAlive="1" name="Query - messy data" description="Connection to the 'messy data' query in the workbook." type="5" refreshedVersion="0" background="1">
    <dbPr connection="Provider=Microsoft.Mashup.OleDb.1;Data Source=$Workbook$;Location=&quot;messy data&quot;;Extended Properties=&quot;&quot;" command="SELECT * FROM [messy data]"/>
  </connection>
  <connection id="2" xr16:uid="{394E743F-6C53-4CB7-9F9F-E3A91D7566F5}" keepAlive="1" name="Query - messy_customers csv" description="Connection to the 'messy_customers csv' query in the workbook." type="5" refreshedVersion="8" background="1" saveData="1">
    <dbPr connection="Provider=Microsoft.Mashup.OleDb.1;Data Source=$Workbook$;Location=&quot;messy_customers csv&quot;;Extended Properties=&quot;&quot;" command="SELECT * FROM [messy_customers csv]"/>
  </connection>
  <connection id="3" xr16:uid="{4DC71052-1AED-4247-B33B-C4FB38EDAAF2}" keepAlive="1" name="Query - messy_order_items csv" description="Connection to the 'messy_order_items csv' query in the workbook." type="5" refreshedVersion="8" background="1" saveData="1">
    <dbPr connection="Provider=Microsoft.Mashup.OleDb.1;Data Source=$Workbook$;Location=&quot;messy_order_items csv&quot;;Extended Properties=&quot;&quot;" command="SELECT * FROM [messy_order_items csv]"/>
  </connection>
  <connection id="4" xr16:uid="{B4F7C1E6-B85F-44D2-9913-0C2464803D37}" keepAlive="1" name="Query - messy_orders csv" description="Connection to the 'messy_orders csv' query in the workbook." type="5" refreshedVersion="8" background="1" saveData="1">
    <dbPr connection="Provider=Microsoft.Mashup.OleDb.1;Data Source=$Workbook$;Location=&quot;messy_orders csv&quot;;Extended Properties=&quot;&quot;" command="SELECT * FROM [messy_orders csv]"/>
  </connection>
  <connection id="5" xr16:uid="{ECC1A812-9DCA-4D04-B3F3-45E1D45DA97A}" keepAlive="1" name="Query - messy_products csv" description="Connection to the 'messy_products csv' query in the workbook." type="5" refreshedVersion="8" background="1" saveData="1">
    <dbPr connection="Provider=Microsoft.Mashup.OleDb.1;Data Source=$Workbook$;Location=&quot;messy_products csv&quot;;Extended Properties=&quot;&quot;" command="SELECT * FROM [messy_products csv]"/>
  </connection>
  <connection id="6" xr16:uid="{EEA2D22B-ED46-46BD-A4D0-2BF5F747619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7" xr16:uid="{F00ED61D-6973-46AD-9C69-2268A55A9C90}" name="WorksheetConnection_Book1!messy_customers_csv" type="102" refreshedVersion="8" minRefreshableVersion="5">
    <extLst>
      <ext xmlns:x15="http://schemas.microsoft.com/office/spreadsheetml/2010/11/main" uri="{DE250136-89BD-433C-8126-D09CA5730AF9}">
        <x15:connection id="messy_customers_csv">
          <x15:rangePr sourceName="_xlcn.WorksheetConnection_Book1messy_customers_csv"/>
        </x15:connection>
      </ext>
    </extLst>
  </connection>
  <connection id="8" xr16:uid="{BD4D1199-55D9-452F-B2AE-9E36436EF5B3}" name="WorksheetConnection_Book1!messy_order_items_csv" type="102" refreshedVersion="8" minRefreshableVersion="5">
    <extLst>
      <ext xmlns:x15="http://schemas.microsoft.com/office/spreadsheetml/2010/11/main" uri="{DE250136-89BD-433C-8126-D09CA5730AF9}">
        <x15:connection id="messy_order_items_csv">
          <x15:rangePr sourceName="_xlcn.WorksheetConnection_Book1messy_order_items_csv"/>
        </x15:connection>
      </ext>
    </extLst>
  </connection>
  <connection id="9" xr16:uid="{E52F6B3A-8BBB-4E7F-B8EE-6C4F0B17E412}" name="WorksheetConnection_Book1!messy_orders_csv" type="102" refreshedVersion="8" minRefreshableVersion="5">
    <extLst>
      <ext xmlns:x15="http://schemas.microsoft.com/office/spreadsheetml/2010/11/main" uri="{DE250136-89BD-433C-8126-D09CA5730AF9}">
        <x15:connection id="messy_orders_csv">
          <x15:rangePr sourceName="_xlcn.WorksheetConnection_Book1messy_orders_csv"/>
        </x15:connection>
      </ext>
    </extLst>
  </connection>
  <connection id="10" xr16:uid="{222823F8-F059-41BF-97B5-7A470A0674EC}" name="WorksheetConnection_Book1!messy_products_csv" type="102" refreshedVersion="8" minRefreshableVersion="5">
    <extLst>
      <ext xmlns:x15="http://schemas.microsoft.com/office/spreadsheetml/2010/11/main" uri="{DE250136-89BD-433C-8126-D09CA5730AF9}">
        <x15:connection id="messy_products_csv">
          <x15:rangePr sourceName="_xlcn.WorksheetConnection_Book1messy_products_csv"/>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<sst xmlns="http://schemas.openxmlformats.org/spreadsheetml/2006/main" count="9638" uniqueCount="2342">
  <si>
    <t>customer_id</t>
  </si>
  <si>
    <t>customer_name</t>
  </si>
  <si>
    <t>city</t>
  </si>
  <si>
    <t>signup_date</t>
  </si>
  <si>
    <t>C0001</t>
  </si>
  <si>
    <t>Customer_1</t>
  </si>
  <si>
    <t>C0002</t>
  </si>
  <si>
    <t>Customer_2</t>
  </si>
  <si>
    <t>C0003</t>
  </si>
  <si>
    <t>Customer_3</t>
  </si>
  <si>
    <t>C0004</t>
  </si>
  <si>
    <t>Customer_4</t>
  </si>
  <si>
    <t>Pune</t>
  </si>
  <si>
    <t>C0005</t>
  </si>
  <si>
    <t/>
  </si>
  <si>
    <t>C0006</t>
  </si>
  <si>
    <t>Customer_6</t>
  </si>
  <si>
    <t>C0007</t>
  </si>
  <si>
    <t>Customer_7</t>
  </si>
  <si>
    <t>Chennai</t>
  </si>
  <si>
    <t>C0008</t>
  </si>
  <si>
    <t>Customer_8</t>
  </si>
  <si>
    <t>Kolkata</t>
  </si>
  <si>
    <t>C0009</t>
  </si>
  <si>
    <t>Customer_9</t>
  </si>
  <si>
    <t>Delhi</t>
  </si>
  <si>
    <t>C0010</t>
  </si>
  <si>
    <t>Customer_10</t>
  </si>
  <si>
    <t>C0011</t>
  </si>
  <si>
    <t>C0012</t>
  </si>
  <si>
    <t>Customer_12</t>
  </si>
  <si>
    <t>C0013</t>
  </si>
  <si>
    <t>Customer_13</t>
  </si>
  <si>
    <t>C0014</t>
  </si>
  <si>
    <t>Customer_14</t>
  </si>
  <si>
    <t>C0015</t>
  </si>
  <si>
    <t>Customer_15</t>
  </si>
  <si>
    <t>Mumbai</t>
  </si>
  <si>
    <t>C0016</t>
  </si>
  <si>
    <t>Customer_16</t>
  </si>
  <si>
    <t>C0017</t>
  </si>
  <si>
    <t>Customer_17</t>
  </si>
  <si>
    <t>C0018</t>
  </si>
  <si>
    <t>Customer_18</t>
  </si>
  <si>
    <t>C0019</t>
  </si>
  <si>
    <t>Customer_19</t>
  </si>
  <si>
    <t>Hyderabad</t>
  </si>
  <si>
    <t>C0020</t>
  </si>
  <si>
    <t>Customer_20</t>
  </si>
  <si>
    <t>C0021</t>
  </si>
  <si>
    <t>Customer_21</t>
  </si>
  <si>
    <t>C0022</t>
  </si>
  <si>
    <t>Customer_22</t>
  </si>
  <si>
    <t>C0023</t>
  </si>
  <si>
    <t>Customer_23</t>
  </si>
  <si>
    <t>C0024</t>
  </si>
  <si>
    <t>Customer_24</t>
  </si>
  <si>
    <t>C0025</t>
  </si>
  <si>
    <t>Customer_25</t>
  </si>
  <si>
    <t>C0026</t>
  </si>
  <si>
    <t>Customer_26</t>
  </si>
  <si>
    <t>C0027</t>
  </si>
  <si>
    <t>Customer_27</t>
  </si>
  <si>
    <t>C0028</t>
  </si>
  <si>
    <t>C0029</t>
  </si>
  <si>
    <t>Customer_29</t>
  </si>
  <si>
    <t>C0030</t>
  </si>
  <si>
    <t>Customer_30</t>
  </si>
  <si>
    <t>C0031</t>
  </si>
  <si>
    <t>Customer_31</t>
  </si>
  <si>
    <t>C0032</t>
  </si>
  <si>
    <t>Customer_32</t>
  </si>
  <si>
    <t>C0033</t>
  </si>
  <si>
    <t>Customer_33</t>
  </si>
  <si>
    <t>mumbai</t>
  </si>
  <si>
    <t>C0034</t>
  </si>
  <si>
    <t>Customer_34</t>
  </si>
  <si>
    <t>C0035</t>
  </si>
  <si>
    <t>Customer_35</t>
  </si>
  <si>
    <t>C0036</t>
  </si>
  <si>
    <t>Customer_36</t>
  </si>
  <si>
    <t>C0037</t>
  </si>
  <si>
    <t>Customer_37</t>
  </si>
  <si>
    <t>C0038</t>
  </si>
  <si>
    <t>Customer_38</t>
  </si>
  <si>
    <t>C0039</t>
  </si>
  <si>
    <t>Customer_39</t>
  </si>
  <si>
    <t>C0040</t>
  </si>
  <si>
    <t>Customer_40</t>
  </si>
  <si>
    <t>C0041</t>
  </si>
  <si>
    <t>Customer_41</t>
  </si>
  <si>
    <t>C0042</t>
  </si>
  <si>
    <t>Customer_42</t>
  </si>
  <si>
    <t>C0043</t>
  </si>
  <si>
    <t>Customer_43</t>
  </si>
  <si>
    <t>C0044</t>
  </si>
  <si>
    <t>Customer_44</t>
  </si>
  <si>
    <t>C0045</t>
  </si>
  <si>
    <t>Customer_45</t>
  </si>
  <si>
    <t>C0046</t>
  </si>
  <si>
    <t>Customer_46</t>
  </si>
  <si>
    <t>C0047</t>
  </si>
  <si>
    <t>Customer_47</t>
  </si>
  <si>
    <t>C0048</t>
  </si>
  <si>
    <t>Customer_48</t>
  </si>
  <si>
    <t>C0049</t>
  </si>
  <si>
    <t>Customer_49</t>
  </si>
  <si>
    <t>C0050</t>
  </si>
  <si>
    <t>Customer_50</t>
  </si>
  <si>
    <t>C0051</t>
  </si>
  <si>
    <t>Customer_51</t>
  </si>
  <si>
    <t>C0052</t>
  </si>
  <si>
    <t>Customer_52</t>
  </si>
  <si>
    <t>C0053</t>
  </si>
  <si>
    <t>Customer_53</t>
  </si>
  <si>
    <t>C0054</t>
  </si>
  <si>
    <t>Customer_54</t>
  </si>
  <si>
    <t>C0055</t>
  </si>
  <si>
    <t>Customer_55</t>
  </si>
  <si>
    <t>C0056</t>
  </si>
  <si>
    <t>Customer_56</t>
  </si>
  <si>
    <t>C0057</t>
  </si>
  <si>
    <t>Customer_57</t>
  </si>
  <si>
    <t>C0058</t>
  </si>
  <si>
    <t>Customer_58</t>
  </si>
  <si>
    <t>C0059</t>
  </si>
  <si>
    <t>Customer_59</t>
  </si>
  <si>
    <t>C0060</t>
  </si>
  <si>
    <t>Customer_60</t>
  </si>
  <si>
    <t>C0061</t>
  </si>
  <si>
    <t>Customer_61</t>
  </si>
  <si>
    <t>C0062</t>
  </si>
  <si>
    <t>Customer_62</t>
  </si>
  <si>
    <t>C0063</t>
  </si>
  <si>
    <t>Customer_63</t>
  </si>
  <si>
    <t>C0064</t>
  </si>
  <si>
    <t>Customer_64</t>
  </si>
  <si>
    <t>C0065</t>
  </si>
  <si>
    <t>C0066</t>
  </si>
  <si>
    <t>Customer_66</t>
  </si>
  <si>
    <t>C0067</t>
  </si>
  <si>
    <t>Customer_67</t>
  </si>
  <si>
    <t>C0068</t>
  </si>
  <si>
    <t>Customer_68</t>
  </si>
  <si>
    <t>C0069</t>
  </si>
  <si>
    <t>Customer_69</t>
  </si>
  <si>
    <t>C0070</t>
  </si>
  <si>
    <t>Customer_70</t>
  </si>
  <si>
    <t>C0071</t>
  </si>
  <si>
    <t>Customer_71</t>
  </si>
  <si>
    <t>C0072</t>
  </si>
  <si>
    <t>Customer_72</t>
  </si>
  <si>
    <t>C0073</t>
  </si>
  <si>
    <t>Customer_73</t>
  </si>
  <si>
    <t>C0074</t>
  </si>
  <si>
    <t>Customer_74</t>
  </si>
  <si>
    <t>C0075</t>
  </si>
  <si>
    <t>Customer_75</t>
  </si>
  <si>
    <t>C0076</t>
  </si>
  <si>
    <t>Customer_76</t>
  </si>
  <si>
    <t>C0077</t>
  </si>
  <si>
    <t>Customer_77</t>
  </si>
  <si>
    <t>C0078</t>
  </si>
  <si>
    <t>Customer_78</t>
  </si>
  <si>
    <t>C0079</t>
  </si>
  <si>
    <t>Customer_79</t>
  </si>
  <si>
    <t>C0080</t>
  </si>
  <si>
    <t>Customer_80</t>
  </si>
  <si>
    <t>C0081</t>
  </si>
  <si>
    <t>Customer_81</t>
  </si>
  <si>
    <t>C0082</t>
  </si>
  <si>
    <t>Customer_82</t>
  </si>
  <si>
    <t>C0083</t>
  </si>
  <si>
    <t>Customer_83</t>
  </si>
  <si>
    <t>C0084</t>
  </si>
  <si>
    <t>Customer_84</t>
  </si>
  <si>
    <t>C0085</t>
  </si>
  <si>
    <t>Customer_85</t>
  </si>
  <si>
    <t>C0086</t>
  </si>
  <si>
    <t>Customer_86</t>
  </si>
  <si>
    <t>C0087</t>
  </si>
  <si>
    <t>Customer_87</t>
  </si>
  <si>
    <t>C0088</t>
  </si>
  <si>
    <t>Customer_88</t>
  </si>
  <si>
    <t>C0089</t>
  </si>
  <si>
    <t>Customer_89</t>
  </si>
  <si>
    <t>C0090</t>
  </si>
  <si>
    <t>Customer_90</t>
  </si>
  <si>
    <t>C0091</t>
  </si>
  <si>
    <t>Customer_91</t>
  </si>
  <si>
    <t>C0092</t>
  </si>
  <si>
    <t>C0093</t>
  </si>
  <si>
    <t>Customer_93</t>
  </si>
  <si>
    <t>C0094</t>
  </si>
  <si>
    <t>Customer_94</t>
  </si>
  <si>
    <t>C0095</t>
  </si>
  <si>
    <t>Customer_95</t>
  </si>
  <si>
    <t>C0096</t>
  </si>
  <si>
    <t>Customer_96</t>
  </si>
  <si>
    <t>C0097</t>
  </si>
  <si>
    <t>Customer_97</t>
  </si>
  <si>
    <t>C0098</t>
  </si>
  <si>
    <t>Customer_98</t>
  </si>
  <si>
    <t>C0099</t>
  </si>
  <si>
    <t>Customer_99</t>
  </si>
  <si>
    <t>C0100</t>
  </si>
  <si>
    <t>Customer_100</t>
  </si>
  <si>
    <t>C0101</t>
  </si>
  <si>
    <t>C0102</t>
  </si>
  <si>
    <t>Customer_102</t>
  </si>
  <si>
    <t>C0103</t>
  </si>
  <si>
    <t>Customer_103</t>
  </si>
  <si>
    <t>C0104</t>
  </si>
  <si>
    <t>Customer_104</t>
  </si>
  <si>
    <t>C0105</t>
  </si>
  <si>
    <t>Customer_105</t>
  </si>
  <si>
    <t>C0106</t>
  </si>
  <si>
    <t>Customer_106</t>
  </si>
  <si>
    <t>C0107</t>
  </si>
  <si>
    <t>Customer_107</t>
  </si>
  <si>
    <t>C0108</t>
  </si>
  <si>
    <t>Customer_108</t>
  </si>
  <si>
    <t>C0109</t>
  </si>
  <si>
    <t>Customer_109</t>
  </si>
  <si>
    <t>C0110</t>
  </si>
  <si>
    <t>Customer_110</t>
  </si>
  <si>
    <t>C0111</t>
  </si>
  <si>
    <t>Customer_111</t>
  </si>
  <si>
    <t>C0112</t>
  </si>
  <si>
    <t>Customer_112</t>
  </si>
  <si>
    <t>C0113</t>
  </si>
  <si>
    <t>Customer_113</t>
  </si>
  <si>
    <t>C0114</t>
  </si>
  <si>
    <t>Customer_114</t>
  </si>
  <si>
    <t>C0115</t>
  </si>
  <si>
    <t>Customer_115</t>
  </si>
  <si>
    <t>C0116</t>
  </si>
  <si>
    <t>Customer_116</t>
  </si>
  <si>
    <t>C0117</t>
  </si>
  <si>
    <t>C0118</t>
  </si>
  <si>
    <t>Customer_118</t>
  </si>
  <si>
    <t>C0119</t>
  </si>
  <si>
    <t>Customer_119</t>
  </si>
  <si>
    <t>C0120</t>
  </si>
  <si>
    <t>Customer_120</t>
  </si>
  <si>
    <t>C0121</t>
  </si>
  <si>
    <t>Customer_121</t>
  </si>
  <si>
    <t>C0122</t>
  </si>
  <si>
    <t>Customer_122</t>
  </si>
  <si>
    <t>C0123</t>
  </si>
  <si>
    <t>Customer_123</t>
  </si>
  <si>
    <t>C0124</t>
  </si>
  <si>
    <t>Customer_124</t>
  </si>
  <si>
    <t>C0125</t>
  </si>
  <si>
    <t>C0126</t>
  </si>
  <si>
    <t>Customer_126</t>
  </si>
  <si>
    <t>C0127</t>
  </si>
  <si>
    <t>Customer_127</t>
  </si>
  <si>
    <t>C0128</t>
  </si>
  <si>
    <t>Customer_128</t>
  </si>
  <si>
    <t>C0129</t>
  </si>
  <si>
    <t>Customer_129</t>
  </si>
  <si>
    <t>C0130</t>
  </si>
  <si>
    <t>Customer_130</t>
  </si>
  <si>
    <t>C0131</t>
  </si>
  <si>
    <t>Customer_131</t>
  </si>
  <si>
    <t>C0132</t>
  </si>
  <si>
    <t>Customer_132</t>
  </si>
  <si>
    <t>C0133</t>
  </si>
  <si>
    <t>Customer_133</t>
  </si>
  <si>
    <t>C0134</t>
  </si>
  <si>
    <t>Customer_134</t>
  </si>
  <si>
    <t>C0135</t>
  </si>
  <si>
    <t>Customer_135</t>
  </si>
  <si>
    <t>C0136</t>
  </si>
  <si>
    <t>Customer_136</t>
  </si>
  <si>
    <t>C0137</t>
  </si>
  <si>
    <t>Customer_137</t>
  </si>
  <si>
    <t>C0138</t>
  </si>
  <si>
    <t>Customer_138</t>
  </si>
  <si>
    <t>C0139</t>
  </si>
  <si>
    <t>Customer_139</t>
  </si>
  <si>
    <t>C0140</t>
  </si>
  <si>
    <t>Customer_140</t>
  </si>
  <si>
    <t>C0141</t>
  </si>
  <si>
    <t>Customer_141</t>
  </si>
  <si>
    <t>C0142</t>
  </si>
  <si>
    <t>Customer_142</t>
  </si>
  <si>
    <t>C0143</t>
  </si>
  <si>
    <t>Customer_143</t>
  </si>
  <si>
    <t>C0144</t>
  </si>
  <si>
    <t>Customer_144</t>
  </si>
  <si>
    <t>C0145</t>
  </si>
  <si>
    <t>Customer_145</t>
  </si>
  <si>
    <t>C0146</t>
  </si>
  <si>
    <t>Customer_146</t>
  </si>
  <si>
    <t>C0147</t>
  </si>
  <si>
    <t>C0148</t>
  </si>
  <si>
    <t>Customer_148</t>
  </si>
  <si>
    <t>C0149</t>
  </si>
  <si>
    <t>Customer_149</t>
  </si>
  <si>
    <t>C0150</t>
  </si>
  <si>
    <t>Customer_150</t>
  </si>
  <si>
    <t>C0151</t>
  </si>
  <si>
    <t>Customer_151</t>
  </si>
  <si>
    <t>C0152</t>
  </si>
  <si>
    <t>Customer_152</t>
  </si>
  <si>
    <t>C0153</t>
  </si>
  <si>
    <t>C0154</t>
  </si>
  <si>
    <t>Customer_154</t>
  </si>
  <si>
    <t>C0155</t>
  </si>
  <si>
    <t>Customer_155</t>
  </si>
  <si>
    <t>C0156</t>
  </si>
  <si>
    <t>Customer_156</t>
  </si>
  <si>
    <t>C0157</t>
  </si>
  <si>
    <t>Customer_157</t>
  </si>
  <si>
    <t>C0158</t>
  </si>
  <si>
    <t>Customer_158</t>
  </si>
  <si>
    <t>C0159</t>
  </si>
  <si>
    <t>Customer_159</t>
  </si>
  <si>
    <t>C0160</t>
  </si>
  <si>
    <t>Customer_160</t>
  </si>
  <si>
    <t>C0161</t>
  </si>
  <si>
    <t>Customer_161</t>
  </si>
  <si>
    <t>C0162</t>
  </si>
  <si>
    <t>Customer_162</t>
  </si>
  <si>
    <t>C0163</t>
  </si>
  <si>
    <t>Customer_163</t>
  </si>
  <si>
    <t>C0164</t>
  </si>
  <si>
    <t>Customer_164</t>
  </si>
  <si>
    <t>C0165</t>
  </si>
  <si>
    <t>Customer_165</t>
  </si>
  <si>
    <t>C0166</t>
  </si>
  <si>
    <t>Customer_166</t>
  </si>
  <si>
    <t>C0167</t>
  </si>
  <si>
    <t>Customer_167</t>
  </si>
  <si>
    <t>C0168</t>
  </si>
  <si>
    <t>Customer_168</t>
  </si>
  <si>
    <t>C0169</t>
  </si>
  <si>
    <t>Customer_169</t>
  </si>
  <si>
    <t>C0170</t>
  </si>
  <si>
    <t>Customer_170</t>
  </si>
  <si>
    <t>C0171</t>
  </si>
  <si>
    <t>Customer_171</t>
  </si>
  <si>
    <t>C0172</t>
  </si>
  <si>
    <t>Customer_172</t>
  </si>
  <si>
    <t>C0173</t>
  </si>
  <si>
    <t>C0174</t>
  </si>
  <si>
    <t>Customer_174</t>
  </si>
  <si>
    <t>C0175</t>
  </si>
  <si>
    <t>Customer_175</t>
  </si>
  <si>
    <t>C0176</t>
  </si>
  <si>
    <t>Customer_176</t>
  </si>
  <si>
    <t>C0177</t>
  </si>
  <si>
    <t>Customer_177</t>
  </si>
  <si>
    <t>C0178</t>
  </si>
  <si>
    <t>Customer_178</t>
  </si>
  <si>
    <t>C0179</t>
  </si>
  <si>
    <t>Customer_179</t>
  </si>
  <si>
    <t>C0180</t>
  </si>
  <si>
    <t>Customer_180</t>
  </si>
  <si>
    <t>C0181</t>
  </si>
  <si>
    <t>Customer_181</t>
  </si>
  <si>
    <t>C0182</t>
  </si>
  <si>
    <t>Customer_182</t>
  </si>
  <si>
    <t>C0183</t>
  </si>
  <si>
    <t>Customer_183</t>
  </si>
  <si>
    <t>C0184</t>
  </si>
  <si>
    <t>Customer_184</t>
  </si>
  <si>
    <t>C0185</t>
  </si>
  <si>
    <t>Customer_185</t>
  </si>
  <si>
    <t>C0186</t>
  </si>
  <si>
    <t>Customer_186</t>
  </si>
  <si>
    <t>C0187</t>
  </si>
  <si>
    <t>Customer_187</t>
  </si>
  <si>
    <t>C0188</t>
  </si>
  <si>
    <t>Customer_188</t>
  </si>
  <si>
    <t>C0189</t>
  </si>
  <si>
    <t>Customer_189</t>
  </si>
  <si>
    <t>C0190</t>
  </si>
  <si>
    <t>Customer_190</t>
  </si>
  <si>
    <t>C0191</t>
  </si>
  <si>
    <t>Customer_191</t>
  </si>
  <si>
    <t>C0192</t>
  </si>
  <si>
    <t>Customer_192</t>
  </si>
  <si>
    <t>C0193</t>
  </si>
  <si>
    <t>Customer_193</t>
  </si>
  <si>
    <t>C0194</t>
  </si>
  <si>
    <t>Customer_194</t>
  </si>
  <si>
    <t>C0195</t>
  </si>
  <si>
    <t>Customer_195</t>
  </si>
  <si>
    <t>C0196</t>
  </si>
  <si>
    <t>Customer_196</t>
  </si>
  <si>
    <t>C0197</t>
  </si>
  <si>
    <t>Customer_197</t>
  </si>
  <si>
    <t>C0198</t>
  </si>
  <si>
    <t>C0199</t>
  </si>
  <si>
    <t>Customer_199</t>
  </si>
  <si>
    <t>C0200</t>
  </si>
  <si>
    <t>Customer_200</t>
  </si>
  <si>
    <t>C0201</t>
  </si>
  <si>
    <t>Customer_201</t>
  </si>
  <si>
    <t>C0202</t>
  </si>
  <si>
    <t>Customer_202</t>
  </si>
  <si>
    <t>C0203</t>
  </si>
  <si>
    <t>Customer_203</t>
  </si>
  <si>
    <t>C0204</t>
  </si>
  <si>
    <t>Customer_204</t>
  </si>
  <si>
    <t>C0205</t>
  </si>
  <si>
    <t>Customer_205</t>
  </si>
  <si>
    <t>C0206</t>
  </si>
  <si>
    <t>Customer_206</t>
  </si>
  <si>
    <t>C0207</t>
  </si>
  <si>
    <t>Customer_207</t>
  </si>
  <si>
    <t>C0208</t>
  </si>
  <si>
    <t>Customer_208</t>
  </si>
  <si>
    <t>C0209</t>
  </si>
  <si>
    <t>Customer_209</t>
  </si>
  <si>
    <t>C0210</t>
  </si>
  <si>
    <t>Customer_210</t>
  </si>
  <si>
    <t>C0211</t>
  </si>
  <si>
    <t>Customer_211</t>
  </si>
  <si>
    <t>C0212</t>
  </si>
  <si>
    <t>Customer_212</t>
  </si>
  <si>
    <t>C0213</t>
  </si>
  <si>
    <t>Customer_213</t>
  </si>
  <si>
    <t>C0214</t>
  </si>
  <si>
    <t>Customer_214</t>
  </si>
  <si>
    <t>C0215</t>
  </si>
  <si>
    <t>Customer_215</t>
  </si>
  <si>
    <t>C0216</t>
  </si>
  <si>
    <t>C0217</t>
  </si>
  <si>
    <t>Customer_217</t>
  </si>
  <si>
    <t>C0218</t>
  </si>
  <si>
    <t>Customer_218</t>
  </si>
  <si>
    <t>C0219</t>
  </si>
  <si>
    <t>Customer_219</t>
  </si>
  <si>
    <t>C0220</t>
  </si>
  <si>
    <t>Customer_220</t>
  </si>
  <si>
    <t>C0221</t>
  </si>
  <si>
    <t>Customer_221</t>
  </si>
  <si>
    <t>C0222</t>
  </si>
  <si>
    <t>Customer_222</t>
  </si>
  <si>
    <t>C0223</t>
  </si>
  <si>
    <t>Customer_223</t>
  </si>
  <si>
    <t>C0224</t>
  </si>
  <si>
    <t>Customer_224</t>
  </si>
  <si>
    <t>C0225</t>
  </si>
  <si>
    <t>C0226</t>
  </si>
  <si>
    <t>Customer_226</t>
  </si>
  <si>
    <t>C0227</t>
  </si>
  <si>
    <t>Customer_227</t>
  </si>
  <si>
    <t>C0228</t>
  </si>
  <si>
    <t>Customer_228</t>
  </si>
  <si>
    <t>C0229</t>
  </si>
  <si>
    <t>Customer_229</t>
  </si>
  <si>
    <t>C0230</t>
  </si>
  <si>
    <t>Customer_230</t>
  </si>
  <si>
    <t>C0231</t>
  </si>
  <si>
    <t>Customer_231</t>
  </si>
  <si>
    <t>C0232</t>
  </si>
  <si>
    <t>Customer_232</t>
  </si>
  <si>
    <t>C0233</t>
  </si>
  <si>
    <t>Customer_233</t>
  </si>
  <si>
    <t>C0234</t>
  </si>
  <si>
    <t>Customer_234</t>
  </si>
  <si>
    <t>C0235</t>
  </si>
  <si>
    <t>Customer_235</t>
  </si>
  <si>
    <t>C0236</t>
  </si>
  <si>
    <t>C0237</t>
  </si>
  <si>
    <t>Customer_237</t>
  </si>
  <si>
    <t>C0238</t>
  </si>
  <si>
    <t>Customer_238</t>
  </si>
  <si>
    <t>C0239</t>
  </si>
  <si>
    <t>Customer_239</t>
  </si>
  <si>
    <t>C0240</t>
  </si>
  <si>
    <t>Customer_240</t>
  </si>
  <si>
    <t>C0241</t>
  </si>
  <si>
    <t>Customer_241</t>
  </si>
  <si>
    <t>C0242</t>
  </si>
  <si>
    <t>Customer_242</t>
  </si>
  <si>
    <t>C0243</t>
  </si>
  <si>
    <t>Customer_243</t>
  </si>
  <si>
    <t>C0244</t>
  </si>
  <si>
    <t>Customer_244</t>
  </si>
  <si>
    <t>C0245</t>
  </si>
  <si>
    <t>C0246</t>
  </si>
  <si>
    <t>Customer_246</t>
  </si>
  <si>
    <t>C0247</t>
  </si>
  <si>
    <t>Customer_247</t>
  </si>
  <si>
    <t>C0248</t>
  </si>
  <si>
    <t>Customer_248</t>
  </si>
  <si>
    <t>C0249</t>
  </si>
  <si>
    <t>Customer_249</t>
  </si>
  <si>
    <t>C0250</t>
  </si>
  <si>
    <t>Customer_250</t>
  </si>
  <si>
    <t>C0251</t>
  </si>
  <si>
    <t>C0252</t>
  </si>
  <si>
    <t>Customer_252</t>
  </si>
  <si>
    <t>C0253</t>
  </si>
  <si>
    <t>Customer_253</t>
  </si>
  <si>
    <t>C0254</t>
  </si>
  <si>
    <t>Customer_254</t>
  </si>
  <si>
    <t>C0255</t>
  </si>
  <si>
    <t>Customer_255</t>
  </si>
  <si>
    <t>C0256</t>
  </si>
  <si>
    <t>Customer_256</t>
  </si>
  <si>
    <t>C0257</t>
  </si>
  <si>
    <t>Customer_257</t>
  </si>
  <si>
    <t>C0258</t>
  </si>
  <si>
    <t>Customer_258</t>
  </si>
  <si>
    <t>C0259</t>
  </si>
  <si>
    <t>Customer_259</t>
  </si>
  <si>
    <t>C0260</t>
  </si>
  <si>
    <t>Customer_260</t>
  </si>
  <si>
    <t>C0261</t>
  </si>
  <si>
    <t>Customer_261</t>
  </si>
  <si>
    <t>C0262</t>
  </si>
  <si>
    <t>Customer_262</t>
  </si>
  <si>
    <t>C0263</t>
  </si>
  <si>
    <t>Customer_263</t>
  </si>
  <si>
    <t>C0264</t>
  </si>
  <si>
    <t>Customer_264</t>
  </si>
  <si>
    <t>C0265</t>
  </si>
  <si>
    <t>Customer_265</t>
  </si>
  <si>
    <t>C0266</t>
  </si>
  <si>
    <t>C0267</t>
  </si>
  <si>
    <t>Customer_267</t>
  </si>
  <si>
    <t>C0268</t>
  </si>
  <si>
    <t>Customer_268</t>
  </si>
  <si>
    <t>C0269</t>
  </si>
  <si>
    <t>Customer_269</t>
  </si>
  <si>
    <t>C0270</t>
  </si>
  <si>
    <t>Customer_270</t>
  </si>
  <si>
    <t>C0271</t>
  </si>
  <si>
    <t>Customer_271</t>
  </si>
  <si>
    <t>C0272</t>
  </si>
  <si>
    <t>Customer_272</t>
  </si>
  <si>
    <t>C0273</t>
  </si>
  <si>
    <t>Customer_273</t>
  </si>
  <si>
    <t>C0274</t>
  </si>
  <si>
    <t>Customer_274</t>
  </si>
  <si>
    <t>C0275</t>
  </si>
  <si>
    <t>Customer_275</t>
  </si>
  <si>
    <t>C0276</t>
  </si>
  <si>
    <t>Customer_276</t>
  </si>
  <si>
    <t>C0277</t>
  </si>
  <si>
    <t>Customer_277</t>
  </si>
  <si>
    <t>C0278</t>
  </si>
  <si>
    <t>Customer_278</t>
  </si>
  <si>
    <t>C0279</t>
  </si>
  <si>
    <t>Customer_279</t>
  </si>
  <si>
    <t>C0280</t>
  </si>
  <si>
    <t>Customer_280</t>
  </si>
  <si>
    <t>C0281</t>
  </si>
  <si>
    <t>Customer_281</t>
  </si>
  <si>
    <t>C0282</t>
  </si>
  <si>
    <t>Customer_282</t>
  </si>
  <si>
    <t>C0283</t>
  </si>
  <si>
    <t>Customer_283</t>
  </si>
  <si>
    <t>C0284</t>
  </si>
  <si>
    <t>Customer_284</t>
  </si>
  <si>
    <t>C0285</t>
  </si>
  <si>
    <t>Customer_285</t>
  </si>
  <si>
    <t>C0286</t>
  </si>
  <si>
    <t>Customer_286</t>
  </si>
  <si>
    <t>C0287</t>
  </si>
  <si>
    <t>Customer_287</t>
  </si>
  <si>
    <t>C0288</t>
  </si>
  <si>
    <t>Customer_288</t>
  </si>
  <si>
    <t>C0289</t>
  </si>
  <si>
    <t>Customer_289</t>
  </si>
  <si>
    <t>C0290</t>
  </si>
  <si>
    <t>C0291</t>
  </si>
  <si>
    <t>Customer_291</t>
  </si>
  <si>
    <t>C0292</t>
  </si>
  <si>
    <t>Customer_292</t>
  </si>
  <si>
    <t>C0293</t>
  </si>
  <si>
    <t>Customer_293</t>
  </si>
  <si>
    <t>C0294</t>
  </si>
  <si>
    <t>Customer_294</t>
  </si>
  <si>
    <t>C0295</t>
  </si>
  <si>
    <t>Customer_295</t>
  </si>
  <si>
    <t>C0296</t>
  </si>
  <si>
    <t>Customer_296</t>
  </si>
  <si>
    <t>C0297</t>
  </si>
  <si>
    <t>Customer_297</t>
  </si>
  <si>
    <t>C0298</t>
  </si>
  <si>
    <t>Customer_298</t>
  </si>
  <si>
    <t>C0299</t>
  </si>
  <si>
    <t>Customer_299</t>
  </si>
  <si>
    <t>C0300</t>
  </si>
  <si>
    <t>Customer_300</t>
  </si>
  <si>
    <t>C0301</t>
  </si>
  <si>
    <t>Customer_301</t>
  </si>
  <si>
    <t>C0302</t>
  </si>
  <si>
    <t>Customer_302</t>
  </si>
  <si>
    <t>C0303</t>
  </si>
  <si>
    <t>Customer_303</t>
  </si>
  <si>
    <t>C0304</t>
  </si>
  <si>
    <t>Customer_304</t>
  </si>
  <si>
    <t>C0305</t>
  </si>
  <si>
    <t>Customer_305</t>
  </si>
  <si>
    <t>C0306</t>
  </si>
  <si>
    <t>Customer_306</t>
  </si>
  <si>
    <t>C0307</t>
  </si>
  <si>
    <t>Customer_307</t>
  </si>
  <si>
    <t>C0308</t>
  </si>
  <si>
    <t>Customer_308</t>
  </si>
  <si>
    <t>C0309</t>
  </si>
  <si>
    <t>Customer_309</t>
  </si>
  <si>
    <t>C0310</t>
  </si>
  <si>
    <t>Customer_310</t>
  </si>
  <si>
    <t>C0311</t>
  </si>
  <si>
    <t>Customer_311</t>
  </si>
  <si>
    <t>C0312</t>
  </si>
  <si>
    <t>Customer_312</t>
  </si>
  <si>
    <t>C0313</t>
  </si>
  <si>
    <t>Customer_313</t>
  </si>
  <si>
    <t>C0314</t>
  </si>
  <si>
    <t>Customer_314</t>
  </si>
  <si>
    <t>C0315</t>
  </si>
  <si>
    <t>Customer_315</t>
  </si>
  <si>
    <t>C0316</t>
  </si>
  <si>
    <t>Customer_316</t>
  </si>
  <si>
    <t>C0317</t>
  </si>
  <si>
    <t>Customer_317</t>
  </si>
  <si>
    <t>C0318</t>
  </si>
  <si>
    <t>Customer_318</t>
  </si>
  <si>
    <t>C0319</t>
  </si>
  <si>
    <t>Customer_319</t>
  </si>
  <si>
    <t>C0320</t>
  </si>
  <si>
    <t>Customer_320</t>
  </si>
  <si>
    <t>C0321</t>
  </si>
  <si>
    <t>Customer_321</t>
  </si>
  <si>
    <t>C0322</t>
  </si>
  <si>
    <t>Customer_322</t>
  </si>
  <si>
    <t>C0323</t>
  </si>
  <si>
    <t>Customer_323</t>
  </si>
  <si>
    <t>C0324</t>
  </si>
  <si>
    <t>Customer_324</t>
  </si>
  <si>
    <t>C0325</t>
  </si>
  <si>
    <t>Customer_325</t>
  </si>
  <si>
    <t>C0326</t>
  </si>
  <si>
    <t>Customer_326</t>
  </si>
  <si>
    <t>C0327</t>
  </si>
  <si>
    <t>Customer_327</t>
  </si>
  <si>
    <t>C0328</t>
  </si>
  <si>
    <t>Customer_328</t>
  </si>
  <si>
    <t>C0329</t>
  </si>
  <si>
    <t>Customer_329</t>
  </si>
  <si>
    <t>C0330</t>
  </si>
  <si>
    <t>Customer_330</t>
  </si>
  <si>
    <t>C0331</t>
  </si>
  <si>
    <t>Customer_331</t>
  </si>
  <si>
    <t>C0332</t>
  </si>
  <si>
    <t>Customer_332</t>
  </si>
  <si>
    <t>C0333</t>
  </si>
  <si>
    <t>Customer_333</t>
  </si>
  <si>
    <t>C0334</t>
  </si>
  <si>
    <t>Customer_334</t>
  </si>
  <si>
    <t>C0335</t>
  </si>
  <si>
    <t>C0336</t>
  </si>
  <si>
    <t>Customer_336</t>
  </si>
  <si>
    <t>C0337</t>
  </si>
  <si>
    <t>Customer_337</t>
  </si>
  <si>
    <t>C0338</t>
  </si>
  <si>
    <t>Customer_338</t>
  </si>
  <si>
    <t>C0339</t>
  </si>
  <si>
    <t>Customer_339</t>
  </si>
  <si>
    <t>C0340</t>
  </si>
  <si>
    <t>Customer_340</t>
  </si>
  <si>
    <t>C0341</t>
  </si>
  <si>
    <t>Customer_341</t>
  </si>
  <si>
    <t>C0342</t>
  </si>
  <si>
    <t>Customer_342</t>
  </si>
  <si>
    <t>C0343</t>
  </si>
  <si>
    <t>Customer_343</t>
  </si>
  <si>
    <t>C0344</t>
  </si>
  <si>
    <t>Customer_344</t>
  </si>
  <si>
    <t>C0345</t>
  </si>
  <si>
    <t>Customer_345</t>
  </si>
  <si>
    <t>C0346</t>
  </si>
  <si>
    <t>C0347</t>
  </si>
  <si>
    <t>Customer_347</t>
  </si>
  <si>
    <t>C0348</t>
  </si>
  <si>
    <t>Customer_348</t>
  </si>
  <si>
    <t>C0349</t>
  </si>
  <si>
    <t>Customer_349</t>
  </si>
  <si>
    <t>C0350</t>
  </si>
  <si>
    <t>Customer_350</t>
  </si>
  <si>
    <t>C0351</t>
  </si>
  <si>
    <t>Customer_351</t>
  </si>
  <si>
    <t>C0352</t>
  </si>
  <si>
    <t>Customer_352</t>
  </si>
  <si>
    <t>C0353</t>
  </si>
  <si>
    <t>Customer_353</t>
  </si>
  <si>
    <t>C0354</t>
  </si>
  <si>
    <t>Customer_354</t>
  </si>
  <si>
    <t>C0355</t>
  </si>
  <si>
    <t>C0356</t>
  </si>
  <si>
    <t>Customer_356</t>
  </si>
  <si>
    <t>C0357</t>
  </si>
  <si>
    <t>Customer_357</t>
  </si>
  <si>
    <t>C0358</t>
  </si>
  <si>
    <t>Customer_358</t>
  </si>
  <si>
    <t>C0359</t>
  </si>
  <si>
    <t>Customer_359</t>
  </si>
  <si>
    <t>C0360</t>
  </si>
  <si>
    <t>Customer_360</t>
  </si>
  <si>
    <t>C0361</t>
  </si>
  <si>
    <t>Customer_361</t>
  </si>
  <si>
    <t>C0362</t>
  </si>
  <si>
    <t>Customer_362</t>
  </si>
  <si>
    <t>C0363</t>
  </si>
  <si>
    <t>Customer_363</t>
  </si>
  <si>
    <t>C0364</t>
  </si>
  <si>
    <t>Customer_364</t>
  </si>
  <si>
    <t>C0365</t>
  </si>
  <si>
    <t>Customer_365</t>
  </si>
  <si>
    <t>C0366</t>
  </si>
  <si>
    <t>Customer_366</t>
  </si>
  <si>
    <t>C0367</t>
  </si>
  <si>
    <t>Customer_367</t>
  </si>
  <si>
    <t>C0368</t>
  </si>
  <si>
    <t>Customer_368</t>
  </si>
  <si>
    <t>C0369</t>
  </si>
  <si>
    <t>Customer_369</t>
  </si>
  <si>
    <t>C0370</t>
  </si>
  <si>
    <t>Customer_370</t>
  </si>
  <si>
    <t>C0371</t>
  </si>
  <si>
    <t>Customer_371</t>
  </si>
  <si>
    <t>C0372</t>
  </si>
  <si>
    <t>Customer_372</t>
  </si>
  <si>
    <t>C0373</t>
  </si>
  <si>
    <t>Customer_373</t>
  </si>
  <si>
    <t>C0374</t>
  </si>
  <si>
    <t>Customer_374</t>
  </si>
  <si>
    <t>C0375</t>
  </si>
  <si>
    <t>Customer_375</t>
  </si>
  <si>
    <t>C0376</t>
  </si>
  <si>
    <t>Customer_376</t>
  </si>
  <si>
    <t>C0377</t>
  </si>
  <si>
    <t>Customer_377</t>
  </si>
  <si>
    <t>C0378</t>
  </si>
  <si>
    <t>Customer_378</t>
  </si>
  <si>
    <t>C0379</t>
  </si>
  <si>
    <t>Customer_379</t>
  </si>
  <si>
    <t>C0380</t>
  </si>
  <si>
    <t>Customer_380</t>
  </si>
  <si>
    <t>C0381</t>
  </si>
  <si>
    <t>Customer_381</t>
  </si>
  <si>
    <t>C0382</t>
  </si>
  <si>
    <t>Customer_382</t>
  </si>
  <si>
    <t>C0383</t>
  </si>
  <si>
    <t>Customer_383</t>
  </si>
  <si>
    <t>C0384</t>
  </si>
  <si>
    <t>Customer_384</t>
  </si>
  <si>
    <t>C0385</t>
  </si>
  <si>
    <t>Customer_385</t>
  </si>
  <si>
    <t>C0386</t>
  </si>
  <si>
    <t>C0387</t>
  </si>
  <si>
    <t>Customer_387</t>
  </si>
  <si>
    <t>C0388</t>
  </si>
  <si>
    <t>Customer_388</t>
  </si>
  <si>
    <t>C0389</t>
  </si>
  <si>
    <t>Customer_389</t>
  </si>
  <si>
    <t>C0390</t>
  </si>
  <si>
    <t>Customer_390</t>
  </si>
  <si>
    <t>C0391</t>
  </si>
  <si>
    <t>Customer_391</t>
  </si>
  <si>
    <t>C0392</t>
  </si>
  <si>
    <t>Customer_392</t>
  </si>
  <si>
    <t>C0393</t>
  </si>
  <si>
    <t>Customer_393</t>
  </si>
  <si>
    <t>C0394</t>
  </si>
  <si>
    <t>Customer_394</t>
  </si>
  <si>
    <t>C0395</t>
  </si>
  <si>
    <t>Customer_395</t>
  </si>
  <si>
    <t>C0396</t>
  </si>
  <si>
    <t>Customer_396</t>
  </si>
  <si>
    <t>C0397</t>
  </si>
  <si>
    <t>Customer_397</t>
  </si>
  <si>
    <t>C0398</t>
  </si>
  <si>
    <t>Customer_398</t>
  </si>
  <si>
    <t>C0399</t>
  </si>
  <si>
    <t>Customer_399</t>
  </si>
  <si>
    <t>C0400</t>
  </si>
  <si>
    <t>Customer_400</t>
  </si>
  <si>
    <t>C0401</t>
  </si>
  <si>
    <t>Customer_401</t>
  </si>
  <si>
    <t>C0402</t>
  </si>
  <si>
    <t>Customer_402</t>
  </si>
  <si>
    <t>C0403</t>
  </si>
  <si>
    <t>Customer_403</t>
  </si>
  <si>
    <t>C0404</t>
  </si>
  <si>
    <t>Customer_404</t>
  </si>
  <si>
    <t>C0405</t>
  </si>
  <si>
    <t>Customer_405</t>
  </si>
  <si>
    <t>C0406</t>
  </si>
  <si>
    <t>Customer_406</t>
  </si>
  <si>
    <t>C0407</t>
  </si>
  <si>
    <t>Customer_407</t>
  </si>
  <si>
    <t>C0408</t>
  </si>
  <si>
    <t>Customer_408</t>
  </si>
  <si>
    <t>C0409</t>
  </si>
  <si>
    <t>Customer_409</t>
  </si>
  <si>
    <t>C0410</t>
  </si>
  <si>
    <t>Customer_410</t>
  </si>
  <si>
    <t>C0411</t>
  </si>
  <si>
    <t>Customer_411</t>
  </si>
  <si>
    <t>C0412</t>
  </si>
  <si>
    <t>Customer_412</t>
  </si>
  <si>
    <t>C0413</t>
  </si>
  <si>
    <t>Customer_413</t>
  </si>
  <si>
    <t>C0414</t>
  </si>
  <si>
    <t>Customer_414</t>
  </si>
  <si>
    <t>C0415</t>
  </si>
  <si>
    <t>Customer_415</t>
  </si>
  <si>
    <t>C0416</t>
  </si>
  <si>
    <t>Customer_416</t>
  </si>
  <si>
    <t>C0417</t>
  </si>
  <si>
    <t>Customer_417</t>
  </si>
  <si>
    <t>C0418</t>
  </si>
  <si>
    <t>Customer_418</t>
  </si>
  <si>
    <t>C0419</t>
  </si>
  <si>
    <t>Customer_419</t>
  </si>
  <si>
    <t>C0420</t>
  </si>
  <si>
    <t>Customer_420</t>
  </si>
  <si>
    <t>C0421</t>
  </si>
  <si>
    <t>Customer_421</t>
  </si>
  <si>
    <t>C0422</t>
  </si>
  <si>
    <t>Customer_422</t>
  </si>
  <si>
    <t>C0423</t>
  </si>
  <si>
    <t>Customer_423</t>
  </si>
  <si>
    <t>C0424</t>
  </si>
  <si>
    <t>Customer_424</t>
  </si>
  <si>
    <t>C0425</t>
  </si>
  <si>
    <t>Customer_425</t>
  </si>
  <si>
    <t>C0426</t>
  </si>
  <si>
    <t>Customer_426</t>
  </si>
  <si>
    <t>C0427</t>
  </si>
  <si>
    <t>Customer_427</t>
  </si>
  <si>
    <t>C0428</t>
  </si>
  <si>
    <t>Customer_428</t>
  </si>
  <si>
    <t>C0429</t>
  </si>
  <si>
    <t>C0430</t>
  </si>
  <si>
    <t>Customer_430</t>
  </si>
  <si>
    <t>C0431</t>
  </si>
  <si>
    <t>Customer_431</t>
  </si>
  <si>
    <t>C0432</t>
  </si>
  <si>
    <t>Customer_432</t>
  </si>
  <si>
    <t>C0433</t>
  </si>
  <si>
    <t>Customer_433</t>
  </si>
  <si>
    <t>C0434</t>
  </si>
  <si>
    <t>Customer_434</t>
  </si>
  <si>
    <t>C0435</t>
  </si>
  <si>
    <t>Customer_435</t>
  </si>
  <si>
    <t>C0436</t>
  </si>
  <si>
    <t>Customer_436</t>
  </si>
  <si>
    <t>C0437</t>
  </si>
  <si>
    <t>Customer_437</t>
  </si>
  <si>
    <t>C0438</t>
  </si>
  <si>
    <t>Customer_438</t>
  </si>
  <si>
    <t>C0439</t>
  </si>
  <si>
    <t>Customer_439</t>
  </si>
  <si>
    <t>C0440</t>
  </si>
  <si>
    <t>C0441</t>
  </si>
  <si>
    <t>Customer_441</t>
  </si>
  <si>
    <t>C0442</t>
  </si>
  <si>
    <t>Customer_442</t>
  </si>
  <si>
    <t>C0443</t>
  </si>
  <si>
    <t>Customer_443</t>
  </si>
  <si>
    <t>C0444</t>
  </si>
  <si>
    <t>Customer_444</t>
  </si>
  <si>
    <t>C0445</t>
  </si>
  <si>
    <t>Customer_445</t>
  </si>
  <si>
    <t>C0446</t>
  </si>
  <si>
    <t>Customer_446</t>
  </si>
  <si>
    <t>C0447</t>
  </si>
  <si>
    <t>C0448</t>
  </si>
  <si>
    <t>Customer_448</t>
  </si>
  <si>
    <t>C0449</t>
  </si>
  <si>
    <t>Customer_449</t>
  </si>
  <si>
    <t>C0450</t>
  </si>
  <si>
    <t>Customer_450</t>
  </si>
  <si>
    <t>C0451</t>
  </si>
  <si>
    <t>Customer_451</t>
  </si>
  <si>
    <t>C0452</t>
  </si>
  <si>
    <t>Customer_452</t>
  </si>
  <si>
    <t>C0453</t>
  </si>
  <si>
    <t>Customer_453</t>
  </si>
  <si>
    <t>C0454</t>
  </si>
  <si>
    <t>Customer_454</t>
  </si>
  <si>
    <t>C0455</t>
  </si>
  <si>
    <t>Customer_455</t>
  </si>
  <si>
    <t>C0456</t>
  </si>
  <si>
    <t>Customer_456</t>
  </si>
  <si>
    <t>C0457</t>
  </si>
  <si>
    <t>Customer_457</t>
  </si>
  <si>
    <t>C0458</t>
  </si>
  <si>
    <t>Customer_458</t>
  </si>
  <si>
    <t>C0459</t>
  </si>
  <si>
    <t>Customer_459</t>
  </si>
  <si>
    <t>C0460</t>
  </si>
  <si>
    <t>Customer_460</t>
  </si>
  <si>
    <t>C0461</t>
  </si>
  <si>
    <t>Customer_461</t>
  </si>
  <si>
    <t>C0462</t>
  </si>
  <si>
    <t>Customer_462</t>
  </si>
  <si>
    <t>C0463</t>
  </si>
  <si>
    <t>Customer_463</t>
  </si>
  <si>
    <t>C0464</t>
  </si>
  <si>
    <t>Customer_464</t>
  </si>
  <si>
    <t>C0465</t>
  </si>
  <si>
    <t>Customer_465</t>
  </si>
  <si>
    <t>C0466</t>
  </si>
  <si>
    <t>Customer_466</t>
  </si>
  <si>
    <t>C0467</t>
  </si>
  <si>
    <t>Customer_467</t>
  </si>
  <si>
    <t>C0468</t>
  </si>
  <si>
    <t>Customer_468</t>
  </si>
  <si>
    <t>C0469</t>
  </si>
  <si>
    <t>Customer_469</t>
  </si>
  <si>
    <t>C0470</t>
  </si>
  <si>
    <t>Customer_470</t>
  </si>
  <si>
    <t>C0471</t>
  </si>
  <si>
    <t>Customer_471</t>
  </si>
  <si>
    <t>C0472</t>
  </si>
  <si>
    <t>Customer_472</t>
  </si>
  <si>
    <t>C0473</t>
  </si>
  <si>
    <t>Customer_473</t>
  </si>
  <si>
    <t>C0474</t>
  </si>
  <si>
    <t>Customer_474</t>
  </si>
  <si>
    <t>C0475</t>
  </si>
  <si>
    <t>Customer_475</t>
  </si>
  <si>
    <t>C0476</t>
  </si>
  <si>
    <t>Customer_476</t>
  </si>
  <si>
    <t>C0477</t>
  </si>
  <si>
    <t>Customer_477</t>
  </si>
  <si>
    <t>C0478</t>
  </si>
  <si>
    <t>Customer_478</t>
  </si>
  <si>
    <t>C0479</t>
  </si>
  <si>
    <t>Customer_479</t>
  </si>
  <si>
    <t>C0480</t>
  </si>
  <si>
    <t>Customer_480</t>
  </si>
  <si>
    <t>C0481</t>
  </si>
  <si>
    <t>Customer_481</t>
  </si>
  <si>
    <t>C0482</t>
  </si>
  <si>
    <t>Customer_482</t>
  </si>
  <si>
    <t>C0483</t>
  </si>
  <si>
    <t>Customer_483</t>
  </si>
  <si>
    <t>C0484</t>
  </si>
  <si>
    <t>C0485</t>
  </si>
  <si>
    <t>Customer_485</t>
  </si>
  <si>
    <t>C0486</t>
  </si>
  <si>
    <t>Customer_486</t>
  </si>
  <si>
    <t>C0487</t>
  </si>
  <si>
    <t>Customer_487</t>
  </si>
  <si>
    <t>C0488</t>
  </si>
  <si>
    <t>Customer_488</t>
  </si>
  <si>
    <t>C0489</t>
  </si>
  <si>
    <t>Customer_489</t>
  </si>
  <si>
    <t>C0490</t>
  </si>
  <si>
    <t>Customer_490</t>
  </si>
  <si>
    <t>C0491</t>
  </si>
  <si>
    <t>Customer_491</t>
  </si>
  <si>
    <t>C0492</t>
  </si>
  <si>
    <t>Customer_492</t>
  </si>
  <si>
    <t>C0493</t>
  </si>
  <si>
    <t>Customer_493</t>
  </si>
  <si>
    <t>C0494</t>
  </si>
  <si>
    <t>Customer_494</t>
  </si>
  <si>
    <t>C0495</t>
  </si>
  <si>
    <t>Customer_495</t>
  </si>
  <si>
    <t>C0496</t>
  </si>
  <si>
    <t>Customer_496</t>
  </si>
  <si>
    <t>C0497</t>
  </si>
  <si>
    <t>C0498</t>
  </si>
  <si>
    <t>Customer_498</t>
  </si>
  <si>
    <t>C0499</t>
  </si>
  <si>
    <t>Customer_499</t>
  </si>
  <si>
    <t>C0500</t>
  </si>
  <si>
    <t>Customer_500</t>
  </si>
  <si>
    <t>order_id</t>
  </si>
  <si>
    <t>order_date</t>
  </si>
  <si>
    <t>payment_method</t>
  </si>
  <si>
    <t>O00001</t>
  </si>
  <si>
    <t>O00002</t>
  </si>
  <si>
    <t>O00003</t>
  </si>
  <si>
    <t>Cash</t>
  </si>
  <si>
    <t>O00004</t>
  </si>
  <si>
    <t>Debit Card</t>
  </si>
  <si>
    <t>O00005</t>
  </si>
  <si>
    <t>O00006</t>
  </si>
  <si>
    <t>Credit Card</t>
  </si>
  <si>
    <t>O00007</t>
  </si>
  <si>
    <t>O00008</t>
  </si>
  <si>
    <t>O00009</t>
  </si>
  <si>
    <t>O00010</t>
  </si>
  <si>
    <t>O00011</t>
  </si>
  <si>
    <t>O00012</t>
  </si>
  <si>
    <t>O00013</t>
  </si>
  <si>
    <t>O00014</t>
  </si>
  <si>
    <t>O00015</t>
  </si>
  <si>
    <t>O00016</t>
  </si>
  <si>
    <t>O00017</t>
  </si>
  <si>
    <t>UPI</t>
  </si>
  <si>
    <t>O00018</t>
  </si>
  <si>
    <t>O00019</t>
  </si>
  <si>
    <t>O00020</t>
  </si>
  <si>
    <t>O00021</t>
  </si>
  <si>
    <t>O00022</t>
  </si>
  <si>
    <t>O00023</t>
  </si>
  <si>
    <t>O00024</t>
  </si>
  <si>
    <t>O00025</t>
  </si>
  <si>
    <t>O00026</t>
  </si>
  <si>
    <t>O00027</t>
  </si>
  <si>
    <t>O00028</t>
  </si>
  <si>
    <t>O00029</t>
  </si>
  <si>
    <t>O00030</t>
  </si>
  <si>
    <t>O00031</t>
  </si>
  <si>
    <t>O00032</t>
  </si>
  <si>
    <t>O00033</t>
  </si>
  <si>
    <t>O00034</t>
  </si>
  <si>
    <t>O00035</t>
  </si>
  <si>
    <t>O00036</t>
  </si>
  <si>
    <t>O00037</t>
  </si>
  <si>
    <t>O00038</t>
  </si>
  <si>
    <t>O00039</t>
  </si>
  <si>
    <t>O00040</t>
  </si>
  <si>
    <t>O00041</t>
  </si>
  <si>
    <t>O00042</t>
  </si>
  <si>
    <t>O00043</t>
  </si>
  <si>
    <t>O00044</t>
  </si>
  <si>
    <t>O00045</t>
  </si>
  <si>
    <t>O00046</t>
  </si>
  <si>
    <t>O00047</t>
  </si>
  <si>
    <t>O00048</t>
  </si>
  <si>
    <t>O00049</t>
  </si>
  <si>
    <t>O00050</t>
  </si>
  <si>
    <t>O00051</t>
  </si>
  <si>
    <t>O00052</t>
  </si>
  <si>
    <t>O00053</t>
  </si>
  <si>
    <t>O00054</t>
  </si>
  <si>
    <t>O00055</t>
  </si>
  <si>
    <t>O00056</t>
  </si>
  <si>
    <t>O00057</t>
  </si>
  <si>
    <t>O00058</t>
  </si>
  <si>
    <t>O00059</t>
  </si>
  <si>
    <t>O00060</t>
  </si>
  <si>
    <t>O00061</t>
  </si>
  <si>
    <t>O00062</t>
  </si>
  <si>
    <t>O00063</t>
  </si>
  <si>
    <t>O00064</t>
  </si>
  <si>
    <t>O00065</t>
  </si>
  <si>
    <t>O00066</t>
  </si>
  <si>
    <t>O00067</t>
  </si>
  <si>
    <t>O00068</t>
  </si>
  <si>
    <t>O00069</t>
  </si>
  <si>
    <t>O00070</t>
  </si>
  <si>
    <t>O00071</t>
  </si>
  <si>
    <t>O00072</t>
  </si>
  <si>
    <t>O00073</t>
  </si>
  <si>
    <t>O00074</t>
  </si>
  <si>
    <t>O00075</t>
  </si>
  <si>
    <t>O00076</t>
  </si>
  <si>
    <t>O00077</t>
  </si>
  <si>
    <t>O00078</t>
  </si>
  <si>
    <t>O00079</t>
  </si>
  <si>
    <t>O00080</t>
  </si>
  <si>
    <t>O00081</t>
  </si>
  <si>
    <t>O00082</t>
  </si>
  <si>
    <t>O00083</t>
  </si>
  <si>
    <t>O00084</t>
  </si>
  <si>
    <t>O00085</t>
  </si>
  <si>
    <t>O00086</t>
  </si>
  <si>
    <t>O00087</t>
  </si>
  <si>
    <t>O00088</t>
  </si>
  <si>
    <t>O00089</t>
  </si>
  <si>
    <t>O00090</t>
  </si>
  <si>
    <t>O00091</t>
  </si>
  <si>
    <t>O00092</t>
  </si>
  <si>
    <t>O00093</t>
  </si>
  <si>
    <t>O00094</t>
  </si>
  <si>
    <t>O00095</t>
  </si>
  <si>
    <t>O00096</t>
  </si>
  <si>
    <t>O00097</t>
  </si>
  <si>
    <t>O00098</t>
  </si>
  <si>
    <t>O00099</t>
  </si>
  <si>
    <t>O00100</t>
  </si>
  <si>
    <t>O00101</t>
  </si>
  <si>
    <t>O00102</t>
  </si>
  <si>
    <t>O00103</t>
  </si>
  <si>
    <t>O00104</t>
  </si>
  <si>
    <t>O00105</t>
  </si>
  <si>
    <t>O00106</t>
  </si>
  <si>
    <t>O00107</t>
  </si>
  <si>
    <t>O00108</t>
  </si>
  <si>
    <t>O00109</t>
  </si>
  <si>
    <t>O00110</t>
  </si>
  <si>
    <t>O00111</t>
  </si>
  <si>
    <t>O00112</t>
  </si>
  <si>
    <t>O00113</t>
  </si>
  <si>
    <t>O00114</t>
  </si>
  <si>
    <t>O00115</t>
  </si>
  <si>
    <t>O00116</t>
  </si>
  <si>
    <t>O00117</t>
  </si>
  <si>
    <t>O00118</t>
  </si>
  <si>
    <t>O00119</t>
  </si>
  <si>
    <t>O00120</t>
  </si>
  <si>
    <t>O00121</t>
  </si>
  <si>
    <t>O00122</t>
  </si>
  <si>
    <t>O00123</t>
  </si>
  <si>
    <t>O00124</t>
  </si>
  <si>
    <t>O00125</t>
  </si>
  <si>
    <t>O00126</t>
  </si>
  <si>
    <t>O00127</t>
  </si>
  <si>
    <t>O00128</t>
  </si>
  <si>
    <t>O00129</t>
  </si>
  <si>
    <t>O00130</t>
  </si>
  <si>
    <t>O00131</t>
  </si>
  <si>
    <t>O00132</t>
  </si>
  <si>
    <t>O00133</t>
  </si>
  <si>
    <t>O00134</t>
  </si>
  <si>
    <t>O00135</t>
  </si>
  <si>
    <t>O00136</t>
  </si>
  <si>
    <t>O00137</t>
  </si>
  <si>
    <t>O00138</t>
  </si>
  <si>
    <t>O00139</t>
  </si>
  <si>
    <t>O00140</t>
  </si>
  <si>
    <t>O00141</t>
  </si>
  <si>
    <t>O00142</t>
  </si>
  <si>
    <t>O00143</t>
  </si>
  <si>
    <t>O00144</t>
  </si>
  <si>
    <t>O00145</t>
  </si>
  <si>
    <t>O00146</t>
  </si>
  <si>
    <t>O00147</t>
  </si>
  <si>
    <t>O00148</t>
  </si>
  <si>
    <t>O00149</t>
  </si>
  <si>
    <t>O00150</t>
  </si>
  <si>
    <t>O00151</t>
  </si>
  <si>
    <t>O00152</t>
  </si>
  <si>
    <t>O00153</t>
  </si>
  <si>
    <t>O00154</t>
  </si>
  <si>
    <t>O00155</t>
  </si>
  <si>
    <t>O00156</t>
  </si>
  <si>
    <t>O00157</t>
  </si>
  <si>
    <t>O00158</t>
  </si>
  <si>
    <t>O00159</t>
  </si>
  <si>
    <t>O00160</t>
  </si>
  <si>
    <t>O00161</t>
  </si>
  <si>
    <t>O00162</t>
  </si>
  <si>
    <t>O00163</t>
  </si>
  <si>
    <t>O00164</t>
  </si>
  <si>
    <t>O00165</t>
  </si>
  <si>
    <t>O00166</t>
  </si>
  <si>
    <t>O00167</t>
  </si>
  <si>
    <t>O00168</t>
  </si>
  <si>
    <t>O00169</t>
  </si>
  <si>
    <t>O00170</t>
  </si>
  <si>
    <t>O00171</t>
  </si>
  <si>
    <t>O00172</t>
  </si>
  <si>
    <t>O00173</t>
  </si>
  <si>
    <t>O00174</t>
  </si>
  <si>
    <t>O00175</t>
  </si>
  <si>
    <t>O00176</t>
  </si>
  <si>
    <t>O00177</t>
  </si>
  <si>
    <t>O00178</t>
  </si>
  <si>
    <t>O00179</t>
  </si>
  <si>
    <t>O00180</t>
  </si>
  <si>
    <t>O00181</t>
  </si>
  <si>
    <t>O00182</t>
  </si>
  <si>
    <t>O00183</t>
  </si>
  <si>
    <t>O00184</t>
  </si>
  <si>
    <t>O00185</t>
  </si>
  <si>
    <t>O00186</t>
  </si>
  <si>
    <t>O00187</t>
  </si>
  <si>
    <t>O00188</t>
  </si>
  <si>
    <t>O00189</t>
  </si>
  <si>
    <t>O00190</t>
  </si>
  <si>
    <t>O00191</t>
  </si>
  <si>
    <t>O00192</t>
  </si>
  <si>
    <t>O00193</t>
  </si>
  <si>
    <t>O00194</t>
  </si>
  <si>
    <t>O00195</t>
  </si>
  <si>
    <t>O00196</t>
  </si>
  <si>
    <t>O00197</t>
  </si>
  <si>
    <t>O00198</t>
  </si>
  <si>
    <t>O00199</t>
  </si>
  <si>
    <t>O00200</t>
  </si>
  <si>
    <t>O00201</t>
  </si>
  <si>
    <t>O00202</t>
  </si>
  <si>
    <t>O00203</t>
  </si>
  <si>
    <t>O00204</t>
  </si>
  <si>
    <t>O00205</t>
  </si>
  <si>
    <t>O00206</t>
  </si>
  <si>
    <t>O00207</t>
  </si>
  <si>
    <t>O00208</t>
  </si>
  <si>
    <t>O00209</t>
  </si>
  <si>
    <t>O00210</t>
  </si>
  <si>
    <t>O00211</t>
  </si>
  <si>
    <t>O00212</t>
  </si>
  <si>
    <t>O00213</t>
  </si>
  <si>
    <t>O00214</t>
  </si>
  <si>
    <t>O00215</t>
  </si>
  <si>
    <t>O00216</t>
  </si>
  <si>
    <t>O00217</t>
  </si>
  <si>
    <t>O00218</t>
  </si>
  <si>
    <t>O00219</t>
  </si>
  <si>
    <t>O00220</t>
  </si>
  <si>
    <t>O00221</t>
  </si>
  <si>
    <t>O00222</t>
  </si>
  <si>
    <t>O00223</t>
  </si>
  <si>
    <t>O00224</t>
  </si>
  <si>
    <t>O00225</t>
  </si>
  <si>
    <t>O00226</t>
  </si>
  <si>
    <t>O00227</t>
  </si>
  <si>
    <t>O00228</t>
  </si>
  <si>
    <t>O00229</t>
  </si>
  <si>
    <t>O00230</t>
  </si>
  <si>
    <t>O00231</t>
  </si>
  <si>
    <t>O00232</t>
  </si>
  <si>
    <t>O00233</t>
  </si>
  <si>
    <t>O00234</t>
  </si>
  <si>
    <t>O00235</t>
  </si>
  <si>
    <t>O00236</t>
  </si>
  <si>
    <t>O00237</t>
  </si>
  <si>
    <t>O00238</t>
  </si>
  <si>
    <t>O00239</t>
  </si>
  <si>
    <t>O00240</t>
  </si>
  <si>
    <t>O00241</t>
  </si>
  <si>
    <t>O00242</t>
  </si>
  <si>
    <t>O00243</t>
  </si>
  <si>
    <t>O00244</t>
  </si>
  <si>
    <t>O00245</t>
  </si>
  <si>
    <t>O00246</t>
  </si>
  <si>
    <t>O00247</t>
  </si>
  <si>
    <t>O00248</t>
  </si>
  <si>
    <t>O00249</t>
  </si>
  <si>
    <t>O00250</t>
  </si>
  <si>
    <t>O00251</t>
  </si>
  <si>
    <t>O00252</t>
  </si>
  <si>
    <t>O00253</t>
  </si>
  <si>
    <t>O00254</t>
  </si>
  <si>
    <t>O00255</t>
  </si>
  <si>
    <t>O00256</t>
  </si>
  <si>
    <t>O00257</t>
  </si>
  <si>
    <t>O00258</t>
  </si>
  <si>
    <t>O00259</t>
  </si>
  <si>
    <t>O00260</t>
  </si>
  <si>
    <t>O00261</t>
  </si>
  <si>
    <t>O00262</t>
  </si>
  <si>
    <t>O00263</t>
  </si>
  <si>
    <t>O00264</t>
  </si>
  <si>
    <t>O00265</t>
  </si>
  <si>
    <t>O00266</t>
  </si>
  <si>
    <t>O00267</t>
  </si>
  <si>
    <t>O00268</t>
  </si>
  <si>
    <t>O00269</t>
  </si>
  <si>
    <t>O00270</t>
  </si>
  <si>
    <t>O00271</t>
  </si>
  <si>
    <t>O00272</t>
  </si>
  <si>
    <t>O00273</t>
  </si>
  <si>
    <t>O00274</t>
  </si>
  <si>
    <t>O00275</t>
  </si>
  <si>
    <t>O00276</t>
  </si>
  <si>
    <t>O00277</t>
  </si>
  <si>
    <t>O00278</t>
  </si>
  <si>
    <t>O00279</t>
  </si>
  <si>
    <t>O00280</t>
  </si>
  <si>
    <t>O00281</t>
  </si>
  <si>
    <t>O00282</t>
  </si>
  <si>
    <t>O00283</t>
  </si>
  <si>
    <t>O00284</t>
  </si>
  <si>
    <t>O00285</t>
  </si>
  <si>
    <t>O00286</t>
  </si>
  <si>
    <t>O00287</t>
  </si>
  <si>
    <t>O00288</t>
  </si>
  <si>
    <t>O00289</t>
  </si>
  <si>
    <t>O00290</t>
  </si>
  <si>
    <t>O00291</t>
  </si>
  <si>
    <t>O00292</t>
  </si>
  <si>
    <t>O00293</t>
  </si>
  <si>
    <t>O00294</t>
  </si>
  <si>
    <t>O00295</t>
  </si>
  <si>
    <t>O00296</t>
  </si>
  <si>
    <t>O00297</t>
  </si>
  <si>
    <t>O00298</t>
  </si>
  <si>
    <t>O00299</t>
  </si>
  <si>
    <t>O00300</t>
  </si>
  <si>
    <t>O00301</t>
  </si>
  <si>
    <t>O00302</t>
  </si>
  <si>
    <t>O00303</t>
  </si>
  <si>
    <t>O00304</t>
  </si>
  <si>
    <t>O00305</t>
  </si>
  <si>
    <t>O00306</t>
  </si>
  <si>
    <t>O00307</t>
  </si>
  <si>
    <t>O00308</t>
  </si>
  <si>
    <t>O00309</t>
  </si>
  <si>
    <t>O00310</t>
  </si>
  <si>
    <t>O00311</t>
  </si>
  <si>
    <t>O00312</t>
  </si>
  <si>
    <t>O00313</t>
  </si>
  <si>
    <t>O00314</t>
  </si>
  <si>
    <t>O00315</t>
  </si>
  <si>
    <t>O00316</t>
  </si>
  <si>
    <t>O00317</t>
  </si>
  <si>
    <t>O00318</t>
  </si>
  <si>
    <t>O00319</t>
  </si>
  <si>
    <t>O00320</t>
  </si>
  <si>
    <t>O00321</t>
  </si>
  <si>
    <t>O00322</t>
  </si>
  <si>
    <t>O00323</t>
  </si>
  <si>
    <t>O00324</t>
  </si>
  <si>
    <t>O00325</t>
  </si>
  <si>
    <t>O00326</t>
  </si>
  <si>
    <t>O00327</t>
  </si>
  <si>
    <t>O00328</t>
  </si>
  <si>
    <t>O00329</t>
  </si>
  <si>
    <t>O00330</t>
  </si>
  <si>
    <t>O00331</t>
  </si>
  <si>
    <t>O00332</t>
  </si>
  <si>
    <t>O00333</t>
  </si>
  <si>
    <t>O00334</t>
  </si>
  <si>
    <t>O00335</t>
  </si>
  <si>
    <t>O00336</t>
  </si>
  <si>
    <t>O00337</t>
  </si>
  <si>
    <t>O00338</t>
  </si>
  <si>
    <t>O00339</t>
  </si>
  <si>
    <t>O00340</t>
  </si>
  <si>
    <t>O00341</t>
  </si>
  <si>
    <t>O00342</t>
  </si>
  <si>
    <t>O00343</t>
  </si>
  <si>
    <t>O00344</t>
  </si>
  <si>
    <t>O00345</t>
  </si>
  <si>
    <t>O00346</t>
  </si>
  <si>
    <t>O00347</t>
  </si>
  <si>
    <t>O00348</t>
  </si>
  <si>
    <t>O00349</t>
  </si>
  <si>
    <t>O00350</t>
  </si>
  <si>
    <t>O00351</t>
  </si>
  <si>
    <t>O00352</t>
  </si>
  <si>
    <t>O00353</t>
  </si>
  <si>
    <t>O00354</t>
  </si>
  <si>
    <t>O00355</t>
  </si>
  <si>
    <t>O00356</t>
  </si>
  <si>
    <t>O00357</t>
  </si>
  <si>
    <t>O00358</t>
  </si>
  <si>
    <t>O00359</t>
  </si>
  <si>
    <t>O00360</t>
  </si>
  <si>
    <t>O00361</t>
  </si>
  <si>
    <t>O00362</t>
  </si>
  <si>
    <t>O00363</t>
  </si>
  <si>
    <t>O00364</t>
  </si>
  <si>
    <t>O00365</t>
  </si>
  <si>
    <t>O00366</t>
  </si>
  <si>
    <t>O00367</t>
  </si>
  <si>
    <t>O00368</t>
  </si>
  <si>
    <t>O00369</t>
  </si>
  <si>
    <t>O00370</t>
  </si>
  <si>
    <t>O00371</t>
  </si>
  <si>
    <t>O00372</t>
  </si>
  <si>
    <t>O00373</t>
  </si>
  <si>
    <t>O00374</t>
  </si>
  <si>
    <t>O00375</t>
  </si>
  <si>
    <t>O00376</t>
  </si>
  <si>
    <t>O00377</t>
  </si>
  <si>
    <t>O00378</t>
  </si>
  <si>
    <t>O00379</t>
  </si>
  <si>
    <t>O00380</t>
  </si>
  <si>
    <t>O00381</t>
  </si>
  <si>
    <t>O00382</t>
  </si>
  <si>
    <t>O00383</t>
  </si>
  <si>
    <t>O00384</t>
  </si>
  <si>
    <t>O00385</t>
  </si>
  <si>
    <t>O00386</t>
  </si>
  <si>
    <t>O00387</t>
  </si>
  <si>
    <t>O00388</t>
  </si>
  <si>
    <t>O00389</t>
  </si>
  <si>
    <t>O00390</t>
  </si>
  <si>
    <t>O00391</t>
  </si>
  <si>
    <t>O00392</t>
  </si>
  <si>
    <t>O00393</t>
  </si>
  <si>
    <t>O00394</t>
  </si>
  <si>
    <t>O00395</t>
  </si>
  <si>
    <t>O00396</t>
  </si>
  <si>
    <t>O00397</t>
  </si>
  <si>
    <t>O00398</t>
  </si>
  <si>
    <t>O00399</t>
  </si>
  <si>
    <t>O00400</t>
  </si>
  <si>
    <t>O00401</t>
  </si>
  <si>
    <t>O00402</t>
  </si>
  <si>
    <t>O00403</t>
  </si>
  <si>
    <t>O00404</t>
  </si>
  <si>
    <t>O00405</t>
  </si>
  <si>
    <t>O00406</t>
  </si>
  <si>
    <t>O00407</t>
  </si>
  <si>
    <t>O00408</t>
  </si>
  <si>
    <t>O00409</t>
  </si>
  <si>
    <t>O00410</t>
  </si>
  <si>
    <t>O00411</t>
  </si>
  <si>
    <t>O00412</t>
  </si>
  <si>
    <t>O00413</t>
  </si>
  <si>
    <t>O00414</t>
  </si>
  <si>
    <t>O00415</t>
  </si>
  <si>
    <t>O00416</t>
  </si>
  <si>
    <t>O00417</t>
  </si>
  <si>
    <t>O00418</t>
  </si>
  <si>
    <t>O00419</t>
  </si>
  <si>
    <t>O00420</t>
  </si>
  <si>
    <t>O00421</t>
  </si>
  <si>
    <t>O00422</t>
  </si>
  <si>
    <t>O00423</t>
  </si>
  <si>
    <t>O00424</t>
  </si>
  <si>
    <t>O00425</t>
  </si>
  <si>
    <t>O00426</t>
  </si>
  <si>
    <t>O00427</t>
  </si>
  <si>
    <t>O00428</t>
  </si>
  <si>
    <t>O00429</t>
  </si>
  <si>
    <t>O00430</t>
  </si>
  <si>
    <t>O00431</t>
  </si>
  <si>
    <t>O00432</t>
  </si>
  <si>
    <t>O00433</t>
  </si>
  <si>
    <t>O00434</t>
  </si>
  <si>
    <t>O00435</t>
  </si>
  <si>
    <t>O00436</t>
  </si>
  <si>
    <t>O00437</t>
  </si>
  <si>
    <t>O00438</t>
  </si>
  <si>
    <t>O00439</t>
  </si>
  <si>
    <t>O00440</t>
  </si>
  <si>
    <t>O00441</t>
  </si>
  <si>
    <t>O00442</t>
  </si>
  <si>
    <t>O00443</t>
  </si>
  <si>
    <t>O00444</t>
  </si>
  <si>
    <t>O00445</t>
  </si>
  <si>
    <t>O00446</t>
  </si>
  <si>
    <t>O00447</t>
  </si>
  <si>
    <t>O00448</t>
  </si>
  <si>
    <t>O00449</t>
  </si>
  <si>
    <t>O00450</t>
  </si>
  <si>
    <t>O00451</t>
  </si>
  <si>
    <t>O00452</t>
  </si>
  <si>
    <t>O00453</t>
  </si>
  <si>
    <t>O00454</t>
  </si>
  <si>
    <t>O00455</t>
  </si>
  <si>
    <t>O00456</t>
  </si>
  <si>
    <t>O00457</t>
  </si>
  <si>
    <t>O00458</t>
  </si>
  <si>
    <t>O00459</t>
  </si>
  <si>
    <t>O00460</t>
  </si>
  <si>
    <t>O00461</t>
  </si>
  <si>
    <t>O00462</t>
  </si>
  <si>
    <t>O00463</t>
  </si>
  <si>
    <t>O00464</t>
  </si>
  <si>
    <t>O00465</t>
  </si>
  <si>
    <t>O00466</t>
  </si>
  <si>
    <t>O00467</t>
  </si>
  <si>
    <t>O00468</t>
  </si>
  <si>
    <t>O00469</t>
  </si>
  <si>
    <t>O00470</t>
  </si>
  <si>
    <t>O00471</t>
  </si>
  <si>
    <t>O00472</t>
  </si>
  <si>
    <t>O00473</t>
  </si>
  <si>
    <t>O00474</t>
  </si>
  <si>
    <t>O00475</t>
  </si>
  <si>
    <t>O00476</t>
  </si>
  <si>
    <t>O00477</t>
  </si>
  <si>
    <t>O00478</t>
  </si>
  <si>
    <t>O00479</t>
  </si>
  <si>
    <t>O00480</t>
  </si>
  <si>
    <t>O00481</t>
  </si>
  <si>
    <t>O00482</t>
  </si>
  <si>
    <t>O00483</t>
  </si>
  <si>
    <t>O00484</t>
  </si>
  <si>
    <t>O00485</t>
  </si>
  <si>
    <t>O00486</t>
  </si>
  <si>
    <t>O00487</t>
  </si>
  <si>
    <t>O00488</t>
  </si>
  <si>
    <t>O00489</t>
  </si>
  <si>
    <t>O00490</t>
  </si>
  <si>
    <t>O00491</t>
  </si>
  <si>
    <t>O00492</t>
  </si>
  <si>
    <t>O00493</t>
  </si>
  <si>
    <t>O00494</t>
  </si>
  <si>
    <t>O00495</t>
  </si>
  <si>
    <t>O00496</t>
  </si>
  <si>
    <t>O00497</t>
  </si>
  <si>
    <t>O00498</t>
  </si>
  <si>
    <t>O00499</t>
  </si>
  <si>
    <t>O00500</t>
  </si>
  <si>
    <t>O00501</t>
  </si>
  <si>
    <t>O00502</t>
  </si>
  <si>
    <t>O00503</t>
  </si>
  <si>
    <t>O00504</t>
  </si>
  <si>
    <t>O00505</t>
  </si>
  <si>
    <t>O00506</t>
  </si>
  <si>
    <t>O00507</t>
  </si>
  <si>
    <t>O00508</t>
  </si>
  <si>
    <t>O00509</t>
  </si>
  <si>
    <t>O00510</t>
  </si>
  <si>
    <t>O00511</t>
  </si>
  <si>
    <t>O00512</t>
  </si>
  <si>
    <t>O00513</t>
  </si>
  <si>
    <t>O00514</t>
  </si>
  <si>
    <t>O00515</t>
  </si>
  <si>
    <t>O00516</t>
  </si>
  <si>
    <t>O00517</t>
  </si>
  <si>
    <t>O00518</t>
  </si>
  <si>
    <t>O00519</t>
  </si>
  <si>
    <t>O00520</t>
  </si>
  <si>
    <t>O00521</t>
  </si>
  <si>
    <t>O00522</t>
  </si>
  <si>
    <t>O00523</t>
  </si>
  <si>
    <t>O00524</t>
  </si>
  <si>
    <t>O00525</t>
  </si>
  <si>
    <t>O00526</t>
  </si>
  <si>
    <t>O00527</t>
  </si>
  <si>
    <t>O00528</t>
  </si>
  <si>
    <t>O00529</t>
  </si>
  <si>
    <t>O00530</t>
  </si>
  <si>
    <t>O00531</t>
  </si>
  <si>
    <t>O00532</t>
  </si>
  <si>
    <t>O00533</t>
  </si>
  <si>
    <t>O00534</t>
  </si>
  <si>
    <t>O00535</t>
  </si>
  <si>
    <t>O00536</t>
  </si>
  <si>
    <t>O00537</t>
  </si>
  <si>
    <t>O00538</t>
  </si>
  <si>
    <t>O00539</t>
  </si>
  <si>
    <t>O00540</t>
  </si>
  <si>
    <t>O00541</t>
  </si>
  <si>
    <t>O00542</t>
  </si>
  <si>
    <t>O00543</t>
  </si>
  <si>
    <t>O00544</t>
  </si>
  <si>
    <t>O00545</t>
  </si>
  <si>
    <t>O00546</t>
  </si>
  <si>
    <t>O00547</t>
  </si>
  <si>
    <t>O00548</t>
  </si>
  <si>
    <t>O00549</t>
  </si>
  <si>
    <t>O00550</t>
  </si>
  <si>
    <t>O00551</t>
  </si>
  <si>
    <t>O00552</t>
  </si>
  <si>
    <t>O00553</t>
  </si>
  <si>
    <t>O00554</t>
  </si>
  <si>
    <t>O00555</t>
  </si>
  <si>
    <t>O00556</t>
  </si>
  <si>
    <t>O00557</t>
  </si>
  <si>
    <t>O00558</t>
  </si>
  <si>
    <t>O00559</t>
  </si>
  <si>
    <t>O00560</t>
  </si>
  <si>
    <t>O00561</t>
  </si>
  <si>
    <t>O00562</t>
  </si>
  <si>
    <t>O00563</t>
  </si>
  <si>
    <t>O00564</t>
  </si>
  <si>
    <t>O00565</t>
  </si>
  <si>
    <t>O00566</t>
  </si>
  <si>
    <t>O00567</t>
  </si>
  <si>
    <t>O00568</t>
  </si>
  <si>
    <t>O00569</t>
  </si>
  <si>
    <t>O00570</t>
  </si>
  <si>
    <t>O00571</t>
  </si>
  <si>
    <t>O00572</t>
  </si>
  <si>
    <t>O00573</t>
  </si>
  <si>
    <t>O00574</t>
  </si>
  <si>
    <t>O00575</t>
  </si>
  <si>
    <t>O00576</t>
  </si>
  <si>
    <t>O00577</t>
  </si>
  <si>
    <t>O00578</t>
  </si>
  <si>
    <t>O00579</t>
  </si>
  <si>
    <t>O00580</t>
  </si>
  <si>
    <t>O00581</t>
  </si>
  <si>
    <t>O00582</t>
  </si>
  <si>
    <t>O00583</t>
  </si>
  <si>
    <t>O00584</t>
  </si>
  <si>
    <t>O00585</t>
  </si>
  <si>
    <t>O00586</t>
  </si>
  <si>
    <t>O00587</t>
  </si>
  <si>
    <t>O00588</t>
  </si>
  <si>
    <t>O00589</t>
  </si>
  <si>
    <t>O00590</t>
  </si>
  <si>
    <t>O00591</t>
  </si>
  <si>
    <t>O00592</t>
  </si>
  <si>
    <t>O00593</t>
  </si>
  <si>
    <t>O00594</t>
  </si>
  <si>
    <t>O00595</t>
  </si>
  <si>
    <t>O00596</t>
  </si>
  <si>
    <t>O00597</t>
  </si>
  <si>
    <t>O00598</t>
  </si>
  <si>
    <t>O00599</t>
  </si>
  <si>
    <t>O00600</t>
  </si>
  <si>
    <t>O00601</t>
  </si>
  <si>
    <t>O00602</t>
  </si>
  <si>
    <t>O00603</t>
  </si>
  <si>
    <t>O00604</t>
  </si>
  <si>
    <t>O00605</t>
  </si>
  <si>
    <t>O00606</t>
  </si>
  <si>
    <t>O00607</t>
  </si>
  <si>
    <t>O00608</t>
  </si>
  <si>
    <t>O00609</t>
  </si>
  <si>
    <t>O00610</t>
  </si>
  <si>
    <t>O00611</t>
  </si>
  <si>
    <t>O00612</t>
  </si>
  <si>
    <t>O00613</t>
  </si>
  <si>
    <t>O00614</t>
  </si>
  <si>
    <t>O00615</t>
  </si>
  <si>
    <t>O00616</t>
  </si>
  <si>
    <t>O00617</t>
  </si>
  <si>
    <t>O00618</t>
  </si>
  <si>
    <t>O00619</t>
  </si>
  <si>
    <t>O00620</t>
  </si>
  <si>
    <t>O00621</t>
  </si>
  <si>
    <t>O00622</t>
  </si>
  <si>
    <t>O00623</t>
  </si>
  <si>
    <t>O00624</t>
  </si>
  <si>
    <t>O00625</t>
  </si>
  <si>
    <t>O00626</t>
  </si>
  <si>
    <t>O00627</t>
  </si>
  <si>
    <t>O00628</t>
  </si>
  <si>
    <t>O00629</t>
  </si>
  <si>
    <t>O00630</t>
  </si>
  <si>
    <t>O00631</t>
  </si>
  <si>
    <t>O00632</t>
  </si>
  <si>
    <t>O00633</t>
  </si>
  <si>
    <t>O00634</t>
  </si>
  <si>
    <t>O00635</t>
  </si>
  <si>
    <t>O00636</t>
  </si>
  <si>
    <t>O00637</t>
  </si>
  <si>
    <t>O00638</t>
  </si>
  <si>
    <t>O00639</t>
  </si>
  <si>
    <t>O00640</t>
  </si>
  <si>
    <t>O00641</t>
  </si>
  <si>
    <t>O00642</t>
  </si>
  <si>
    <t>O00643</t>
  </si>
  <si>
    <t>O00644</t>
  </si>
  <si>
    <t>O00645</t>
  </si>
  <si>
    <t>O00646</t>
  </si>
  <si>
    <t>O00647</t>
  </si>
  <si>
    <t>O00648</t>
  </si>
  <si>
    <t>O00649</t>
  </si>
  <si>
    <t>O00650</t>
  </si>
  <si>
    <t>O00651</t>
  </si>
  <si>
    <t>O00652</t>
  </si>
  <si>
    <t>O00653</t>
  </si>
  <si>
    <t>O00654</t>
  </si>
  <si>
    <t>O00655</t>
  </si>
  <si>
    <t>O00656</t>
  </si>
  <si>
    <t>O00657</t>
  </si>
  <si>
    <t>O00658</t>
  </si>
  <si>
    <t>O00659</t>
  </si>
  <si>
    <t>O00660</t>
  </si>
  <si>
    <t>O00661</t>
  </si>
  <si>
    <t>O00662</t>
  </si>
  <si>
    <t>O00663</t>
  </si>
  <si>
    <t>O00664</t>
  </si>
  <si>
    <t>O00665</t>
  </si>
  <si>
    <t>O00666</t>
  </si>
  <si>
    <t>O00667</t>
  </si>
  <si>
    <t>O00668</t>
  </si>
  <si>
    <t>O00669</t>
  </si>
  <si>
    <t>O00670</t>
  </si>
  <si>
    <t>O00671</t>
  </si>
  <si>
    <t>O00672</t>
  </si>
  <si>
    <t>O00673</t>
  </si>
  <si>
    <t>O00674</t>
  </si>
  <si>
    <t>O00675</t>
  </si>
  <si>
    <t>O00676</t>
  </si>
  <si>
    <t>O00677</t>
  </si>
  <si>
    <t>O00678</t>
  </si>
  <si>
    <t>O00679</t>
  </si>
  <si>
    <t>O00680</t>
  </si>
  <si>
    <t>O00681</t>
  </si>
  <si>
    <t>O00682</t>
  </si>
  <si>
    <t>O00683</t>
  </si>
  <si>
    <t>O00684</t>
  </si>
  <si>
    <t>O00685</t>
  </si>
  <si>
    <t>O00686</t>
  </si>
  <si>
    <t>O00687</t>
  </si>
  <si>
    <t>O00688</t>
  </si>
  <si>
    <t>O00689</t>
  </si>
  <si>
    <t>O00690</t>
  </si>
  <si>
    <t>O00691</t>
  </si>
  <si>
    <t>O00692</t>
  </si>
  <si>
    <t>O00693</t>
  </si>
  <si>
    <t>O00694</t>
  </si>
  <si>
    <t>O00695</t>
  </si>
  <si>
    <t>O00696</t>
  </si>
  <si>
    <t>O00697</t>
  </si>
  <si>
    <t>O00698</t>
  </si>
  <si>
    <t>O00699</t>
  </si>
  <si>
    <t>O00700</t>
  </si>
  <si>
    <t>O00701</t>
  </si>
  <si>
    <t>O00702</t>
  </si>
  <si>
    <t>O00703</t>
  </si>
  <si>
    <t>O00704</t>
  </si>
  <si>
    <t>O00705</t>
  </si>
  <si>
    <t>O00706</t>
  </si>
  <si>
    <t>O00707</t>
  </si>
  <si>
    <t>O00708</t>
  </si>
  <si>
    <t>O00709</t>
  </si>
  <si>
    <t>O00710</t>
  </si>
  <si>
    <t>O00711</t>
  </si>
  <si>
    <t>O00712</t>
  </si>
  <si>
    <t>O00713</t>
  </si>
  <si>
    <t>O00714</t>
  </si>
  <si>
    <t>O00715</t>
  </si>
  <si>
    <t>O00716</t>
  </si>
  <si>
    <t>O00717</t>
  </si>
  <si>
    <t>O00718</t>
  </si>
  <si>
    <t>O00719</t>
  </si>
  <si>
    <t>O00720</t>
  </si>
  <si>
    <t>O00721</t>
  </si>
  <si>
    <t>O00722</t>
  </si>
  <si>
    <t>O00723</t>
  </si>
  <si>
    <t>O00724</t>
  </si>
  <si>
    <t>O00725</t>
  </si>
  <si>
    <t>O00726</t>
  </si>
  <si>
    <t>O00727</t>
  </si>
  <si>
    <t>O00728</t>
  </si>
  <si>
    <t>O00729</t>
  </si>
  <si>
    <t>O00730</t>
  </si>
  <si>
    <t>O00731</t>
  </si>
  <si>
    <t>O00732</t>
  </si>
  <si>
    <t>O00733</t>
  </si>
  <si>
    <t>O00734</t>
  </si>
  <si>
    <t>O00735</t>
  </si>
  <si>
    <t>O00736</t>
  </si>
  <si>
    <t>O00737</t>
  </si>
  <si>
    <t>O00738</t>
  </si>
  <si>
    <t>O00739</t>
  </si>
  <si>
    <t>O00740</t>
  </si>
  <si>
    <t>O00741</t>
  </si>
  <si>
    <t>O00742</t>
  </si>
  <si>
    <t>O00743</t>
  </si>
  <si>
    <t>O00744</t>
  </si>
  <si>
    <t>O00745</t>
  </si>
  <si>
    <t>O00746</t>
  </si>
  <si>
    <t>O00747</t>
  </si>
  <si>
    <t>O00748</t>
  </si>
  <si>
    <t>O00749</t>
  </si>
  <si>
    <t>O00750</t>
  </si>
  <si>
    <t>O00751</t>
  </si>
  <si>
    <t>O00752</t>
  </si>
  <si>
    <t>O00753</t>
  </si>
  <si>
    <t>O00754</t>
  </si>
  <si>
    <t>O00755</t>
  </si>
  <si>
    <t>O00756</t>
  </si>
  <si>
    <t>O00757</t>
  </si>
  <si>
    <t>O00758</t>
  </si>
  <si>
    <t>O00759</t>
  </si>
  <si>
    <t>O00760</t>
  </si>
  <si>
    <t>O00761</t>
  </si>
  <si>
    <t>O00762</t>
  </si>
  <si>
    <t>O00763</t>
  </si>
  <si>
    <t>O00764</t>
  </si>
  <si>
    <t>O00765</t>
  </si>
  <si>
    <t>O00766</t>
  </si>
  <si>
    <t>O00767</t>
  </si>
  <si>
    <t>O00768</t>
  </si>
  <si>
    <t>O00769</t>
  </si>
  <si>
    <t>O00770</t>
  </si>
  <si>
    <t>O00771</t>
  </si>
  <si>
    <t>O00772</t>
  </si>
  <si>
    <t>O00773</t>
  </si>
  <si>
    <t>O00774</t>
  </si>
  <si>
    <t>O00775</t>
  </si>
  <si>
    <t>O00776</t>
  </si>
  <si>
    <t>O00777</t>
  </si>
  <si>
    <t>O00778</t>
  </si>
  <si>
    <t>O00779</t>
  </si>
  <si>
    <t>O00780</t>
  </si>
  <si>
    <t>O00781</t>
  </si>
  <si>
    <t>O00782</t>
  </si>
  <si>
    <t>O00783</t>
  </si>
  <si>
    <t>O00784</t>
  </si>
  <si>
    <t>O00785</t>
  </si>
  <si>
    <t>O00786</t>
  </si>
  <si>
    <t>O00787</t>
  </si>
  <si>
    <t>O00788</t>
  </si>
  <si>
    <t>O00789</t>
  </si>
  <si>
    <t>O00790</t>
  </si>
  <si>
    <t>O00791</t>
  </si>
  <si>
    <t>O00792</t>
  </si>
  <si>
    <t>O00793</t>
  </si>
  <si>
    <t>O00794</t>
  </si>
  <si>
    <t>O00795</t>
  </si>
  <si>
    <t>O00796</t>
  </si>
  <si>
    <t>O00797</t>
  </si>
  <si>
    <t>O00798</t>
  </si>
  <si>
    <t>O00799</t>
  </si>
  <si>
    <t>O00800</t>
  </si>
  <si>
    <t>O00801</t>
  </si>
  <si>
    <t>O00802</t>
  </si>
  <si>
    <t>O00803</t>
  </si>
  <si>
    <t>O00804</t>
  </si>
  <si>
    <t>O00805</t>
  </si>
  <si>
    <t>O00806</t>
  </si>
  <si>
    <t>O00807</t>
  </si>
  <si>
    <t>O00808</t>
  </si>
  <si>
    <t>O00809</t>
  </si>
  <si>
    <t>O00810</t>
  </si>
  <si>
    <t>O00811</t>
  </si>
  <si>
    <t>O00812</t>
  </si>
  <si>
    <t>O00813</t>
  </si>
  <si>
    <t>O00814</t>
  </si>
  <si>
    <t>O00815</t>
  </si>
  <si>
    <t>O00816</t>
  </si>
  <si>
    <t>O00817</t>
  </si>
  <si>
    <t>O00818</t>
  </si>
  <si>
    <t>O00819</t>
  </si>
  <si>
    <t>O00820</t>
  </si>
  <si>
    <t>O00821</t>
  </si>
  <si>
    <t>O00822</t>
  </si>
  <si>
    <t>O00823</t>
  </si>
  <si>
    <t>O00824</t>
  </si>
  <si>
    <t>O00825</t>
  </si>
  <si>
    <t>O00826</t>
  </si>
  <si>
    <t>O00827</t>
  </si>
  <si>
    <t>O00828</t>
  </si>
  <si>
    <t>O00829</t>
  </si>
  <si>
    <t>O00830</t>
  </si>
  <si>
    <t>O00831</t>
  </si>
  <si>
    <t>O00832</t>
  </si>
  <si>
    <t>O00833</t>
  </si>
  <si>
    <t>O00834</t>
  </si>
  <si>
    <t>O00835</t>
  </si>
  <si>
    <t>O00836</t>
  </si>
  <si>
    <t>O00837</t>
  </si>
  <si>
    <t>O00838</t>
  </si>
  <si>
    <t>O00839</t>
  </si>
  <si>
    <t>O00840</t>
  </si>
  <si>
    <t>O00841</t>
  </si>
  <si>
    <t>O00842</t>
  </si>
  <si>
    <t>O00843</t>
  </si>
  <si>
    <t>O00844</t>
  </si>
  <si>
    <t>O00845</t>
  </si>
  <si>
    <t>O00846</t>
  </si>
  <si>
    <t>O00847</t>
  </si>
  <si>
    <t>O00848</t>
  </si>
  <si>
    <t>O00849</t>
  </si>
  <si>
    <t>O00850</t>
  </si>
  <si>
    <t>O00851</t>
  </si>
  <si>
    <t>O00852</t>
  </si>
  <si>
    <t>O00853</t>
  </si>
  <si>
    <t>O00854</t>
  </si>
  <si>
    <t>O00855</t>
  </si>
  <si>
    <t>O00856</t>
  </si>
  <si>
    <t>O00857</t>
  </si>
  <si>
    <t>O00858</t>
  </si>
  <si>
    <t>O00859</t>
  </si>
  <si>
    <t>O00860</t>
  </si>
  <si>
    <t>O00861</t>
  </si>
  <si>
    <t>O00862</t>
  </si>
  <si>
    <t>O00863</t>
  </si>
  <si>
    <t>O00864</t>
  </si>
  <si>
    <t>O00865</t>
  </si>
  <si>
    <t>O00866</t>
  </si>
  <si>
    <t>O00867</t>
  </si>
  <si>
    <t>O00868</t>
  </si>
  <si>
    <t>O00869</t>
  </si>
  <si>
    <t>O00870</t>
  </si>
  <si>
    <t>O00871</t>
  </si>
  <si>
    <t>O00872</t>
  </si>
  <si>
    <t>O00873</t>
  </si>
  <si>
    <t>O00874</t>
  </si>
  <si>
    <t>O00875</t>
  </si>
  <si>
    <t>O00876</t>
  </si>
  <si>
    <t>O00877</t>
  </si>
  <si>
    <t>O00878</t>
  </si>
  <si>
    <t>O00879</t>
  </si>
  <si>
    <t>O00880</t>
  </si>
  <si>
    <t>O00881</t>
  </si>
  <si>
    <t>O00882</t>
  </si>
  <si>
    <t>O00883</t>
  </si>
  <si>
    <t>O00884</t>
  </si>
  <si>
    <t>O00885</t>
  </si>
  <si>
    <t>O00886</t>
  </si>
  <si>
    <t>O00887</t>
  </si>
  <si>
    <t>O00888</t>
  </si>
  <si>
    <t>O00889</t>
  </si>
  <si>
    <t>O00890</t>
  </si>
  <si>
    <t>O00891</t>
  </si>
  <si>
    <t>O00892</t>
  </si>
  <si>
    <t>O00893</t>
  </si>
  <si>
    <t>O00894</t>
  </si>
  <si>
    <t>O00895</t>
  </si>
  <si>
    <t>O00896</t>
  </si>
  <si>
    <t>O00897</t>
  </si>
  <si>
    <t>O00898</t>
  </si>
  <si>
    <t>O00899</t>
  </si>
  <si>
    <t>O00900</t>
  </si>
  <si>
    <t>O00901</t>
  </si>
  <si>
    <t>O00902</t>
  </si>
  <si>
    <t>O00903</t>
  </si>
  <si>
    <t>O00904</t>
  </si>
  <si>
    <t>O00905</t>
  </si>
  <si>
    <t>O00906</t>
  </si>
  <si>
    <t>O00907</t>
  </si>
  <si>
    <t>O00908</t>
  </si>
  <si>
    <t>O00909</t>
  </si>
  <si>
    <t>O00910</t>
  </si>
  <si>
    <t>O00911</t>
  </si>
  <si>
    <t>O00912</t>
  </si>
  <si>
    <t>O00913</t>
  </si>
  <si>
    <t>O00914</t>
  </si>
  <si>
    <t>O00915</t>
  </si>
  <si>
    <t>O00916</t>
  </si>
  <si>
    <t>O00917</t>
  </si>
  <si>
    <t>O00918</t>
  </si>
  <si>
    <t>O00919</t>
  </si>
  <si>
    <t>O00920</t>
  </si>
  <si>
    <t>O00921</t>
  </si>
  <si>
    <t>O00922</t>
  </si>
  <si>
    <t>O00923</t>
  </si>
  <si>
    <t>O00924</t>
  </si>
  <si>
    <t>O00925</t>
  </si>
  <si>
    <t>O00926</t>
  </si>
  <si>
    <t>O00927</t>
  </si>
  <si>
    <t>O00928</t>
  </si>
  <si>
    <t>O00929</t>
  </si>
  <si>
    <t>O00930</t>
  </si>
  <si>
    <t>O00931</t>
  </si>
  <si>
    <t>O00932</t>
  </si>
  <si>
    <t>O00933</t>
  </si>
  <si>
    <t>O00934</t>
  </si>
  <si>
    <t>O00935</t>
  </si>
  <si>
    <t>O00936</t>
  </si>
  <si>
    <t>O00937</t>
  </si>
  <si>
    <t>O00938</t>
  </si>
  <si>
    <t>O00939</t>
  </si>
  <si>
    <t>O00940</t>
  </si>
  <si>
    <t>O00941</t>
  </si>
  <si>
    <t>O00942</t>
  </si>
  <si>
    <t>O00943</t>
  </si>
  <si>
    <t>O00944</t>
  </si>
  <si>
    <t>O00945</t>
  </si>
  <si>
    <t>O00946</t>
  </si>
  <si>
    <t>O00947</t>
  </si>
  <si>
    <t>O00948</t>
  </si>
  <si>
    <t>O00949</t>
  </si>
  <si>
    <t>O00950</t>
  </si>
  <si>
    <t>O00951</t>
  </si>
  <si>
    <t>O00952</t>
  </si>
  <si>
    <t>O00953</t>
  </si>
  <si>
    <t>O00954</t>
  </si>
  <si>
    <t>O00955</t>
  </si>
  <si>
    <t>O00956</t>
  </si>
  <si>
    <t>O00957</t>
  </si>
  <si>
    <t>O00958</t>
  </si>
  <si>
    <t>O00959</t>
  </si>
  <si>
    <t>O00960</t>
  </si>
  <si>
    <t>O00961</t>
  </si>
  <si>
    <t>O00962</t>
  </si>
  <si>
    <t>O00963</t>
  </si>
  <si>
    <t>O00964</t>
  </si>
  <si>
    <t>O00965</t>
  </si>
  <si>
    <t>O00966</t>
  </si>
  <si>
    <t>O00967</t>
  </si>
  <si>
    <t>O00968</t>
  </si>
  <si>
    <t>O00969</t>
  </si>
  <si>
    <t>O00970</t>
  </si>
  <si>
    <t>O00971</t>
  </si>
  <si>
    <t>O00972</t>
  </si>
  <si>
    <t>O00973</t>
  </si>
  <si>
    <t>O00974</t>
  </si>
  <si>
    <t>O00975</t>
  </si>
  <si>
    <t>O00976</t>
  </si>
  <si>
    <t>O00977</t>
  </si>
  <si>
    <t>O00978</t>
  </si>
  <si>
    <t>O00979</t>
  </si>
  <si>
    <t>O00980</t>
  </si>
  <si>
    <t>O00981</t>
  </si>
  <si>
    <t>O00982</t>
  </si>
  <si>
    <t>O00983</t>
  </si>
  <si>
    <t>O00984</t>
  </si>
  <si>
    <t>O00985</t>
  </si>
  <si>
    <t>O00986</t>
  </si>
  <si>
    <t>O00987</t>
  </si>
  <si>
    <t>O00988</t>
  </si>
  <si>
    <t>O00989</t>
  </si>
  <si>
    <t>O00990</t>
  </si>
  <si>
    <t>O00991</t>
  </si>
  <si>
    <t>O00992</t>
  </si>
  <si>
    <t>O00993</t>
  </si>
  <si>
    <t>O00994</t>
  </si>
  <si>
    <t>O00995</t>
  </si>
  <si>
    <t>O00996</t>
  </si>
  <si>
    <t>O00997</t>
  </si>
  <si>
    <t>O00998</t>
  </si>
  <si>
    <t>O00999</t>
  </si>
  <si>
    <t>O01000</t>
  </si>
  <si>
    <t>O01001</t>
  </si>
  <si>
    <t>O01002</t>
  </si>
  <si>
    <t>O01003</t>
  </si>
  <si>
    <t>O01004</t>
  </si>
  <si>
    <t>O01005</t>
  </si>
  <si>
    <t>O01006</t>
  </si>
  <si>
    <t>O01007</t>
  </si>
  <si>
    <t>O01008</t>
  </si>
  <si>
    <t>O01009</t>
  </si>
  <si>
    <t>O01010</t>
  </si>
  <si>
    <t>O01011</t>
  </si>
  <si>
    <t>O01012</t>
  </si>
  <si>
    <t>O01013</t>
  </si>
  <si>
    <t>O01014</t>
  </si>
  <si>
    <t>O01015</t>
  </si>
  <si>
    <t>O01016</t>
  </si>
  <si>
    <t>O01017</t>
  </si>
  <si>
    <t>O01018</t>
  </si>
  <si>
    <t>O01019</t>
  </si>
  <si>
    <t>O01020</t>
  </si>
  <si>
    <t>O01021</t>
  </si>
  <si>
    <t>O01022</t>
  </si>
  <si>
    <t>O01023</t>
  </si>
  <si>
    <t>O01024</t>
  </si>
  <si>
    <t>O01025</t>
  </si>
  <si>
    <t>O01026</t>
  </si>
  <si>
    <t>O01027</t>
  </si>
  <si>
    <t>O01028</t>
  </si>
  <si>
    <t>O01029</t>
  </si>
  <si>
    <t>O01030</t>
  </si>
  <si>
    <t>O01031</t>
  </si>
  <si>
    <t>O01032</t>
  </si>
  <si>
    <t>O01033</t>
  </si>
  <si>
    <t>O01034</t>
  </si>
  <si>
    <t>O01035</t>
  </si>
  <si>
    <t>O01036</t>
  </si>
  <si>
    <t>O01037</t>
  </si>
  <si>
    <t>O01038</t>
  </si>
  <si>
    <t>O01039</t>
  </si>
  <si>
    <t>O01040</t>
  </si>
  <si>
    <t>O01041</t>
  </si>
  <si>
    <t>O01042</t>
  </si>
  <si>
    <t>O01043</t>
  </si>
  <si>
    <t>O01044</t>
  </si>
  <si>
    <t>O01045</t>
  </si>
  <si>
    <t>O01046</t>
  </si>
  <si>
    <t>O01047</t>
  </si>
  <si>
    <t>O01048</t>
  </si>
  <si>
    <t>O01049</t>
  </si>
  <si>
    <t>O01050</t>
  </si>
  <si>
    <t>O01051</t>
  </si>
  <si>
    <t>O01052</t>
  </si>
  <si>
    <t>O01053</t>
  </si>
  <si>
    <t>O01054</t>
  </si>
  <si>
    <t>O01055</t>
  </si>
  <si>
    <t>O01056</t>
  </si>
  <si>
    <t>O01057</t>
  </si>
  <si>
    <t>O01058</t>
  </si>
  <si>
    <t>O01059</t>
  </si>
  <si>
    <t>O01060</t>
  </si>
  <si>
    <t>O01061</t>
  </si>
  <si>
    <t>O01062</t>
  </si>
  <si>
    <t>O01063</t>
  </si>
  <si>
    <t>O01064</t>
  </si>
  <si>
    <t>O01065</t>
  </si>
  <si>
    <t>O01066</t>
  </si>
  <si>
    <t>O01067</t>
  </si>
  <si>
    <t>O01068</t>
  </si>
  <si>
    <t>O01069</t>
  </si>
  <si>
    <t>O01070</t>
  </si>
  <si>
    <t>O01071</t>
  </si>
  <si>
    <t>O01072</t>
  </si>
  <si>
    <t>O01073</t>
  </si>
  <si>
    <t>O01074</t>
  </si>
  <si>
    <t>O01075</t>
  </si>
  <si>
    <t>O01076</t>
  </si>
  <si>
    <t>O01077</t>
  </si>
  <si>
    <t>O01078</t>
  </si>
  <si>
    <t>O01079</t>
  </si>
  <si>
    <t>O01080</t>
  </si>
  <si>
    <t>O01081</t>
  </si>
  <si>
    <t>O01082</t>
  </si>
  <si>
    <t>O01083</t>
  </si>
  <si>
    <t>O01084</t>
  </si>
  <si>
    <t>O01085</t>
  </si>
  <si>
    <t>O01086</t>
  </si>
  <si>
    <t>O01087</t>
  </si>
  <si>
    <t>O01088</t>
  </si>
  <si>
    <t>O01089</t>
  </si>
  <si>
    <t>O01090</t>
  </si>
  <si>
    <t>O01091</t>
  </si>
  <si>
    <t>O01092</t>
  </si>
  <si>
    <t>O01093</t>
  </si>
  <si>
    <t>O01094</t>
  </si>
  <si>
    <t>O01095</t>
  </si>
  <si>
    <t>O01096</t>
  </si>
  <si>
    <t>O01097</t>
  </si>
  <si>
    <t>O01098</t>
  </si>
  <si>
    <t>O01099</t>
  </si>
  <si>
    <t>O01100</t>
  </si>
  <si>
    <t>O01101</t>
  </si>
  <si>
    <t>O01102</t>
  </si>
  <si>
    <t>O01103</t>
  </si>
  <si>
    <t>O01104</t>
  </si>
  <si>
    <t>O01105</t>
  </si>
  <si>
    <t>O01106</t>
  </si>
  <si>
    <t>O01107</t>
  </si>
  <si>
    <t>O01108</t>
  </si>
  <si>
    <t>O01109</t>
  </si>
  <si>
    <t>O01110</t>
  </si>
  <si>
    <t>O01111</t>
  </si>
  <si>
    <t>O01112</t>
  </si>
  <si>
    <t>O01113</t>
  </si>
  <si>
    <t>O01114</t>
  </si>
  <si>
    <t>O01115</t>
  </si>
  <si>
    <t>O01116</t>
  </si>
  <si>
    <t>O01117</t>
  </si>
  <si>
    <t>O01118</t>
  </si>
  <si>
    <t>O01119</t>
  </si>
  <si>
    <t>O01120</t>
  </si>
  <si>
    <t>O01121</t>
  </si>
  <si>
    <t>O01122</t>
  </si>
  <si>
    <t>O01123</t>
  </si>
  <si>
    <t>O01124</t>
  </si>
  <si>
    <t>O01125</t>
  </si>
  <si>
    <t>O01126</t>
  </si>
  <si>
    <t>O01127</t>
  </si>
  <si>
    <t>O01128</t>
  </si>
  <si>
    <t>O01129</t>
  </si>
  <si>
    <t>O01130</t>
  </si>
  <si>
    <t>O01131</t>
  </si>
  <si>
    <t>O01132</t>
  </si>
  <si>
    <t>O01133</t>
  </si>
  <si>
    <t>O01134</t>
  </si>
  <si>
    <t>O01135</t>
  </si>
  <si>
    <t>O01136</t>
  </si>
  <si>
    <t>O01137</t>
  </si>
  <si>
    <t>O01138</t>
  </si>
  <si>
    <t>O01139</t>
  </si>
  <si>
    <t>O01140</t>
  </si>
  <si>
    <t>O01141</t>
  </si>
  <si>
    <t>O01142</t>
  </si>
  <si>
    <t>O01143</t>
  </si>
  <si>
    <t>O01144</t>
  </si>
  <si>
    <t>O01145</t>
  </si>
  <si>
    <t>O01146</t>
  </si>
  <si>
    <t>O01147</t>
  </si>
  <si>
    <t>O01148</t>
  </si>
  <si>
    <t>O01149</t>
  </si>
  <si>
    <t>O01150</t>
  </si>
  <si>
    <t>O01151</t>
  </si>
  <si>
    <t>O01152</t>
  </si>
  <si>
    <t>O01153</t>
  </si>
  <si>
    <t>O01154</t>
  </si>
  <si>
    <t>O01155</t>
  </si>
  <si>
    <t>O01156</t>
  </si>
  <si>
    <t>O01157</t>
  </si>
  <si>
    <t>O01158</t>
  </si>
  <si>
    <t>O01159</t>
  </si>
  <si>
    <t>O01160</t>
  </si>
  <si>
    <t>O01161</t>
  </si>
  <si>
    <t>O01162</t>
  </si>
  <si>
    <t>O01163</t>
  </si>
  <si>
    <t>O01164</t>
  </si>
  <si>
    <t>O01165</t>
  </si>
  <si>
    <t>O01166</t>
  </si>
  <si>
    <t>O01167</t>
  </si>
  <si>
    <t>O01168</t>
  </si>
  <si>
    <t>O01169</t>
  </si>
  <si>
    <t>O01170</t>
  </si>
  <si>
    <t>O01171</t>
  </si>
  <si>
    <t>O01172</t>
  </si>
  <si>
    <t>O01173</t>
  </si>
  <si>
    <t>O01174</t>
  </si>
  <si>
    <t>O01175</t>
  </si>
  <si>
    <t>O01176</t>
  </si>
  <si>
    <t>O01177</t>
  </si>
  <si>
    <t>O01178</t>
  </si>
  <si>
    <t>O01179</t>
  </si>
  <si>
    <t>O01180</t>
  </si>
  <si>
    <t>O01181</t>
  </si>
  <si>
    <t>O01182</t>
  </si>
  <si>
    <t>O01183</t>
  </si>
  <si>
    <t>O01184</t>
  </si>
  <si>
    <t>O01185</t>
  </si>
  <si>
    <t>O01186</t>
  </si>
  <si>
    <t>O01187</t>
  </si>
  <si>
    <t>O01188</t>
  </si>
  <si>
    <t>O01189</t>
  </si>
  <si>
    <t>O01190</t>
  </si>
  <si>
    <t>O01191</t>
  </si>
  <si>
    <t>O01192</t>
  </si>
  <si>
    <t>O01193</t>
  </si>
  <si>
    <t>O01194</t>
  </si>
  <si>
    <t>O01195</t>
  </si>
  <si>
    <t>O01196</t>
  </si>
  <si>
    <t>O01197</t>
  </si>
  <si>
    <t>O01198</t>
  </si>
  <si>
    <t>O01199</t>
  </si>
  <si>
    <t>O01200</t>
  </si>
  <si>
    <t>order_item_id</t>
  </si>
  <si>
    <t>product_id</t>
  </si>
  <si>
    <t>quantity</t>
  </si>
  <si>
    <t>unit_price</t>
  </si>
  <si>
    <t>P033</t>
  </si>
  <si>
    <t>P010</t>
  </si>
  <si>
    <t>P007</t>
  </si>
  <si>
    <t>P045</t>
  </si>
  <si>
    <t>P036</t>
  </si>
  <si>
    <t>P023</t>
  </si>
  <si>
    <t>P070</t>
  </si>
  <si>
    <t>P062</t>
  </si>
  <si>
    <t>P015</t>
  </si>
  <si>
    <t>P022</t>
  </si>
  <si>
    <t>P006</t>
  </si>
  <si>
    <t>P076</t>
  </si>
  <si>
    <t>P072</t>
  </si>
  <si>
    <t>P040</t>
  </si>
  <si>
    <t>P044</t>
  </si>
  <si>
    <t>P066</t>
  </si>
  <si>
    <t>P080</t>
  </si>
  <si>
    <t>P065</t>
  </si>
  <si>
    <t>P069</t>
  </si>
  <si>
    <t>P067</t>
  </si>
  <si>
    <t>P005</t>
  </si>
  <si>
    <t>P047</t>
  </si>
  <si>
    <t>P030</t>
  </si>
  <si>
    <t>P071</t>
  </si>
  <si>
    <t>P053</t>
  </si>
  <si>
    <t>P014</t>
  </si>
  <si>
    <t>P063</t>
  </si>
  <si>
    <t>P054</t>
  </si>
  <si>
    <t>P020</t>
  </si>
  <si>
    <t>P021</t>
  </si>
  <si>
    <t>P052</t>
  </si>
  <si>
    <t>P025</t>
  </si>
  <si>
    <t>P077</t>
  </si>
  <si>
    <t>P050</t>
  </si>
  <si>
    <t>P048</t>
  </si>
  <si>
    <t>P017</t>
  </si>
  <si>
    <t>P027</t>
  </si>
  <si>
    <t>P038</t>
  </si>
  <si>
    <t>P016</t>
  </si>
  <si>
    <t>P028</t>
  </si>
  <si>
    <t>P043</t>
  </si>
  <si>
    <t>P032</t>
  </si>
  <si>
    <t>P049</t>
  </si>
  <si>
    <t>P035</t>
  </si>
  <si>
    <t>P002</t>
  </si>
  <si>
    <t>P060</t>
  </si>
  <si>
    <t>P012</t>
  </si>
  <si>
    <t>P059</t>
  </si>
  <si>
    <t>P056</t>
  </si>
  <si>
    <t>P029</t>
  </si>
  <si>
    <t>P078</t>
  </si>
  <si>
    <t>P037</t>
  </si>
  <si>
    <t>P018</t>
  </si>
  <si>
    <t>P026</t>
  </si>
  <si>
    <t>P079</t>
  </si>
  <si>
    <t>P008</t>
  </si>
  <si>
    <t>P003</t>
  </si>
  <si>
    <t>P024</t>
  </si>
  <si>
    <t>P039</t>
  </si>
  <si>
    <t>P057</t>
  </si>
  <si>
    <t>P064</t>
  </si>
  <si>
    <t>P074</t>
  </si>
  <si>
    <t>P041</t>
  </si>
  <si>
    <t>P013</t>
  </si>
  <si>
    <t>P075</t>
  </si>
  <si>
    <t>P011</t>
  </si>
  <si>
    <t>P019</t>
  </si>
  <si>
    <t>P051</t>
  </si>
  <si>
    <t>P034</t>
  </si>
  <si>
    <t>P055</t>
  </si>
  <si>
    <t>P009</t>
  </si>
  <si>
    <t>P073</t>
  </si>
  <si>
    <t>P061</t>
  </si>
  <si>
    <t>P001</t>
  </si>
  <si>
    <t>P058</t>
  </si>
  <si>
    <t>P042</t>
  </si>
  <si>
    <t>P004</t>
  </si>
  <si>
    <t>P068</t>
  </si>
  <si>
    <t>P031</t>
  </si>
  <si>
    <t>P046</t>
  </si>
  <si>
    <t>product_name</t>
  </si>
  <si>
    <t>category</t>
  </si>
  <si>
    <t>base_price</t>
  </si>
  <si>
    <t>Lenovo IdeaPad</t>
  </si>
  <si>
    <t>Tablet</t>
  </si>
  <si>
    <t>Samsung Tab</t>
  </si>
  <si>
    <t>HP Pavilion</t>
  </si>
  <si>
    <t>Lenovo Tab</t>
  </si>
  <si>
    <t>tablet</t>
  </si>
  <si>
    <t>OnePlus</t>
  </si>
  <si>
    <t>Laptop Bag</t>
  </si>
  <si>
    <t>Accessory</t>
  </si>
  <si>
    <t>iPhone 13</t>
  </si>
  <si>
    <t>Samsung Galaxy</t>
  </si>
  <si>
    <t>Xiaomi Redmi</t>
  </si>
  <si>
    <t>Laptop</t>
  </si>
  <si>
    <t>iPad Air</t>
  </si>
  <si>
    <t>Keyboard</t>
  </si>
  <si>
    <t>Dell Inspiron</t>
  </si>
  <si>
    <t>laptop</t>
  </si>
  <si>
    <t>MacBook Air</t>
  </si>
  <si>
    <t>Wireless Mouse</t>
  </si>
  <si>
    <t>USB Hub</t>
  </si>
  <si>
    <t>Smart Phone</t>
  </si>
  <si>
    <t>total_amount</t>
  </si>
  <si>
    <t>Count of order_id</t>
  </si>
  <si>
    <t>Sum of total_amount</t>
  </si>
  <si>
    <t>Count of product_id</t>
  </si>
  <si>
    <t>Row Labels</t>
  </si>
  <si>
    <t>Grand Total</t>
  </si>
  <si>
    <t>NA</t>
  </si>
  <si>
    <t>Jan</t>
  </si>
  <si>
    <t>Feb</t>
  </si>
  <si>
    <t>Mar</t>
  </si>
  <si>
    <t>Apr</t>
  </si>
  <si>
    <t>May</t>
  </si>
  <si>
    <t>Jun</t>
  </si>
  <si>
    <t>Jul</t>
  </si>
  <si>
    <t>Aug</t>
  </si>
  <si>
    <t>Sep</t>
  </si>
  <si>
    <t>Oct</t>
  </si>
  <si>
    <t>Nov</t>
  </si>
  <si>
    <t>Dec</t>
  </si>
  <si>
    <t>Count of customer_id</t>
  </si>
  <si>
    <t>Count of product_name</t>
  </si>
  <si>
    <t>Sum of quantity</t>
  </si>
  <si>
    <t>india</t>
  </si>
  <si>
    <t>states</t>
  </si>
  <si>
    <t xml:space="preserve">country </t>
  </si>
  <si>
    <t>sales</t>
  </si>
  <si>
    <t>Bangalore</t>
  </si>
  <si>
    <t>stats</t>
  </si>
  <si>
    <t>karnataka</t>
  </si>
  <si>
    <t>tamilnadu</t>
  </si>
  <si>
    <t>maharastra</t>
  </si>
  <si>
    <t>west bengal</t>
  </si>
  <si>
    <t>delhi</t>
  </si>
  <si>
    <t>telangana</t>
  </si>
  <si>
    <t>Column1</t>
  </si>
  <si>
    <t>country 2</t>
  </si>
  <si>
    <t>Column3</t>
  </si>
  <si>
    <t>Tamil nadu</t>
  </si>
  <si>
    <t>Karnataka</t>
  </si>
  <si>
    <t>Telangana</t>
  </si>
  <si>
    <t>West bengal</t>
  </si>
  <si>
    <t>Maharastra</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</si>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</sst>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2" x14ac:knownFonts="1">
    <font>
      <sz val="11"/>
      <color theme="1"/>
      <name val="Calibri"/>
      <family val="2"/>
      <scheme val="minor"/>
    </font>
    <font>
      <b/>
      <sz val="11"/>
      <color theme="0"/>
      <name val="Calibri"/>
      <family val="2"/>
      <scheme val="minor"/>
    </font>
  </fonts>
  <fills count="3">
    <fill>
      <patternFill patternType="none"/>
    </fill>
    <fill>
      <patternFill patternType="gray125"/>
    </fill>
    <fill>
      <patternFill patternType="solid">
        <fgColor theme="1"/>
        <bgColor theme="1"/>
      </patternFill>
    </fill>
  </fills>
  <borders count="14">
    <border>
      <left/>
      <right/>
      <top/>
      <bottom/>
      <diagonal/>
    </border>
    <border>
      <left style="thin">
        <color theme="1"/>
      </left>
      <right/>
      <top style="thin">
        <color theme="1"/>
      </top>
      <bottom style="thin">
        <color theme="1"/>
      </bottom>
      <diagonal/>
    </border>
    <border>
      <left style="thin">
        <color theme="1"/>
      </left>
      <right/>
      <top style="thin">
        <color theme="1"/>
      </top>
      <bottom/>
      <diagonal/>
    </border>
    <border>
      <left/>
      <right/>
      <top style="thin">
        <color theme="1"/>
      </top>
      <bottom style="thin">
        <color theme="1"/>
      </bottom>
      <diagonal/>
    </border>
    <border>
      <left/>
      <right/>
      <top style="thin">
        <color theme="1"/>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1">
    <xf numFmtId="0" fontId="0" fillId="0" borderId="0"/>
  </cellStyleXfs>
  <cellXfs count="20">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0" borderId="1" xfId="0" applyBorder="1"/>
    <xf numFmtId="0" fontId="0" fillId="0" borderId="3" xfId="0" applyBorder="1"/>
    <xf numFmtId="0" fontId="0" fillId="0" borderId="2" xfId="0" applyBorder="1"/>
    <xf numFmtId="0" fontId="0" fillId="0" borderId="4" xfId="0" applyBorder="1"/>
    <xf numFmtId="0" fontId="1" fillId="2" borderId="2" xfId="0" applyFont="1" applyFill="1" applyBorder="1"/>
    <xf numFmtId="0" fontId="1" fillId="2" borderId="4" xfId="0" applyFont="1" applyFill="1"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cellXfs>
  <cellStyles count="1">
    <cellStyle name="Normal" xfId="0" builtinId="0"/>
  </cellStyles>
  <dxfs count="2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1"/>
        <color theme="1"/>
        <name val="Calibri"/>
        <family val="2"/>
        <scheme val="minor"/>
      </font>
      <border diagonalUp="0" diagonalDown="0">
        <left style="thin">
          <color theme="1"/>
        </left>
        <right/>
        <top style="thin">
          <color theme="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1"/>
        </top>
        <bottom/>
        <vertical/>
        <horizontal/>
      </border>
    </dxf>
    <dxf>
      <border outline="0">
        <left style="thin">
          <color theme="1"/>
        </left>
      </border>
    </dxf>
    <dxf>
      <alignment horizontal="left" vertical="bottom" textRotation="0" wrapText="0" indent="0" justifyLastLine="0" shrinkToFit="0" readingOrder="0"/>
    </dxf>
    <dxf>
      <numFmt numFmtId="19" formatCode="dd/mm/yyyy"/>
    </dxf>
    <dxf>
      <numFmt numFmtId="0" formatCode="General"/>
    </dxf>
    <dxf>
      <numFmt numFmtId="0" formatCode="General"/>
    </dxf>
    <dxf>
      <numFmt numFmtId="0" formatCode="General"/>
    </dxf>
    <dxf>
      <numFmt numFmtId="0" formatCode="General"/>
    </dxf>
    <dxf>
      <numFmt numFmtId="164" formatCode="[$-F800]dddd\,\ mmmm\ dd\,\ 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microsoft.com/office/2007/relationships/slicerCache" Target="slicerCaches/slicerCache3.xml"/><Relationship Id="rId39" Type="http://schemas.openxmlformats.org/officeDocument/2006/relationships/customXml" Target="../customXml/item5.xml"/><Relationship Id="rId21" Type="http://schemas.openxmlformats.org/officeDocument/2006/relationships/pivotCacheDefinition" Target="pivotCache/pivotCacheDefinition15.xml"/><Relationship Id="rId34" Type="http://schemas.openxmlformats.org/officeDocument/2006/relationships/calcChain" Target="calcChain.xml"/><Relationship Id="rId42" Type="http://schemas.openxmlformats.org/officeDocument/2006/relationships/customXml" Target="../customXml/item8.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microsoft.com/office/2007/relationships/slicerCache" Target="slicerCaches/slicerCache1.xml"/><Relationship Id="rId32" Type="http://schemas.openxmlformats.org/officeDocument/2006/relationships/sheetMetadata" Target="metadata.xml"/><Relationship Id="rId37" Type="http://schemas.openxmlformats.org/officeDocument/2006/relationships/customXml" Target="../customXml/item3.xml"/><Relationship Id="rId40" Type="http://schemas.openxmlformats.org/officeDocument/2006/relationships/customXml" Target="../customXml/item6.xml"/><Relationship Id="rId45" Type="http://schemas.openxmlformats.org/officeDocument/2006/relationships/customXml" Target="../customXml/item11.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pivotCacheDefinition" Target="pivotCache/pivotCacheDefinition17.xml"/><Relationship Id="rId28" Type="http://schemas.openxmlformats.org/officeDocument/2006/relationships/theme" Target="theme/theme1.xml"/><Relationship Id="rId36" Type="http://schemas.openxmlformats.org/officeDocument/2006/relationships/customXml" Target="../customXml/item2.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3.xml"/><Relationship Id="rId31" Type="http://schemas.openxmlformats.org/officeDocument/2006/relationships/sharedStrings" Target="sharedStrings.xml"/><Relationship Id="rId44" Type="http://schemas.openxmlformats.org/officeDocument/2006/relationships/customXml" Target="../customXml/item10.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pivotCacheDefinition" Target="pivotCache/pivotCacheDefinition16.xml"/><Relationship Id="rId27" Type="http://schemas.microsoft.com/office/2007/relationships/slicerCache" Target="slicerCaches/slicerCache4.xml"/><Relationship Id="rId30" Type="http://schemas.openxmlformats.org/officeDocument/2006/relationships/styles" Target="styles.xml"/><Relationship Id="rId35" Type="http://schemas.openxmlformats.org/officeDocument/2006/relationships/customXml" Target="../customXml/item1.xml"/><Relationship Id="rId43" Type="http://schemas.openxmlformats.org/officeDocument/2006/relationships/customXml" Target="../customXml/item9.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microsoft.com/office/2007/relationships/slicerCache" Target="slicerCaches/slicerCache2.xml"/><Relationship Id="rId33" Type="http://schemas.openxmlformats.org/officeDocument/2006/relationships/powerPivotData" Target="model/item.data"/><Relationship Id="rId38" Type="http://schemas.openxmlformats.org/officeDocument/2006/relationships/customXml" Target="../customXml/item4.xml"/><Relationship Id="rId46" Type="http://schemas.openxmlformats.org/officeDocument/2006/relationships/customXml" Target="../customXml/item12.xml"/><Relationship Id="rId20" Type="http://schemas.openxmlformats.org/officeDocument/2006/relationships/pivotCacheDefinition" Target="pivotCache/pivotCacheDefinition14.xml"/><Relationship Id="rId41" Type="http://schemas.openxmlformats.org/officeDocument/2006/relationships/customXml" Target="../customXml/item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[cleaning file.xlsx]pivot table!PivotTable15</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customer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435870516185475"/>
          <c:y val="0.13930555555555557"/>
          <c:w val="0.72728937007874017"/>
          <c:h val="0.72088764946048411"/>
        </c:manualLayout>
      </c:layout>
      <c:barChart>
        <c:barDir val="col"/>
        <c:grouping val="clustered"/>
        <c:varyColors val="0"/>
        <c:ser>
          <c:idx val="0"/>
          <c:order val="0"/>
          <c:tx>
            <c:strRef>
              <c:f>'pivot table'!$H$37</c:f>
              <c:strCache>
                <c:ptCount val="1"/>
                <c:pt idx="0">
                  <c:v>Total</c:v>
                </c:pt>
              </c:strCache>
            </c:strRef>
          </c:tx>
          <c:spPr>
            <a:solidFill>
              <a:schemeClr val="accent6">
                <a:lumMod val="50000"/>
              </a:schemeClr>
            </a:solidFill>
            <a:ln>
              <a:noFill/>
            </a:ln>
            <a:effectLst/>
          </c:spPr>
          <c:invertIfNegative val="0"/>
          <c:cat>
            <c:strRef>
              <c:f>'pivot table'!$G$38:$G$43</c:f>
              <c:strCache>
                <c:ptCount val="5"/>
                <c:pt idx="0">
                  <c:v>C0474</c:v>
                </c:pt>
                <c:pt idx="1">
                  <c:v>C0313</c:v>
                </c:pt>
                <c:pt idx="2">
                  <c:v>C0218</c:v>
                </c:pt>
                <c:pt idx="3">
                  <c:v>C0142</c:v>
                </c:pt>
                <c:pt idx="4">
                  <c:v>C0137</c:v>
                </c:pt>
              </c:strCache>
            </c:strRef>
          </c:cat>
          <c:val>
            <c:numRef>
              <c:f>'pivot table'!$H$38:$H$43</c:f>
              <c:numCache>
                <c:formatCode>General</c:formatCode>
                <c:ptCount val="5"/>
                <c:pt idx="0">
                  <c:v>1264398</c:v>
                </c:pt>
                <c:pt idx="1">
                  <c:v>1132867</c:v>
                </c:pt>
                <c:pt idx="2">
                  <c:v>1311317</c:v>
                </c:pt>
                <c:pt idx="3">
                  <c:v>1297819</c:v>
                </c:pt>
                <c:pt idx="4">
                  <c:v>1154070</c:v>
                </c:pt>
              </c:numCache>
            </c:numRef>
          </c:val>
          <c:extLst>
            <c:ext xmlns:c16="http://schemas.microsoft.com/office/drawing/2014/chart" uri="{C3380CC4-5D6E-409C-BE32-E72D297353CC}">
              <c16:uniqueId val="{00000000-30B6-4EAD-BC93-09893F9C4B8E}"/>
            </c:ext>
          </c:extLst>
        </c:ser>
        <c:dLbls>
          <c:showLegendKey val="0"/>
          <c:showVal val="0"/>
          <c:showCatName val="0"/>
          <c:showSerName val="0"/>
          <c:showPercent val="0"/>
          <c:showBubbleSize val="0"/>
        </c:dLbls>
        <c:gapWidth val="219"/>
        <c:overlap val="-27"/>
        <c:axId val="1901020767"/>
        <c:axId val="1901025087"/>
      </c:barChart>
      <c:catAx>
        <c:axId val="1901020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85000"/>
                    <a:lumOff val="15000"/>
                  </a:schemeClr>
                </a:solidFill>
                <a:latin typeface="+mn-lt"/>
                <a:ea typeface="+mn-ea"/>
                <a:cs typeface="+mn-cs"/>
              </a:defRPr>
            </a:pPr>
            <a:endParaRPr lang="en-US"/>
          </a:p>
        </c:txPr>
        <c:crossAx val="1901025087"/>
        <c:crosses val="autoZero"/>
        <c:auto val="1"/>
        <c:lblAlgn val="ctr"/>
        <c:lblOffset val="100"/>
        <c:noMultiLvlLbl val="0"/>
      </c:catAx>
      <c:valAx>
        <c:axId val="19010250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19010207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[cleaning file.xlsx]pivot table!PivotTable16</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table'!$I$47</c:f>
              <c:strCache>
                <c:ptCount val="1"/>
                <c:pt idx="0">
                  <c:v>Total</c:v>
                </c:pt>
              </c:strCache>
            </c:strRef>
          </c:tx>
          <c:spPr>
            <a:ln w="28575" cap="rnd">
              <a:solidFill>
                <a:schemeClr val="accent1"/>
              </a:solidFill>
              <a:round/>
            </a:ln>
            <a:effectLst/>
          </c:spPr>
          <c:marker>
            <c:symbol val="none"/>
          </c:marker>
          <c:cat>
            <c:strRef>
              <c:f>'pivot table'!$H$48:$H$60</c:f>
              <c:strCache>
                <c:ptCount val="12"/>
                <c:pt idx="0">
                  <c:v>Apr</c:v>
                </c:pt>
                <c:pt idx="1">
                  <c:v>Mar</c:v>
                </c:pt>
                <c:pt idx="2">
                  <c:v>Jan</c:v>
                </c:pt>
                <c:pt idx="3">
                  <c:v>Feb</c:v>
                </c:pt>
                <c:pt idx="4">
                  <c:v>May</c:v>
                </c:pt>
                <c:pt idx="5">
                  <c:v>Jun</c:v>
                </c:pt>
                <c:pt idx="6">
                  <c:v>Dec</c:v>
                </c:pt>
                <c:pt idx="7">
                  <c:v>Sep</c:v>
                </c:pt>
                <c:pt idx="8">
                  <c:v>Aug</c:v>
                </c:pt>
                <c:pt idx="9">
                  <c:v>Oct</c:v>
                </c:pt>
                <c:pt idx="10">
                  <c:v>Jul</c:v>
                </c:pt>
                <c:pt idx="11">
                  <c:v>Nov</c:v>
                </c:pt>
              </c:strCache>
            </c:strRef>
          </c:cat>
          <c:val>
            <c:numRef>
              <c:f>'pivot table'!$I$48:$I$60</c:f>
              <c:numCache>
                <c:formatCode>General</c:formatCode>
                <c:ptCount val="12"/>
                <c:pt idx="0">
                  <c:v>20617038</c:v>
                </c:pt>
                <c:pt idx="1">
                  <c:v>18434982</c:v>
                </c:pt>
                <c:pt idx="2">
                  <c:v>17992071</c:v>
                </c:pt>
                <c:pt idx="3">
                  <c:v>12628022</c:v>
                </c:pt>
                <c:pt idx="4">
                  <c:v>11736569</c:v>
                </c:pt>
                <c:pt idx="5">
                  <c:v>10195710</c:v>
                </c:pt>
                <c:pt idx="6">
                  <c:v>9537758</c:v>
                </c:pt>
                <c:pt idx="7">
                  <c:v>8771466</c:v>
                </c:pt>
                <c:pt idx="8">
                  <c:v>8298368</c:v>
                </c:pt>
                <c:pt idx="9">
                  <c:v>7737568</c:v>
                </c:pt>
                <c:pt idx="10">
                  <c:v>7372938</c:v>
                </c:pt>
                <c:pt idx="11">
                  <c:v>6954330</c:v>
                </c:pt>
              </c:numCache>
            </c:numRef>
          </c:val>
          <c:smooth val="0"/>
          <c:extLst>
            <c:ext xmlns:c16="http://schemas.microsoft.com/office/drawing/2014/chart" uri="{C3380CC4-5D6E-409C-BE32-E72D297353CC}">
              <c16:uniqueId val="{00000000-04E5-4024-9E74-C2668B48A55E}"/>
            </c:ext>
          </c:extLst>
        </c:ser>
        <c:dLbls>
          <c:showLegendKey val="0"/>
          <c:showVal val="0"/>
          <c:showCatName val="0"/>
          <c:showSerName val="0"/>
          <c:showPercent val="0"/>
          <c:showBubbleSize val="0"/>
        </c:dLbls>
        <c:smooth val="0"/>
        <c:axId val="584901135"/>
        <c:axId val="584902095"/>
      </c:lineChart>
      <c:catAx>
        <c:axId val="584901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4902095"/>
        <c:crosses val="autoZero"/>
        <c:auto val="1"/>
        <c:lblAlgn val="ctr"/>
        <c:lblOffset val="100"/>
        <c:noMultiLvlLbl val="0"/>
      </c:catAx>
      <c:valAx>
        <c:axId val="5849020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4901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600" b="1" i="0" u="none" strike="noStrike" kern="1200" spc="0" baseline="0">
                <a:solidFill>
                  <a:sysClr val="windowText" lastClr="000000">
                    <a:lumMod val="65000"/>
                    <a:lumOff val="35000"/>
                  </a:sysClr>
                </a:solidFill>
                <a:latin typeface="+mn-lt"/>
                <a:ea typeface="+mn-ea"/>
                <a:cs typeface="+mn-cs"/>
              </a:defRPr>
            </a:pPr>
            <a:r>
              <a:rPr lang="en-US" sz="1600" b="1" i="0" u="none" strike="noStrike" kern="1200" spc="0" baseline="0">
                <a:solidFill>
                  <a:sysClr val="windowText" lastClr="000000">
                    <a:lumMod val="65000"/>
                    <a:lumOff val="35000"/>
                  </a:sysClr>
                </a:solidFill>
                <a:latin typeface="+mn-lt"/>
                <a:ea typeface="+mn-ea"/>
                <a:cs typeface="+mn-cs"/>
              </a:rPr>
              <a:t>monthly oders</a:t>
            </a:r>
          </a:p>
        </c:rich>
      </c:tx>
      <c:layout>
        <c:manualLayout>
          <c:xMode val="edge"/>
          <c:yMode val="edge"/>
          <c:x val="0.59387041130226303"/>
          <c:y val="3.9114894415451604E-3"/>
        </c:manualLayout>
      </c:layout>
      <c:overlay val="0"/>
      <c:spPr>
        <a:noFill/>
        <a:ln>
          <a:noFill/>
        </a:ln>
        <a:effectLst/>
      </c:spPr>
      <c:txPr>
        <a:bodyPr rot="0" spcFirstLastPara="1" vertOverflow="ellipsis" vert="horz" wrap="square" anchor="ctr" anchorCtr="1"/>
        <a:lstStyle/>
        <a:p>
          <a:pPr algn="ctr" rtl="0">
            <a:defRPr lang="en-US" sz="16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38100"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6">
                <a:lumMod val="50000"/>
              </a:schemeClr>
            </a:solidFill>
            <a:round/>
          </a:ln>
          <a:effectLst/>
        </c:spPr>
        <c:marker>
          <c:symbol val="squar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5167073378009759E-2"/>
          <c:y val="0.161344624832891"/>
          <c:w val="0.91832179390244872"/>
          <c:h val="0.73315623433180532"/>
        </c:manualLayout>
      </c:layout>
      <c:lineChart>
        <c:grouping val="standard"/>
        <c:varyColors val="0"/>
        <c:dLbls>
          <c:dLblPos val="t"/>
          <c:showLegendKey val="0"/>
          <c:showVal val="1"/>
          <c:showCatName val="0"/>
          <c:showSerName val="0"/>
          <c:showPercent val="0"/>
          <c:showBubbleSize val="0"/>
        </c:dLbls>
        <c:marker val="1"/>
        <c:smooth val="0"/>
        <c:axId val="1261888512"/>
        <c:axId val="1261888992"/>
      </c:lineChart>
      <c:catAx>
        <c:axId val="1261888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6">
                    <a:lumMod val="75000"/>
                  </a:schemeClr>
                </a:solidFill>
                <a:latin typeface="+mn-lt"/>
                <a:ea typeface="+mn-ea"/>
                <a:cs typeface="+mn-cs"/>
              </a:defRPr>
            </a:pPr>
            <a:endParaRPr lang="en-US"/>
          </a:p>
        </c:txPr>
        <c:crossAx val="1261888992"/>
        <c:crosses val="autoZero"/>
        <c:auto val="1"/>
        <c:lblAlgn val="ctr"/>
        <c:lblOffset val="100"/>
        <c:noMultiLvlLbl val="0"/>
      </c:catAx>
      <c:valAx>
        <c:axId val="12618889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1888512"/>
        <c:crosses val="autoZero"/>
        <c:crossBetween val="between"/>
      </c:valAx>
      <c:spPr>
        <a:noFill/>
        <a:ln w="25400">
          <a:noFill/>
        </a:ln>
        <a:effectLst>
          <a:outerShdw blurRad="63500" sx="102000" sy="102000" algn="ctr" rotWithShape="0">
            <a:schemeClr val="accent6">
              <a:lumMod val="75000"/>
              <a:alpha val="40000"/>
            </a:scheme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[cleaning file.xlsx]pivot table!PivotTable13</c:name>
    <c:fmtId val="3"/>
  </c:pivotSource>
  <c:chart>
    <c:title>
      <c:tx>
        <c:rich>
          <a:bodyPr rot="0" spcFirstLastPara="1" vertOverflow="ellipsis" vert="horz" wrap="square" anchor="ctr" anchorCtr="1"/>
          <a:lstStyle/>
          <a:p>
            <a:pPr algn="ctr" rtl="0">
              <a:defRPr lang="en-US" sz="1600" b="1" i="0" u="none" strike="noStrike" kern="1200" spc="0" baseline="0">
                <a:solidFill>
                  <a:sysClr val="windowText" lastClr="000000">
                    <a:lumMod val="65000"/>
                    <a:lumOff val="35000"/>
                  </a:sysClr>
                </a:solidFill>
                <a:latin typeface="+mn-lt"/>
                <a:ea typeface="+mn-ea"/>
                <a:cs typeface="+mn-cs"/>
              </a:defRPr>
            </a:pPr>
            <a:r>
              <a:rPr lang="en-US" sz="1600" b="1" i="0" u="none" strike="noStrike" kern="1200" spc="0" baseline="0">
                <a:solidFill>
                  <a:sysClr val="windowText" lastClr="000000">
                    <a:lumMod val="65000"/>
                    <a:lumOff val="35000"/>
                  </a:sysClr>
                </a:solidFill>
                <a:latin typeface="+mn-lt"/>
                <a:ea typeface="+mn-ea"/>
                <a:cs typeface="+mn-cs"/>
              </a:rPr>
              <a:t>category by revenue</a:t>
            </a:r>
          </a:p>
        </c:rich>
      </c:tx>
      <c:layout>
        <c:manualLayout>
          <c:xMode val="edge"/>
          <c:yMode val="edge"/>
          <c:x val="5.1040914388873468E-2"/>
          <c:y val="4.736971520314737E-3"/>
        </c:manualLayout>
      </c:layout>
      <c:overlay val="0"/>
      <c:spPr>
        <a:noFill/>
        <a:ln>
          <a:noFill/>
        </a:ln>
        <a:effectLst/>
      </c:spPr>
      <c:txPr>
        <a:bodyPr rot="0" spcFirstLastPara="1" vertOverflow="ellipsis" vert="horz" wrap="square" anchor="ctr" anchorCtr="1"/>
        <a:lstStyle/>
        <a:p>
          <a:pPr algn="ctr" rtl="0">
            <a:defRPr lang="en-US" sz="16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6">
              <a:lumMod val="60000"/>
              <a:lumOff val="40000"/>
            </a:schemeClr>
          </a:solidFill>
          <a:ln w="19050">
            <a:solidFill>
              <a:schemeClr val="lt1"/>
            </a:solidFill>
          </a:ln>
          <a:effectLst>
            <a:outerShdw blurRad="50800" dist="38100" dir="5400000" algn="t"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50000"/>
            </a:schemeClr>
          </a:solidFill>
          <a:ln w="19050">
            <a:solidFill>
              <a:schemeClr val="lt1"/>
            </a:solidFill>
          </a:ln>
          <a:effectLst>
            <a:outerShdw blurRad="50800" dist="38100" dir="5400000" algn="t" rotWithShape="0">
              <a:prstClr val="black">
                <a:alpha val="40000"/>
              </a:prstClr>
            </a:outerShdw>
          </a:effectLst>
        </c:spPr>
      </c:pivotFmt>
      <c:pivotFmt>
        <c:idx val="8"/>
        <c:spPr>
          <a:solidFill>
            <a:schemeClr val="accent6">
              <a:lumMod val="75000"/>
            </a:schemeClr>
          </a:solidFill>
          <a:ln w="19050">
            <a:solidFill>
              <a:schemeClr val="lt1"/>
            </a:solidFill>
          </a:ln>
          <a:effectLst>
            <a:outerShdw blurRad="50800" dist="38100" dir="5400000" algn="t" rotWithShape="0">
              <a:prstClr val="black">
                <a:alpha val="40000"/>
              </a:prstClr>
            </a:outerShdw>
          </a:effectLst>
        </c:spPr>
      </c:pivotFmt>
      <c:pivotFmt>
        <c:idx val="9"/>
        <c:spPr>
          <a:solidFill>
            <a:schemeClr val="accent6">
              <a:lumMod val="60000"/>
              <a:lumOff val="40000"/>
            </a:schemeClr>
          </a:solidFill>
          <a:ln w="19050">
            <a:solidFill>
              <a:schemeClr val="lt1"/>
            </a:solidFill>
          </a:ln>
          <a:effectLst>
            <a:outerShdw blurRad="50800" dist="38100" dir="5400000" algn="t" rotWithShape="0">
              <a:prstClr val="black">
                <a:alpha val="40000"/>
              </a:prstClr>
            </a:outerShdw>
          </a:effectLst>
        </c:spPr>
      </c:pivotFmt>
      <c:pivotFmt>
        <c:idx val="10"/>
        <c:spPr>
          <a:solidFill>
            <a:schemeClr val="accent6">
              <a:lumMod val="40000"/>
              <a:lumOff val="60000"/>
            </a:schemeClr>
          </a:solidFill>
          <a:ln w="19050">
            <a:solidFill>
              <a:schemeClr val="lt1"/>
            </a:solidFill>
          </a:ln>
          <a:effectLst>
            <a:outerShdw blurRad="50800" dist="38100" dir="5400000" algn="t" rotWithShape="0">
              <a:prstClr val="black">
                <a:alpha val="40000"/>
              </a:prstClr>
            </a:outerShdw>
          </a:effectLst>
        </c:spPr>
      </c:pivotFmt>
    </c:pivotFmts>
    <c:plotArea>
      <c:layout>
        <c:manualLayout>
          <c:layoutTarget val="inner"/>
          <c:xMode val="edge"/>
          <c:yMode val="edge"/>
          <c:x val="3.5963233212052741E-2"/>
          <c:y val="0.15436934395957785"/>
          <c:w val="0.62784024232491309"/>
          <c:h val="0.8370395012800671"/>
        </c:manualLayout>
      </c:layout>
      <c:doughnutChart>
        <c:varyColors val="1"/>
        <c:ser>
          <c:idx val="0"/>
          <c:order val="0"/>
          <c:tx>
            <c:strRef>
              <c:f>'pivot table'!$D$31</c:f>
              <c:strCache>
                <c:ptCount val="1"/>
                <c:pt idx="0">
                  <c:v>Total</c:v>
                </c:pt>
              </c:strCache>
            </c:strRef>
          </c:tx>
          <c:spPr>
            <a:solidFill>
              <a:schemeClr val="accent6">
                <a:lumMod val="60000"/>
                <a:lumOff val="40000"/>
              </a:schemeClr>
            </a:solidFill>
            <a:effectLst>
              <a:outerShdw blurRad="50800" dist="38100" dir="5400000" algn="t" rotWithShape="0">
                <a:prstClr val="black">
                  <a:alpha val="40000"/>
                </a:prstClr>
              </a:outerShdw>
            </a:effectLst>
          </c:spPr>
          <c:dPt>
            <c:idx val="0"/>
            <c:bubble3D val="0"/>
            <c:spPr>
              <a:solidFill>
                <a:schemeClr val="accent6">
                  <a:lumMod val="50000"/>
                </a:schemeClr>
              </a:solidFill>
              <a:ln w="19050">
                <a:solidFill>
                  <a:schemeClr val="lt1"/>
                </a:solidFill>
              </a:ln>
              <a:effectLst>
                <a:outerShdw blurRad="50800" dist="38100" dir="5400000" algn="t" rotWithShape="0">
                  <a:prstClr val="black">
                    <a:alpha val="40000"/>
                  </a:prstClr>
                </a:outerShdw>
              </a:effectLst>
            </c:spPr>
            <c:extLst>
              <c:ext xmlns:c16="http://schemas.microsoft.com/office/drawing/2014/chart" uri="{C3380CC4-5D6E-409C-BE32-E72D297353CC}">
                <c16:uniqueId val="{00000001-72BC-4A6E-923F-AF12771C7454}"/>
              </c:ext>
            </c:extLst>
          </c:dPt>
          <c:dPt>
            <c:idx val="1"/>
            <c:bubble3D val="0"/>
            <c:spPr>
              <a:solidFill>
                <a:schemeClr val="accent6">
                  <a:lumMod val="75000"/>
                </a:schemeClr>
              </a:solidFill>
              <a:ln w="19050">
                <a:solidFill>
                  <a:schemeClr val="lt1"/>
                </a:solidFill>
              </a:ln>
              <a:effectLst>
                <a:outerShdw blurRad="50800" dist="38100" dir="5400000" algn="t" rotWithShape="0">
                  <a:prstClr val="black">
                    <a:alpha val="40000"/>
                  </a:prstClr>
                </a:outerShdw>
              </a:effectLst>
            </c:spPr>
            <c:extLst>
              <c:ext xmlns:c16="http://schemas.microsoft.com/office/drawing/2014/chart" uri="{C3380CC4-5D6E-409C-BE32-E72D297353CC}">
                <c16:uniqueId val="{00000003-72BC-4A6E-923F-AF12771C7454}"/>
              </c:ext>
            </c:extLst>
          </c:dPt>
          <c:dPt>
            <c:idx val="2"/>
            <c:bubble3D val="0"/>
            <c:spPr>
              <a:solidFill>
                <a:schemeClr val="accent6">
                  <a:lumMod val="60000"/>
                  <a:lumOff val="40000"/>
                </a:schemeClr>
              </a:solidFill>
              <a:ln w="19050">
                <a:solidFill>
                  <a:schemeClr val="lt1"/>
                </a:solidFill>
              </a:ln>
              <a:effectLst>
                <a:outerShdw blurRad="50800" dist="38100" dir="5400000" algn="t" rotWithShape="0">
                  <a:prstClr val="black">
                    <a:alpha val="40000"/>
                  </a:prstClr>
                </a:outerShdw>
              </a:effectLst>
            </c:spPr>
            <c:extLst>
              <c:ext xmlns:c16="http://schemas.microsoft.com/office/drawing/2014/chart" uri="{C3380CC4-5D6E-409C-BE32-E72D297353CC}">
                <c16:uniqueId val="{00000005-72BC-4A6E-923F-AF12771C7454}"/>
              </c:ext>
            </c:extLst>
          </c:dPt>
          <c:dPt>
            <c:idx val="3"/>
            <c:bubble3D val="0"/>
            <c:spPr>
              <a:solidFill>
                <a:schemeClr val="accent6">
                  <a:lumMod val="40000"/>
                  <a:lumOff val="60000"/>
                </a:schemeClr>
              </a:solidFill>
              <a:ln w="19050">
                <a:solidFill>
                  <a:schemeClr val="lt1"/>
                </a:solidFill>
              </a:ln>
              <a:effectLst>
                <a:outerShdw blurRad="50800" dist="38100" dir="5400000" algn="t" rotWithShape="0">
                  <a:prstClr val="black">
                    <a:alpha val="40000"/>
                  </a:prstClr>
                </a:outerShdw>
              </a:effectLst>
            </c:spPr>
            <c:extLst>
              <c:ext xmlns:c16="http://schemas.microsoft.com/office/drawing/2014/chart" uri="{C3380CC4-5D6E-409C-BE32-E72D297353CC}">
                <c16:uniqueId val="{00000007-72BC-4A6E-923F-AF12771C745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table'!$C$32:$C$36</c:f>
              <c:strCache>
                <c:ptCount val="4"/>
                <c:pt idx="0">
                  <c:v>Smart Phone</c:v>
                </c:pt>
                <c:pt idx="1">
                  <c:v>Accessory</c:v>
                </c:pt>
                <c:pt idx="2">
                  <c:v>Tablet</c:v>
                </c:pt>
                <c:pt idx="3">
                  <c:v>Laptop</c:v>
                </c:pt>
              </c:strCache>
            </c:strRef>
          </c:cat>
          <c:val>
            <c:numRef>
              <c:f>'pivot table'!$D$32:$D$36</c:f>
              <c:numCache>
                <c:formatCode>General</c:formatCode>
                <c:ptCount val="4"/>
                <c:pt idx="0">
                  <c:v>45228682</c:v>
                </c:pt>
                <c:pt idx="1">
                  <c:v>35850290</c:v>
                </c:pt>
                <c:pt idx="2">
                  <c:v>32552001</c:v>
                </c:pt>
                <c:pt idx="3">
                  <c:v>26645847</c:v>
                </c:pt>
              </c:numCache>
            </c:numRef>
          </c:val>
          <c:extLst>
            <c:ext xmlns:c16="http://schemas.microsoft.com/office/drawing/2014/chart" uri="{C3380CC4-5D6E-409C-BE32-E72D297353CC}">
              <c16:uniqueId val="{0000000A-5B06-4DC9-8D04-A25A60D10E70}"/>
            </c:ext>
          </c:extLst>
        </c:ser>
        <c:dLbls>
          <c:showLegendKey val="0"/>
          <c:showVal val="0"/>
          <c:showCatName val="0"/>
          <c:showSerName val="0"/>
          <c:showPercent val="0"/>
          <c:showBubbleSize val="0"/>
          <c:showLeaderLines val="1"/>
        </c:dLbls>
        <c:firstSliceAng val="0"/>
        <c:holeSize val="50"/>
      </c:doughnutChart>
      <c:spPr>
        <a:noFill/>
        <a:ln>
          <a:noFill/>
        </a:ln>
        <a:effectLst>
          <a:outerShdw blurRad="63500" sx="102000" sy="102000" algn="ctr" rotWithShape="0">
            <a:schemeClr val="accent6">
              <a:lumMod val="75000"/>
              <a:alpha val="40000"/>
            </a:schemeClr>
          </a:outerShdw>
        </a:effectLst>
      </c:spPr>
    </c:plotArea>
    <c:legend>
      <c:legendPos val="r"/>
      <c:layout>
        <c:manualLayout>
          <c:xMode val="edge"/>
          <c:yMode val="edge"/>
          <c:x val="0.76767065227957609"/>
          <c:y val="0.25210427605093266"/>
          <c:w val="0.23232929976822761"/>
          <c:h val="0.4133126979764815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[cleaning file.xlsx]pivot table!PivotTable12</c:name>
    <c:fmtId val="3"/>
  </c:pivotSource>
  <c:chart>
    <c:title>
      <c:tx>
        <c:rich>
          <a:bodyPr rot="0" spcFirstLastPara="1" vertOverflow="ellipsis" vert="horz" wrap="square" anchor="ctr" anchorCtr="1"/>
          <a:lstStyle/>
          <a:p>
            <a:pPr algn="ctr" rtl="0">
              <a:defRPr lang="en-US" sz="1600" b="1" i="0" u="none" strike="noStrike" kern="1200" spc="0" baseline="0">
                <a:solidFill>
                  <a:sysClr val="windowText" lastClr="000000">
                    <a:lumMod val="65000"/>
                    <a:lumOff val="35000"/>
                  </a:sysClr>
                </a:solidFill>
                <a:latin typeface="+mn-lt"/>
                <a:ea typeface="+mn-ea"/>
                <a:cs typeface="+mn-cs"/>
              </a:defRPr>
            </a:pPr>
            <a:r>
              <a:rPr lang="en-US" sz="1600" b="1" i="0" u="none" strike="noStrike" kern="1200" spc="0" baseline="0">
                <a:solidFill>
                  <a:sysClr val="windowText" lastClr="000000">
                    <a:lumMod val="65000"/>
                    <a:lumOff val="35000"/>
                  </a:sysClr>
                </a:solidFill>
                <a:latin typeface="+mn-lt"/>
                <a:ea typeface="+mn-ea"/>
                <a:cs typeface="+mn-cs"/>
              </a:rPr>
              <a:t>Top5 revenue generated product</a:t>
            </a:r>
          </a:p>
        </c:rich>
      </c:tx>
      <c:layout>
        <c:manualLayout>
          <c:xMode val="edge"/>
          <c:yMode val="edge"/>
          <c:x val="0.11421064484648299"/>
          <c:y val="5.3120198287290284E-3"/>
        </c:manualLayout>
      </c:layout>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6">
              <a:lumMod val="50000"/>
            </a:schemeClr>
          </a:solidFill>
          <a:ln>
            <a:noFill/>
          </a:ln>
          <a:effectLst>
            <a:outerShdw blurRad="50800" dist="88900" dir="2700000" algn="tl" rotWithShape="0">
              <a:schemeClr val="accent6">
                <a:lumMod val="75000"/>
                <a:alpha val="40000"/>
              </a:schemeClr>
            </a:outerShdw>
          </a:effectLst>
        </c:spPr>
        <c:marker>
          <c:symbol val="none"/>
        </c:marker>
        <c:dLbl>
          <c:idx val="0"/>
          <c:spPr>
            <a:noFill/>
            <a:ln>
              <a:noFill/>
            </a:ln>
            <a:effectLst/>
          </c:spPr>
          <c:txPr>
            <a:bodyPr rot="0" spcFirstLastPara="1" vertOverflow="ellipsis" wrap="square" lIns="38100" tIns="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manualLayout>
          <c:layoutTarget val="inner"/>
          <c:xMode val="edge"/>
          <c:yMode val="edge"/>
          <c:x val="0.30524436889738704"/>
          <c:y val="0.27687102324769725"/>
          <c:w val="0.57506607559561351"/>
          <c:h val="0.61864137820660625"/>
        </c:manualLayout>
      </c:layout>
      <c:barChart>
        <c:barDir val="bar"/>
        <c:grouping val="clustered"/>
        <c:varyColors val="0"/>
        <c:ser>
          <c:idx val="0"/>
          <c:order val="0"/>
          <c:tx>
            <c:strRef>
              <c:f>'pivot table'!$H$28</c:f>
              <c:strCache>
                <c:ptCount val="1"/>
                <c:pt idx="0">
                  <c:v>Total</c:v>
                </c:pt>
              </c:strCache>
            </c:strRef>
          </c:tx>
          <c:spPr>
            <a:solidFill>
              <a:schemeClr val="accent6">
                <a:lumMod val="50000"/>
              </a:schemeClr>
            </a:solidFill>
            <a:ln>
              <a:noFill/>
            </a:ln>
            <a:effectLst>
              <a:outerShdw blurRad="50800" dist="88900" dir="2700000" algn="tl" rotWithShape="0">
                <a:schemeClr val="accent6">
                  <a:lumMod val="75000"/>
                  <a:alpha val="40000"/>
                </a:schemeClr>
              </a:outerShdw>
            </a:effectLst>
          </c:spPr>
          <c:invertIfNegative val="0"/>
          <c:dLbls>
            <c:spPr>
              <a:noFill/>
              <a:ln>
                <a:noFill/>
              </a:ln>
              <a:effectLst/>
            </c:spPr>
            <c:txPr>
              <a:bodyPr rot="0" spcFirstLastPara="1" vertOverflow="ellipsis" wrap="square" lIns="38100" tIns="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'pivot table'!$G$29:$G$34</c:f>
              <c:strCache>
                <c:ptCount val="5"/>
                <c:pt idx="0">
                  <c:v>Samsung Tab</c:v>
                </c:pt>
                <c:pt idx="1">
                  <c:v>Xiaomi Redmi</c:v>
                </c:pt>
                <c:pt idx="2">
                  <c:v>Dell Inspiron</c:v>
                </c:pt>
                <c:pt idx="3">
                  <c:v>Wireless Mouse</c:v>
                </c:pt>
                <c:pt idx="4">
                  <c:v>Laptop Bag</c:v>
                </c:pt>
              </c:strCache>
            </c:strRef>
          </c:cat>
          <c:val>
            <c:numRef>
              <c:f>'pivot table'!$H$29:$H$34</c:f>
              <c:numCache>
                <c:formatCode>General</c:formatCode>
                <c:ptCount val="5"/>
                <c:pt idx="0">
                  <c:v>11505231</c:v>
                </c:pt>
                <c:pt idx="1">
                  <c:v>13447714</c:v>
                </c:pt>
                <c:pt idx="2">
                  <c:v>14232662</c:v>
                </c:pt>
                <c:pt idx="3">
                  <c:v>15200728</c:v>
                </c:pt>
                <c:pt idx="4">
                  <c:v>15812051</c:v>
                </c:pt>
              </c:numCache>
            </c:numRef>
          </c:val>
          <c:extLst>
            <c:ext xmlns:c16="http://schemas.microsoft.com/office/drawing/2014/chart" uri="{C3380CC4-5D6E-409C-BE32-E72D297353CC}">
              <c16:uniqueId val="{00000000-4FFF-4B29-A90D-57B16A9B2C75}"/>
            </c:ext>
          </c:extLst>
        </c:ser>
        <c:dLbls>
          <c:dLblPos val="outEnd"/>
          <c:showLegendKey val="0"/>
          <c:showVal val="1"/>
          <c:showCatName val="0"/>
          <c:showSerName val="0"/>
          <c:showPercent val="0"/>
          <c:showBubbleSize val="0"/>
        </c:dLbls>
        <c:gapWidth val="32"/>
        <c:overlap val="-18"/>
        <c:axId val="393150160"/>
        <c:axId val="393164080"/>
      </c:barChart>
      <c:catAx>
        <c:axId val="3931501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6">
                    <a:lumMod val="50000"/>
                  </a:schemeClr>
                </a:solidFill>
                <a:latin typeface="+mn-lt"/>
                <a:ea typeface="+mn-ea"/>
                <a:cs typeface="+mn-cs"/>
              </a:defRPr>
            </a:pPr>
            <a:endParaRPr lang="en-US"/>
          </a:p>
        </c:txPr>
        <c:crossAx val="393164080"/>
        <c:crosses val="autoZero"/>
        <c:auto val="1"/>
        <c:lblAlgn val="ctr"/>
        <c:lblOffset val="100"/>
        <c:noMultiLvlLbl val="0"/>
      </c:catAx>
      <c:valAx>
        <c:axId val="393164080"/>
        <c:scaling>
          <c:orientation val="minMax"/>
        </c:scaling>
        <c:delete val="0"/>
        <c:axPos val="b"/>
        <c:numFmt formatCode="General" sourceLinked="0"/>
        <c:majorTickMark val="in"/>
        <c:minorTickMark val="none"/>
        <c:tickLblPos val="low"/>
        <c:spPr>
          <a:noFill/>
          <a:ln>
            <a:solidFill>
              <a:schemeClr val="accent6"/>
            </a:solidFill>
          </a:ln>
          <a:effectLst/>
        </c:spPr>
        <c:txPr>
          <a:bodyPr rot="-6000000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crossAx val="393150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accent6">
              <a:lumMod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t>revenue by payment_metode</a:t>
            </a:r>
          </a:p>
        </c:rich>
      </c:tx>
      <c:layout>
        <c:manualLayout>
          <c:xMode val="edge"/>
          <c:yMode val="edge"/>
          <c:x val="6.6524810329418635E-2"/>
          <c:y val="3.900266040342413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30"/>
      <c:hPercent val="100"/>
      <c:rotY val="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1222443363694612E-2"/>
          <c:y val="0.22181161462202528"/>
          <c:w val="0.68087976984495469"/>
          <c:h val="0.68709531982478167"/>
        </c:manualLayout>
      </c:layout>
      <c:pie3DChart>
        <c:varyColors val="1"/>
        <c:ser>
          <c:idx val="0"/>
          <c:order val="0"/>
          <c:spPr>
            <a:solidFill>
              <a:schemeClr val="accent6">
                <a:lumMod val="50000"/>
              </a:schemeClr>
            </a:solidFill>
            <a:effectLst>
              <a:outerShdw blurRad="63500" dist="203200" sx="102000" sy="102000" algn="ctr" rotWithShape="0">
                <a:schemeClr val="accent6">
                  <a:lumMod val="75000"/>
                  <a:alpha val="40000"/>
                </a:schemeClr>
              </a:outerShdw>
            </a:effectLst>
          </c:spPr>
          <c:dPt>
            <c:idx val="0"/>
            <c:bubble3D val="0"/>
            <c:spPr>
              <a:solidFill>
                <a:schemeClr val="accent6">
                  <a:lumMod val="50000"/>
                </a:schemeClr>
              </a:solidFill>
              <a:ln w="25400">
                <a:solidFill>
                  <a:schemeClr val="lt1"/>
                </a:solidFill>
              </a:ln>
              <a:effectLst>
                <a:outerShdw blurRad="63500" dist="203200" sx="102000" sy="102000" algn="ctr" rotWithShape="0">
                  <a:schemeClr val="accent6">
                    <a:lumMod val="75000"/>
                    <a:alpha val="40000"/>
                  </a:schemeClr>
                </a:outerShdw>
              </a:effectLst>
              <a:sp3d contourW="25400">
                <a:contourClr>
                  <a:schemeClr val="lt1"/>
                </a:contourClr>
              </a:sp3d>
            </c:spPr>
            <c:extLst>
              <c:ext xmlns:c16="http://schemas.microsoft.com/office/drawing/2014/chart" uri="{C3380CC4-5D6E-409C-BE32-E72D297353CC}">
                <c16:uniqueId val="{00000001-E2CB-46DD-BA13-348BB3E806E1}"/>
              </c:ext>
            </c:extLst>
          </c:dPt>
          <c:dPt>
            <c:idx val="1"/>
            <c:bubble3D val="0"/>
            <c:spPr>
              <a:solidFill>
                <a:schemeClr val="accent6"/>
              </a:solidFill>
              <a:ln w="25400">
                <a:solidFill>
                  <a:schemeClr val="lt1"/>
                </a:solidFill>
              </a:ln>
              <a:effectLst>
                <a:outerShdw blurRad="63500" dist="203200" sx="102000" sy="102000" algn="ctr" rotWithShape="0">
                  <a:schemeClr val="accent6">
                    <a:lumMod val="75000"/>
                    <a:alpha val="40000"/>
                  </a:schemeClr>
                </a:outerShdw>
              </a:effectLst>
              <a:sp3d contourW="25400">
                <a:contourClr>
                  <a:schemeClr val="lt1"/>
                </a:contourClr>
              </a:sp3d>
            </c:spPr>
            <c:extLst>
              <c:ext xmlns:c16="http://schemas.microsoft.com/office/drawing/2014/chart" uri="{C3380CC4-5D6E-409C-BE32-E72D297353CC}">
                <c16:uniqueId val="{00000001-D90A-4E9B-A7D0-FEC4EBA9420C}"/>
              </c:ext>
            </c:extLst>
          </c:dPt>
          <c:dPt>
            <c:idx val="2"/>
            <c:bubble3D val="0"/>
            <c:spPr>
              <a:solidFill>
                <a:srgbClr val="92D050"/>
              </a:solidFill>
              <a:ln w="25400">
                <a:solidFill>
                  <a:schemeClr val="lt1"/>
                </a:solidFill>
              </a:ln>
              <a:effectLst>
                <a:outerShdw blurRad="63500" dist="203200" sx="102000" sy="102000" algn="ctr" rotWithShape="0">
                  <a:schemeClr val="accent6">
                    <a:lumMod val="75000"/>
                    <a:alpha val="40000"/>
                  </a:schemeClr>
                </a:outerShdw>
              </a:effectLst>
              <a:sp3d contourW="25400">
                <a:contourClr>
                  <a:schemeClr val="lt1"/>
                </a:contourClr>
              </a:sp3d>
            </c:spPr>
            <c:extLst>
              <c:ext xmlns:c16="http://schemas.microsoft.com/office/drawing/2014/chart" uri="{C3380CC4-5D6E-409C-BE32-E72D297353CC}">
                <c16:uniqueId val="{00000002-D90A-4E9B-A7D0-FEC4EBA9420C}"/>
              </c:ext>
            </c:extLst>
          </c:dPt>
          <c:dPt>
            <c:idx val="3"/>
            <c:bubble3D val="0"/>
            <c:spPr>
              <a:solidFill>
                <a:schemeClr val="accent6">
                  <a:lumMod val="60000"/>
                  <a:lumOff val="40000"/>
                </a:schemeClr>
              </a:solidFill>
              <a:ln w="25400">
                <a:solidFill>
                  <a:schemeClr val="lt1"/>
                </a:solidFill>
              </a:ln>
              <a:effectLst>
                <a:outerShdw blurRad="63500" dist="203200" sx="102000" sy="102000" algn="ctr" rotWithShape="0">
                  <a:schemeClr val="accent6">
                    <a:lumMod val="75000"/>
                    <a:alpha val="40000"/>
                  </a:schemeClr>
                </a:outerShdw>
              </a:effectLst>
              <a:sp3d contourW="25400">
                <a:contourClr>
                  <a:schemeClr val="lt1"/>
                </a:contourClr>
              </a:sp3d>
            </c:spPr>
            <c:extLst>
              <c:ext xmlns:c16="http://schemas.microsoft.com/office/drawing/2014/chart" uri="{C3380CC4-5D6E-409C-BE32-E72D297353CC}">
                <c16:uniqueId val="{00000003-D90A-4E9B-A7D0-FEC4EBA9420C}"/>
              </c:ext>
            </c:extLst>
          </c:dPt>
          <c:dPt>
            <c:idx val="4"/>
            <c:bubble3D val="0"/>
            <c:spPr>
              <a:solidFill>
                <a:schemeClr val="accent6">
                  <a:lumMod val="75000"/>
                </a:schemeClr>
              </a:solidFill>
              <a:ln w="25400">
                <a:solidFill>
                  <a:schemeClr val="lt1"/>
                </a:solidFill>
              </a:ln>
              <a:effectLst>
                <a:outerShdw blurRad="63500" dist="203200" sx="102000" sy="102000" algn="ctr" rotWithShape="0">
                  <a:schemeClr val="accent6">
                    <a:lumMod val="75000"/>
                    <a:alpha val="40000"/>
                  </a:schemeClr>
                </a:outerShdw>
              </a:effectLst>
              <a:sp3d contourW="25400">
                <a:contourClr>
                  <a:schemeClr val="lt1"/>
                </a:contourClr>
              </a:sp3d>
            </c:spPr>
            <c:extLst>
              <c:ext xmlns:c16="http://schemas.microsoft.com/office/drawing/2014/chart" uri="{C3380CC4-5D6E-409C-BE32-E72D297353CC}">
                <c16:uniqueId val="{00000000-D90A-4E9B-A7D0-FEC4EBA9420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table'!$I$2:$I$6</c:f>
              <c:strCache>
                <c:ptCount val="5"/>
                <c:pt idx="0">
                  <c:v>Cash</c:v>
                </c:pt>
                <c:pt idx="1">
                  <c:v>Credit Card</c:v>
                </c:pt>
                <c:pt idx="2">
                  <c:v>Debit Card</c:v>
                </c:pt>
                <c:pt idx="3">
                  <c:v>NA</c:v>
                </c:pt>
                <c:pt idx="4">
                  <c:v>UPI</c:v>
                </c:pt>
              </c:strCache>
            </c:strRef>
          </c:cat>
          <c:val>
            <c:numRef>
              <c:f>'pivot table'!$J$2:$J$6</c:f>
              <c:numCache>
                <c:formatCode>General</c:formatCode>
                <c:ptCount val="5"/>
                <c:pt idx="0">
                  <c:v>37007906</c:v>
                </c:pt>
                <c:pt idx="1">
                  <c:v>34231633</c:v>
                </c:pt>
                <c:pt idx="2">
                  <c:v>18183556</c:v>
                </c:pt>
                <c:pt idx="3">
                  <c:v>15814203</c:v>
                </c:pt>
                <c:pt idx="4">
                  <c:v>35039522</c:v>
                </c:pt>
              </c:numCache>
            </c:numRef>
          </c:val>
          <c:extLst>
            <c:ext xmlns:c16="http://schemas.microsoft.com/office/drawing/2014/chart" uri="{C3380CC4-5D6E-409C-BE32-E72D297353CC}">
              <c16:uniqueId val="{00000000-0CE6-4738-842A-9177D0F5401D}"/>
            </c:ext>
          </c:extLst>
        </c:ser>
        <c:dLbls>
          <c:showLegendKey val="0"/>
          <c:showVal val="0"/>
          <c:showCatName val="0"/>
          <c:showSerName val="0"/>
          <c:showPercent val="0"/>
          <c:showBubbleSize val="0"/>
          <c:showLeaderLines val="1"/>
        </c:dLbls>
      </c:pie3DChart>
      <c:spPr>
        <a:noFill/>
        <a:ln>
          <a:noFill/>
        </a:ln>
        <a:effectLst>
          <a:softEdge rad="12700"/>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[cleaning file.xlsx]pivot table!PivotTable10</c:name>
    <c:fmtId val="17"/>
  </c:pivotSource>
  <c:chart>
    <c:title>
      <c:tx>
        <c:rich>
          <a:bodyPr rot="0" spcFirstLastPara="1" vertOverflow="ellipsis" vert="horz" wrap="square" anchor="ctr" anchorCtr="1"/>
          <a:lstStyle/>
          <a:p>
            <a:pPr algn="ctr" rtl="0">
              <a:defRPr lang="en-US" sz="1600" b="1" i="0" u="none" strike="noStrike" kern="1200" spc="0" baseline="0">
                <a:solidFill>
                  <a:sysClr val="windowText" lastClr="000000">
                    <a:lumMod val="65000"/>
                    <a:lumOff val="35000"/>
                  </a:sysClr>
                </a:solidFill>
                <a:latin typeface="+mn-lt"/>
                <a:ea typeface="+mn-ea"/>
                <a:cs typeface="+mn-cs"/>
              </a:defRPr>
            </a:pPr>
            <a:r>
              <a:rPr lang="en-US" sz="1600" b="1" i="0" u="none" strike="noStrike" kern="1200" spc="0" baseline="0">
                <a:solidFill>
                  <a:sysClr val="windowText" lastClr="000000">
                    <a:lumMod val="65000"/>
                    <a:lumOff val="35000"/>
                  </a:sysClr>
                </a:solidFill>
                <a:latin typeface="+mn-lt"/>
                <a:ea typeface="+mn-ea"/>
                <a:cs typeface="+mn-cs"/>
              </a:rPr>
              <a:t>Top5 most popular product</a:t>
            </a:r>
          </a:p>
        </c:rich>
      </c:tx>
      <c:layout>
        <c:manualLayout>
          <c:xMode val="edge"/>
          <c:yMode val="edge"/>
          <c:x val="0.16097817328241601"/>
          <c:y val="0"/>
        </c:manualLayout>
      </c:layout>
      <c:overlay val="0"/>
      <c:spPr>
        <a:noFill/>
        <a:ln>
          <a:noFill/>
        </a:ln>
        <a:effectLst/>
      </c:spPr>
      <c:txPr>
        <a:bodyPr rot="0" spcFirstLastPara="1" vertOverflow="ellipsis" vert="horz" wrap="square" anchor="ctr" anchorCtr="1"/>
        <a:lstStyle/>
        <a:p>
          <a:pPr algn="ctr" rtl="0">
            <a:defRPr lang="en-US" sz="16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noFill/>
          </a:ln>
          <a:effectLst>
            <a:outerShdw dist="88900" dir="2700000" algn="tl" rotWithShape="0">
              <a:schemeClr val="accent6">
                <a:lumMod val="75000"/>
                <a:alpha val="40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pivotFmt>
      <c:pivotFmt>
        <c:idx val="5"/>
        <c:spPr>
          <a:solidFill>
            <a:schemeClr val="accent6">
              <a:lumMod val="50000"/>
            </a:schemeClr>
          </a:solidFill>
          <a:ln>
            <a:solidFill>
              <a:schemeClr val="bg1"/>
            </a:solidFill>
          </a:ln>
          <a:effectLst/>
        </c:spPr>
        <c:dLbl>
          <c:idx val="0"/>
          <c:layout>
            <c:manualLayout>
              <c:x val="-5.9391364328491791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1552726129953373"/>
          <c:y val="0.22688785765595582"/>
          <c:w val="0.56923058419444383"/>
          <c:h val="0.68540961404406187"/>
        </c:manualLayout>
      </c:layout>
      <c:barChart>
        <c:barDir val="bar"/>
        <c:grouping val="clustered"/>
        <c:varyColors val="0"/>
        <c:ser>
          <c:idx val="0"/>
          <c:order val="0"/>
          <c:tx>
            <c:strRef>
              <c:f>'pivot table'!$J$14</c:f>
              <c:strCache>
                <c:ptCount val="1"/>
                <c:pt idx="0">
                  <c:v>Total</c:v>
                </c:pt>
              </c:strCache>
            </c:strRef>
          </c:tx>
          <c:spPr>
            <a:solidFill>
              <a:schemeClr val="accent6">
                <a:lumMod val="50000"/>
              </a:schemeClr>
            </a:solidFill>
            <a:ln>
              <a:noFill/>
            </a:ln>
            <a:effectLst>
              <a:outerShdw dist="88900" dir="2700000" algn="tl" rotWithShape="0">
                <a:schemeClr val="accent6">
                  <a:lumMod val="75000"/>
                  <a:alpha val="40000"/>
                </a:scheme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table'!$I$15:$I$20</c:f>
              <c:strCache>
                <c:ptCount val="5"/>
                <c:pt idx="0">
                  <c:v>Samsung Tab</c:v>
                </c:pt>
                <c:pt idx="1">
                  <c:v>Xiaomi Redmi</c:v>
                </c:pt>
                <c:pt idx="2">
                  <c:v>Dell Inspiron</c:v>
                </c:pt>
                <c:pt idx="3">
                  <c:v>Laptop Bag</c:v>
                </c:pt>
                <c:pt idx="4">
                  <c:v>Wireless Mouse</c:v>
                </c:pt>
              </c:strCache>
            </c:strRef>
          </c:cat>
          <c:val>
            <c:numRef>
              <c:f>'pivot table'!$J$15:$J$20</c:f>
              <c:numCache>
                <c:formatCode>General</c:formatCode>
                <c:ptCount val="5"/>
                <c:pt idx="0">
                  <c:v>280</c:v>
                </c:pt>
                <c:pt idx="1">
                  <c:v>320</c:v>
                </c:pt>
                <c:pt idx="2">
                  <c:v>339</c:v>
                </c:pt>
                <c:pt idx="3">
                  <c:v>343</c:v>
                </c:pt>
                <c:pt idx="4">
                  <c:v>354</c:v>
                </c:pt>
              </c:numCache>
            </c:numRef>
          </c:val>
          <c:extLst>
            <c:ext xmlns:c16="http://schemas.microsoft.com/office/drawing/2014/chart" uri="{C3380CC4-5D6E-409C-BE32-E72D297353CC}">
              <c16:uniqueId val="{00000000-94C0-42EF-AC6B-717D2FA74304}"/>
            </c:ext>
          </c:extLst>
        </c:ser>
        <c:dLbls>
          <c:dLblPos val="outEnd"/>
          <c:showLegendKey val="0"/>
          <c:showVal val="1"/>
          <c:showCatName val="0"/>
          <c:showSerName val="0"/>
          <c:showPercent val="0"/>
          <c:showBubbleSize val="0"/>
        </c:dLbls>
        <c:gapWidth val="48"/>
        <c:axId val="239044607"/>
        <c:axId val="239043167"/>
      </c:barChart>
      <c:catAx>
        <c:axId val="239044607"/>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accent6">
                    <a:lumMod val="50000"/>
                  </a:schemeClr>
                </a:solidFill>
                <a:latin typeface="+mn-lt"/>
                <a:ea typeface="+mn-ea"/>
                <a:cs typeface="+mn-cs"/>
              </a:defRPr>
            </a:pPr>
            <a:endParaRPr lang="en-US"/>
          </a:p>
        </c:txPr>
        <c:crossAx val="239043167"/>
        <c:crosses val="autoZero"/>
        <c:auto val="1"/>
        <c:lblAlgn val="ctr"/>
        <c:lblOffset val="100"/>
        <c:noMultiLvlLbl val="0"/>
      </c:catAx>
      <c:valAx>
        <c:axId val="2390431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6">
                    <a:lumMod val="50000"/>
                  </a:schemeClr>
                </a:solidFill>
                <a:latin typeface="+mn-lt"/>
                <a:ea typeface="+mn-ea"/>
                <a:cs typeface="+mn-cs"/>
              </a:defRPr>
            </a:pPr>
            <a:endParaRPr lang="en-US"/>
          </a:p>
        </c:txPr>
        <c:crossAx val="2390446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IN" sz="1600" b="1" i="0" u="none" strike="noStrike" kern="1200" spc="0" baseline="0">
                <a:solidFill>
                  <a:sysClr val="windowText" lastClr="000000">
                    <a:lumMod val="65000"/>
                    <a:lumOff val="35000"/>
                  </a:sysClr>
                </a:solidFill>
                <a:latin typeface="+mn-lt"/>
                <a:ea typeface="+mn-ea"/>
                <a:cs typeface="+mn-cs"/>
              </a:defRPr>
            </a:pPr>
            <a:r>
              <a:rPr lang="en-IN" sz="1600" b="1" i="0" u="none" strike="noStrike" kern="1200" spc="0" baseline="0">
                <a:solidFill>
                  <a:sysClr val="windowText" lastClr="000000">
                    <a:lumMod val="65000"/>
                    <a:lumOff val="35000"/>
                  </a:sysClr>
                </a:solidFill>
                <a:latin typeface="+mn-lt"/>
                <a:ea typeface="+mn-ea"/>
                <a:cs typeface="+mn-cs"/>
              </a:rPr>
              <a:t>City by revenue</a:t>
            </a:r>
          </a:p>
        </c:rich>
      </c:tx>
      <c:layout>
        <c:manualLayout>
          <c:xMode val="edge"/>
          <c:yMode val="edge"/>
          <c:x val="0.34154212847991716"/>
          <c:y val="6.7238990959463387E-3"/>
        </c:manualLayout>
      </c:layout>
      <c:overlay val="0"/>
      <c:spPr>
        <a:noFill/>
        <a:ln>
          <a:noFill/>
        </a:ln>
        <a:effectLst/>
      </c:spPr>
      <c:txPr>
        <a:bodyPr rot="0" spcFirstLastPara="1" vertOverflow="ellipsis" vert="horz" wrap="square" anchor="ctr" anchorCtr="1"/>
        <a:lstStyle/>
        <a:p>
          <a:pPr algn="ctr" rtl="0">
            <a:defRPr lang="en-IN" sz="1600" b="1" i="0" u="none" strike="noStrike" kern="1200" spc="0" baseline="0">
              <a:solidFill>
                <a:sysClr val="windowText" lastClr="000000">
                  <a:lumMod val="65000"/>
                  <a:lumOff val="35000"/>
                </a:sysClr>
              </a:solidFill>
              <a:latin typeface="+mn-lt"/>
              <a:ea typeface="+mn-ea"/>
              <a:cs typeface="+mn-cs"/>
            </a:defRPr>
          </a:pPr>
          <a:endParaRPr lang="en-IN"/>
        </a:p>
      </c:txPr>
    </c:title>
    <c:autoTitleDeleted val="0"/>
    <c:plotArea>
      <c:layout>
        <c:manualLayout>
          <c:layoutTarget val="inner"/>
          <c:xMode val="edge"/>
          <c:yMode val="edge"/>
          <c:x val="0.12909051041248043"/>
          <c:y val="0.11120984008943327"/>
          <c:w val="0.73288490854514143"/>
          <c:h val="0.77904636920384951"/>
        </c:manualLayout>
      </c:layout>
      <c:barChart>
        <c:barDir val="col"/>
        <c:grouping val="clustered"/>
        <c:varyColors val="0"/>
        <c:ser>
          <c:idx val="0"/>
          <c:order val="0"/>
          <c:tx>
            <c:strRef>
              <c:f>'pivot table'!$P$2</c:f>
              <c:strCache>
                <c:ptCount val="1"/>
                <c:pt idx="0">
                  <c:v>Delhi</c:v>
                </c:pt>
              </c:strCache>
            </c:strRef>
          </c:tx>
          <c:spPr>
            <a:solidFill>
              <a:srgbClr val="92D050"/>
            </a:solidFill>
            <a:ln>
              <a:solidFill>
                <a:schemeClr val="bg1"/>
              </a:solidFill>
            </a:ln>
            <a:effectLst/>
          </c:spPr>
          <c:invertIfNegative val="0"/>
          <c:dPt>
            <c:idx val="0"/>
            <c:invertIfNegative val="0"/>
            <c:bubble3D val="0"/>
            <c:spPr>
              <a:solidFill>
                <a:schemeClr val="accent6">
                  <a:lumMod val="50000"/>
                </a:schemeClr>
              </a:solidFill>
              <a:ln>
                <a:solidFill>
                  <a:schemeClr val="bg1"/>
                </a:solidFill>
              </a:ln>
              <a:effectLst/>
            </c:spPr>
            <c:extLst>
              <c:ext xmlns:c16="http://schemas.microsoft.com/office/drawing/2014/chart" uri="{C3380CC4-5D6E-409C-BE32-E72D297353CC}">
                <c16:uniqueId val="{00000001-1C86-48F1-AE53-6C12BA448E1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table'!$Q$1</c:f>
              <c:strCache>
                <c:ptCount val="1"/>
                <c:pt idx="0">
                  <c:v>sales</c:v>
                </c:pt>
              </c:strCache>
            </c:strRef>
          </c:cat>
          <c:val>
            <c:numRef>
              <c:f>'pivot table'!$Q$2</c:f>
              <c:numCache>
                <c:formatCode>General</c:formatCode>
                <c:ptCount val="1"/>
                <c:pt idx="0">
                  <c:v>42036589</c:v>
                </c:pt>
              </c:numCache>
            </c:numRef>
          </c:val>
          <c:extLst>
            <c:ext xmlns:c16="http://schemas.microsoft.com/office/drawing/2014/chart" uri="{C3380CC4-5D6E-409C-BE32-E72D297353CC}">
              <c16:uniqueId val="{00000000-E426-463A-86E2-E83682B8546D}"/>
            </c:ext>
          </c:extLst>
        </c:ser>
        <c:ser>
          <c:idx val="1"/>
          <c:order val="1"/>
          <c:tx>
            <c:strRef>
              <c:f>'pivot table'!$P$3</c:f>
              <c:strCache>
                <c:ptCount val="1"/>
                <c:pt idx="0">
                  <c:v>Mumbai</c:v>
                </c:pt>
              </c:strCache>
            </c:strRef>
          </c:tx>
          <c:spPr>
            <a:solidFill>
              <a:schemeClr val="accent6">
                <a:lumMod val="75000"/>
              </a:schemeClr>
            </a:solidFill>
            <a:ln>
              <a:solidFill>
                <a:schemeClr val="bg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table'!$Q$1</c:f>
              <c:strCache>
                <c:ptCount val="1"/>
                <c:pt idx="0">
                  <c:v>sales</c:v>
                </c:pt>
              </c:strCache>
            </c:strRef>
          </c:cat>
          <c:val>
            <c:numRef>
              <c:f>'pivot table'!$Q$3</c:f>
              <c:numCache>
                <c:formatCode>General</c:formatCode>
                <c:ptCount val="1"/>
                <c:pt idx="0">
                  <c:v>26327044</c:v>
                </c:pt>
              </c:numCache>
            </c:numRef>
          </c:val>
          <c:extLst>
            <c:ext xmlns:c16="http://schemas.microsoft.com/office/drawing/2014/chart" uri="{C3380CC4-5D6E-409C-BE32-E72D297353CC}">
              <c16:uniqueId val="{00000001-E426-463A-86E2-E83682B8546D}"/>
            </c:ext>
          </c:extLst>
        </c:ser>
        <c:ser>
          <c:idx val="2"/>
          <c:order val="2"/>
          <c:tx>
            <c:strRef>
              <c:f>'pivot table'!$P$4</c:f>
              <c:strCache>
                <c:ptCount val="1"/>
                <c:pt idx="0">
                  <c:v>Hyderabad</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table'!$Q$1</c:f>
              <c:strCache>
                <c:ptCount val="1"/>
                <c:pt idx="0">
                  <c:v>sales</c:v>
                </c:pt>
              </c:strCache>
            </c:strRef>
          </c:cat>
          <c:val>
            <c:numRef>
              <c:f>'pivot table'!$Q$4</c:f>
              <c:numCache>
                <c:formatCode>General</c:formatCode>
                <c:ptCount val="1"/>
                <c:pt idx="0">
                  <c:v>19327623</c:v>
                </c:pt>
              </c:numCache>
            </c:numRef>
          </c:val>
          <c:extLst>
            <c:ext xmlns:c16="http://schemas.microsoft.com/office/drawing/2014/chart" uri="{C3380CC4-5D6E-409C-BE32-E72D297353CC}">
              <c16:uniqueId val="{00000002-E426-463A-86E2-E83682B8546D}"/>
            </c:ext>
          </c:extLst>
        </c:ser>
        <c:ser>
          <c:idx val="3"/>
          <c:order val="3"/>
          <c:tx>
            <c:strRef>
              <c:f>'pivot table'!$P$5</c:f>
              <c:strCache>
                <c:ptCount val="1"/>
                <c:pt idx="0">
                  <c:v>Bangalore</c:v>
                </c:pt>
              </c:strCache>
            </c:strRef>
          </c:tx>
          <c:spPr>
            <a:solidFill>
              <a:srgbClr val="92D050"/>
            </a:solidFill>
            <a:ln>
              <a:solidFill>
                <a:schemeClr val="bg1"/>
              </a:solidFill>
            </a:ln>
            <a:effectLst/>
          </c:spPr>
          <c:invertIfNegative val="0"/>
          <c:dLbls>
            <c:dLbl>
              <c:idx val="0"/>
              <c:layout>
                <c:manualLayout>
                  <c:x val="1.5631657429560613E-2"/>
                  <c:y val="-9.2592592592593437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E426-463A-86E2-E83682B8546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table'!$Q$1</c:f>
              <c:strCache>
                <c:ptCount val="1"/>
                <c:pt idx="0">
                  <c:v>sales</c:v>
                </c:pt>
              </c:strCache>
            </c:strRef>
          </c:cat>
          <c:val>
            <c:numRef>
              <c:f>'pivot table'!$Q$5</c:f>
              <c:numCache>
                <c:formatCode>General</c:formatCode>
                <c:ptCount val="1"/>
                <c:pt idx="0">
                  <c:v>17782046</c:v>
                </c:pt>
              </c:numCache>
            </c:numRef>
          </c:val>
          <c:extLst>
            <c:ext xmlns:c16="http://schemas.microsoft.com/office/drawing/2014/chart" uri="{C3380CC4-5D6E-409C-BE32-E72D297353CC}">
              <c16:uniqueId val="{00000003-E426-463A-86E2-E83682B8546D}"/>
            </c:ext>
          </c:extLst>
        </c:ser>
        <c:ser>
          <c:idx val="4"/>
          <c:order val="4"/>
          <c:tx>
            <c:strRef>
              <c:f>'pivot table'!$P$6</c:f>
              <c:strCache>
                <c:ptCount val="1"/>
                <c:pt idx="0">
                  <c:v>Pune</c:v>
                </c:pt>
              </c:strCache>
            </c:strRef>
          </c:tx>
          <c:spPr>
            <a:solidFill>
              <a:schemeClr val="accent6">
                <a:lumMod val="60000"/>
                <a:lumOff val="40000"/>
              </a:schemeClr>
            </a:solidFill>
            <a:ln>
              <a:solidFill>
                <a:schemeClr val="bg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table'!$Q$1</c:f>
              <c:strCache>
                <c:ptCount val="1"/>
                <c:pt idx="0">
                  <c:v>sales</c:v>
                </c:pt>
              </c:strCache>
            </c:strRef>
          </c:cat>
          <c:val>
            <c:numRef>
              <c:f>'pivot table'!$Q$6</c:f>
              <c:numCache>
                <c:formatCode>General</c:formatCode>
                <c:ptCount val="1"/>
                <c:pt idx="0">
                  <c:v>12909115</c:v>
                </c:pt>
              </c:numCache>
            </c:numRef>
          </c:val>
          <c:extLst>
            <c:ext xmlns:c16="http://schemas.microsoft.com/office/drawing/2014/chart" uri="{C3380CC4-5D6E-409C-BE32-E72D297353CC}">
              <c16:uniqueId val="{00000004-E426-463A-86E2-E83682B8546D}"/>
            </c:ext>
          </c:extLst>
        </c:ser>
        <c:ser>
          <c:idx val="5"/>
          <c:order val="5"/>
          <c:tx>
            <c:strRef>
              <c:f>'pivot table'!$P$7</c:f>
              <c:strCache>
                <c:ptCount val="1"/>
                <c:pt idx="0">
                  <c:v>Kolkata</c:v>
                </c:pt>
              </c:strCache>
            </c:strRef>
          </c:tx>
          <c:spPr>
            <a:solidFill>
              <a:schemeClr val="accent6">
                <a:lumMod val="40000"/>
                <a:lumOff val="60000"/>
              </a:schemeClr>
            </a:solidFill>
            <a:ln>
              <a:solidFill>
                <a:schemeClr val="bg1"/>
              </a:solidFill>
            </a:ln>
            <a:effectLst/>
          </c:spPr>
          <c:invertIfNegative val="0"/>
          <c:dLbls>
            <c:dLbl>
              <c:idx val="0"/>
              <c:layout>
                <c:manualLayout>
                  <c:x val="1.1111111111111009E-2"/>
                  <c:y val="9.2592592592592587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E426-463A-86E2-E83682B8546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table'!$Q$1</c:f>
              <c:strCache>
                <c:ptCount val="1"/>
                <c:pt idx="0">
                  <c:v>sales</c:v>
                </c:pt>
              </c:strCache>
            </c:strRef>
          </c:cat>
          <c:val>
            <c:numRef>
              <c:f>'pivot table'!$Q$7</c:f>
              <c:numCache>
                <c:formatCode>General</c:formatCode>
                <c:ptCount val="1"/>
                <c:pt idx="0">
                  <c:v>11002421</c:v>
                </c:pt>
              </c:numCache>
            </c:numRef>
          </c:val>
          <c:extLst>
            <c:ext xmlns:c16="http://schemas.microsoft.com/office/drawing/2014/chart" uri="{C3380CC4-5D6E-409C-BE32-E72D297353CC}">
              <c16:uniqueId val="{00000005-E426-463A-86E2-E83682B8546D}"/>
            </c:ext>
          </c:extLst>
        </c:ser>
        <c:ser>
          <c:idx val="6"/>
          <c:order val="6"/>
          <c:tx>
            <c:strRef>
              <c:f>'pivot table'!$P$8</c:f>
              <c:strCache>
                <c:ptCount val="1"/>
                <c:pt idx="0">
                  <c:v>Chennai</c:v>
                </c:pt>
              </c:strCache>
            </c:strRef>
          </c:tx>
          <c:spPr>
            <a:solidFill>
              <a:schemeClr val="accent6">
                <a:lumMod val="20000"/>
                <a:lumOff val="80000"/>
              </a:schemeClr>
            </a:solidFill>
            <a:ln>
              <a:solidFill>
                <a:schemeClr val="bg1"/>
              </a:solidFill>
            </a:ln>
            <a:effectLst/>
          </c:spPr>
          <c:invertIfNegative val="0"/>
          <c:dLbls>
            <c:dLbl>
              <c:idx val="0"/>
              <c:layout>
                <c:manualLayout>
                  <c:x val="1.6821468624986485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426-463A-86E2-E83682B8546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table'!$Q$1</c:f>
              <c:strCache>
                <c:ptCount val="1"/>
                <c:pt idx="0">
                  <c:v>sales</c:v>
                </c:pt>
              </c:strCache>
            </c:strRef>
          </c:cat>
          <c:val>
            <c:numRef>
              <c:f>'pivot table'!$Q$8</c:f>
              <c:numCache>
                <c:formatCode>General</c:formatCode>
                <c:ptCount val="1"/>
                <c:pt idx="0">
                  <c:v>10891982</c:v>
                </c:pt>
              </c:numCache>
            </c:numRef>
          </c:val>
          <c:extLst>
            <c:ext xmlns:c16="http://schemas.microsoft.com/office/drawing/2014/chart" uri="{C3380CC4-5D6E-409C-BE32-E72D297353CC}">
              <c16:uniqueId val="{00000006-E426-463A-86E2-E83682B8546D}"/>
            </c:ext>
          </c:extLst>
        </c:ser>
        <c:dLbls>
          <c:dLblPos val="outEnd"/>
          <c:showLegendKey val="0"/>
          <c:showVal val="1"/>
          <c:showCatName val="0"/>
          <c:showSerName val="0"/>
          <c:showPercent val="0"/>
          <c:showBubbleSize val="0"/>
        </c:dLbls>
        <c:gapWidth val="219"/>
        <c:overlap val="-27"/>
        <c:axId val="1778450304"/>
        <c:axId val="1778445024"/>
      </c:barChart>
      <c:catAx>
        <c:axId val="17784503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8445024"/>
        <c:crosses val="autoZero"/>
        <c:auto val="1"/>
        <c:lblAlgn val="ctr"/>
        <c:lblOffset val="100"/>
        <c:noMultiLvlLbl val="0"/>
      </c:catAx>
      <c:valAx>
        <c:axId val="1778445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8450304"/>
        <c:crosses val="autoZero"/>
        <c:crossBetween val="between"/>
      </c:valAx>
      <c:spPr>
        <a:noFill/>
        <a:ln>
          <a:noFill/>
        </a:ln>
        <a:effectLst>
          <a:outerShdw blurRad="50800" dist="38100" dir="5400000" algn="t" rotWithShape="0">
            <a:prstClr val="black">
              <a:alpha val="40000"/>
            </a:prstClr>
          </a:outerShdw>
        </a:effectLst>
      </c:spPr>
    </c:plotArea>
    <c:legend>
      <c:legendPos val="r"/>
      <c:layout>
        <c:manualLayout>
          <c:xMode val="edge"/>
          <c:yMode val="edge"/>
          <c:x val="0.86844846669705056"/>
          <c:y val="0.15238741858656557"/>
          <c:w val="0.12604918094096298"/>
          <c:h val="0.6860058453083609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[cleaning file.xlsx]pivot table!PivotTable15</c:name>
    <c:fmtId val="11"/>
  </c:pivotSource>
  <c:chart>
    <c:title>
      <c:tx>
        <c:rich>
          <a:bodyPr rot="0" spcFirstLastPara="1" vertOverflow="ellipsis" vert="horz" wrap="square" anchor="ctr" anchorCtr="1"/>
          <a:lstStyle/>
          <a:p>
            <a:pPr algn="ctr" rtl="0">
              <a:defRPr lang="en-US" sz="1600" b="1" i="0" u="none" strike="noStrike" kern="1200" spc="0" baseline="0">
                <a:solidFill>
                  <a:sysClr val="windowText" lastClr="000000">
                    <a:lumMod val="65000"/>
                    <a:lumOff val="35000"/>
                  </a:sysClr>
                </a:solidFill>
                <a:latin typeface="+mn-lt"/>
                <a:ea typeface="+mn-ea"/>
                <a:cs typeface="+mn-cs"/>
              </a:defRPr>
            </a:pPr>
            <a:r>
              <a:rPr lang="en-US" sz="1600" b="1" i="0" u="none" strike="noStrike" kern="1200" spc="0" baseline="0">
                <a:solidFill>
                  <a:sysClr val="windowText" lastClr="000000">
                    <a:lumMod val="65000"/>
                    <a:lumOff val="35000"/>
                  </a:sysClr>
                </a:solidFill>
                <a:latin typeface="+mn-lt"/>
                <a:ea typeface="+mn-ea"/>
                <a:cs typeface="+mn-cs"/>
              </a:rPr>
              <a:t>Top 5 customer</a:t>
            </a:r>
          </a:p>
        </c:rich>
      </c:tx>
      <c:layout>
        <c:manualLayout>
          <c:xMode val="edge"/>
          <c:yMode val="edge"/>
          <c:x val="0.12843593015152904"/>
          <c:y val="4.729063305680415E-2"/>
        </c:manualLayout>
      </c:layout>
      <c:overlay val="0"/>
      <c:spPr>
        <a:noFill/>
        <a:ln>
          <a:noFill/>
        </a:ln>
        <a:effectLst/>
      </c:spPr>
      <c:txPr>
        <a:bodyPr rot="0" spcFirstLastPara="1" vertOverflow="ellipsis" vert="horz" wrap="square" anchor="ctr" anchorCtr="1"/>
        <a:lstStyle/>
        <a:p>
          <a:pPr algn="ctr" rtl="0">
            <a:defRPr lang="en-US" sz="16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6">
              <a:lumMod val="50000"/>
            </a:schemeClr>
          </a:solidFill>
          <a:ln>
            <a:noFill/>
          </a:ln>
          <a:effectLst/>
        </c:spPr>
        <c:marker>
          <c:symbol val="none"/>
        </c:marker>
      </c:pivotFmt>
      <c:pivotFmt>
        <c:idx val="1"/>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table'!$H$37</c:f>
              <c:strCache>
                <c:ptCount val="1"/>
                <c:pt idx="0">
                  <c:v>Total</c:v>
                </c:pt>
              </c:strCache>
            </c:strRef>
          </c:tx>
          <c:spPr>
            <a:solidFill>
              <a:schemeClr val="accent6">
                <a:lumMod val="50000"/>
              </a:schemeClr>
            </a:solidFill>
            <a:ln>
              <a:noFill/>
            </a:ln>
            <a:effectLst/>
          </c:spPr>
          <c:invertIfNegative val="0"/>
          <c:cat>
            <c:strRef>
              <c:f>'pivot table'!$G$38:$G$43</c:f>
              <c:strCache>
                <c:ptCount val="5"/>
                <c:pt idx="0">
                  <c:v>C0474</c:v>
                </c:pt>
                <c:pt idx="1">
                  <c:v>C0313</c:v>
                </c:pt>
                <c:pt idx="2">
                  <c:v>C0218</c:v>
                </c:pt>
                <c:pt idx="3">
                  <c:v>C0142</c:v>
                </c:pt>
                <c:pt idx="4">
                  <c:v>C0137</c:v>
                </c:pt>
              </c:strCache>
            </c:strRef>
          </c:cat>
          <c:val>
            <c:numRef>
              <c:f>'pivot table'!$H$38:$H$43</c:f>
              <c:numCache>
                <c:formatCode>General</c:formatCode>
                <c:ptCount val="5"/>
                <c:pt idx="0">
                  <c:v>1264398</c:v>
                </c:pt>
                <c:pt idx="1">
                  <c:v>1132867</c:v>
                </c:pt>
                <c:pt idx="2">
                  <c:v>1311317</c:v>
                </c:pt>
                <c:pt idx="3">
                  <c:v>1297819</c:v>
                </c:pt>
                <c:pt idx="4">
                  <c:v>1154070</c:v>
                </c:pt>
              </c:numCache>
            </c:numRef>
          </c:val>
          <c:extLst>
            <c:ext xmlns:c16="http://schemas.microsoft.com/office/drawing/2014/chart" uri="{C3380CC4-5D6E-409C-BE32-E72D297353CC}">
              <c16:uniqueId val="{00000000-8C1D-49BE-8EBF-04EECAA8BEB3}"/>
            </c:ext>
          </c:extLst>
        </c:ser>
        <c:dLbls>
          <c:showLegendKey val="0"/>
          <c:showVal val="0"/>
          <c:showCatName val="0"/>
          <c:showSerName val="0"/>
          <c:showPercent val="0"/>
          <c:showBubbleSize val="0"/>
        </c:dLbls>
        <c:gapWidth val="219"/>
        <c:overlap val="-27"/>
        <c:axId val="1901020767"/>
        <c:axId val="1901025087"/>
      </c:barChart>
      <c:catAx>
        <c:axId val="1901020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6">
                    <a:lumMod val="50000"/>
                  </a:schemeClr>
                </a:solidFill>
                <a:latin typeface="+mn-lt"/>
                <a:ea typeface="+mn-ea"/>
                <a:cs typeface="+mn-cs"/>
              </a:defRPr>
            </a:pPr>
            <a:endParaRPr lang="en-US"/>
          </a:p>
        </c:txPr>
        <c:crossAx val="1901025087"/>
        <c:crosses val="autoZero"/>
        <c:auto val="1"/>
        <c:lblAlgn val="ctr"/>
        <c:lblOffset val="100"/>
        <c:noMultiLvlLbl val="0"/>
      </c:catAx>
      <c:valAx>
        <c:axId val="19010250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6">
                    <a:lumMod val="50000"/>
                  </a:schemeClr>
                </a:solidFill>
                <a:latin typeface="+mn-lt"/>
                <a:ea typeface="+mn-ea"/>
                <a:cs typeface="+mn-cs"/>
              </a:defRPr>
            </a:pPr>
            <a:endParaRPr lang="en-US"/>
          </a:p>
        </c:txPr>
        <c:crossAx val="1901020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[cleaning file.xlsx]pivot table!PivotTable16</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monthly</a:t>
            </a:r>
            <a:r>
              <a:rPr lang="en-IN" b="1" baseline="0"/>
              <a:t> sales</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lumMod val="50000"/>
              </a:schemeClr>
            </a:solidFill>
            <a:round/>
          </a:ln>
          <a:effectLst/>
        </c:spPr>
        <c:marker>
          <c:symbol val="diamond"/>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6">
                <a:lumMod val="50000"/>
              </a:schemeClr>
            </a:solidFill>
            <a:round/>
          </a:ln>
          <a:effectLst/>
        </c:spPr>
        <c:marker>
          <c:symbol val="diamond"/>
          <c:size val="5"/>
          <c:spPr>
            <a:solidFill>
              <a:schemeClr val="accent1"/>
            </a:solidFill>
            <a:ln w="9525">
              <a:solidFill>
                <a:schemeClr val="accent1"/>
              </a:solidFill>
            </a:ln>
            <a:effectLst/>
          </c:spPr>
        </c:marker>
        <c:dLbl>
          <c:idx val="0"/>
          <c:layout>
            <c:manualLayout>
              <c:x val="-8.2292682926829272E-2"/>
              <c:y val="4.7705703817586528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accent6">
                      <a:lumMod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10360975609756097"/>
                  <c:h val="7.8420758430860701E-2"/>
                </c:manualLayout>
              </c15:layout>
            </c:ext>
          </c:extLst>
        </c:dLbl>
      </c:pivotFmt>
      <c:pivotFmt>
        <c:idx val="4"/>
        <c:spPr>
          <a:ln w="28575" cap="rnd">
            <a:solidFill>
              <a:schemeClr val="accent6">
                <a:lumMod val="50000"/>
              </a:schemeClr>
            </a:solidFill>
            <a:round/>
          </a:ln>
          <a:effectLst/>
        </c:spPr>
        <c:marker>
          <c:symbol val="diamond"/>
          <c:size val="5"/>
          <c:spPr>
            <a:solidFill>
              <a:schemeClr val="accent1"/>
            </a:solidFill>
            <a:ln w="9525">
              <a:solidFill>
                <a:schemeClr val="accent1"/>
              </a:solidFill>
            </a:ln>
            <a:effectLst/>
          </c:spPr>
        </c:marker>
        <c:dLbl>
          <c:idx val="0"/>
          <c:layout>
            <c:manualLayout>
              <c:x val="-7.4975609756097558E-2"/>
              <c:y val="8.695780794530626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lumMod val="50000"/>
              </a:schemeClr>
            </a:solidFill>
            <a:round/>
          </a:ln>
          <a:effectLst/>
        </c:spPr>
        <c:marker>
          <c:symbol val="diamond"/>
          <c:size val="5"/>
          <c:spPr>
            <a:solidFill>
              <a:schemeClr val="accent1"/>
            </a:solidFill>
            <a:ln w="9525">
              <a:solidFill>
                <a:schemeClr val="accent1"/>
              </a:solidFill>
            </a:ln>
            <a:effectLst/>
          </c:spPr>
        </c:marker>
        <c:dLbl>
          <c:idx val="0"/>
          <c:layout>
            <c:manualLayout>
              <c:x val="-5.9658536585365851E-2"/>
              <c:y val="7.013538299054136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6">
                <a:lumMod val="50000"/>
              </a:schemeClr>
            </a:solidFill>
            <a:round/>
          </a:ln>
          <a:effectLst/>
        </c:spPr>
        <c:marker>
          <c:symbol val="diamond"/>
          <c:size val="5"/>
          <c:spPr>
            <a:solidFill>
              <a:schemeClr val="accent1"/>
            </a:solidFill>
            <a:ln w="9525">
              <a:solidFill>
                <a:schemeClr val="accent1"/>
              </a:solidFill>
            </a:ln>
            <a:effectLst/>
          </c:spPr>
        </c:marker>
        <c:dLbl>
          <c:idx val="0"/>
          <c:layout>
            <c:manualLayout>
              <c:x val="-5.7219512195121863E-2"/>
              <c:y val="7.574285797546309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6">
                <a:lumMod val="50000"/>
              </a:schemeClr>
            </a:solidFill>
            <a:round/>
          </a:ln>
          <a:effectLst/>
        </c:spPr>
        <c:marker>
          <c:symbol val="diamond"/>
          <c:size val="5"/>
          <c:spPr>
            <a:solidFill>
              <a:schemeClr val="accent1"/>
            </a:solidFill>
            <a:ln w="9525">
              <a:solidFill>
                <a:schemeClr val="accent1"/>
              </a:solidFill>
            </a:ln>
            <a:effectLst/>
          </c:spPr>
        </c:marker>
        <c:dLbl>
          <c:idx val="0"/>
          <c:layout>
            <c:manualLayout>
              <c:x val="0"/>
              <c:y val="6.452790800561983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6">
                <a:lumMod val="50000"/>
              </a:schemeClr>
            </a:solidFill>
            <a:round/>
          </a:ln>
          <a:effectLst/>
        </c:spPr>
        <c:marker>
          <c:symbol val="diamond"/>
          <c:size val="5"/>
          <c:spPr>
            <a:solidFill>
              <a:schemeClr val="accent1"/>
            </a:solidFill>
            <a:ln w="9525">
              <a:solidFill>
                <a:schemeClr val="accent1"/>
              </a:solidFill>
            </a:ln>
            <a:effectLst/>
          </c:spPr>
        </c:marker>
        <c:dLbl>
          <c:idx val="0"/>
          <c:layout>
            <c:manualLayout>
              <c:x val="-1.1560975609756143E-2"/>
              <c:y val="-6.444401664757770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299788745918955"/>
          <c:y val="0.20798124719074335"/>
          <c:w val="0.88700211254081041"/>
          <c:h val="0.66193504689526916"/>
        </c:manualLayout>
      </c:layout>
      <c:lineChart>
        <c:grouping val="standard"/>
        <c:varyColors val="0"/>
        <c:ser>
          <c:idx val="0"/>
          <c:order val="0"/>
          <c:tx>
            <c:strRef>
              <c:f>'pivot table'!$I$47</c:f>
              <c:strCache>
                <c:ptCount val="1"/>
                <c:pt idx="0">
                  <c:v>Total</c:v>
                </c:pt>
              </c:strCache>
            </c:strRef>
          </c:tx>
          <c:spPr>
            <a:ln w="28575" cap="rnd">
              <a:solidFill>
                <a:schemeClr val="accent6">
                  <a:lumMod val="50000"/>
                </a:schemeClr>
              </a:solidFill>
              <a:round/>
            </a:ln>
            <a:effectLst/>
          </c:spPr>
          <c:marker>
            <c:symbol val="diamond"/>
            <c:size val="5"/>
            <c:spPr>
              <a:solidFill>
                <a:schemeClr val="accent1"/>
              </a:solidFill>
              <a:ln w="9525">
                <a:solidFill>
                  <a:schemeClr val="accent1"/>
                </a:solidFill>
              </a:ln>
              <a:effectLst/>
            </c:spPr>
          </c:marker>
          <c:dPt>
            <c:idx val="2"/>
            <c:marker>
              <c:symbol val="diamond"/>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6-AD91-4500-B8FF-D5C660BD6E9D}"/>
              </c:ext>
            </c:extLst>
          </c:dPt>
          <c:dPt>
            <c:idx val="3"/>
            <c:marker>
              <c:symbol val="diamond"/>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1-AD91-4500-B8FF-D5C660BD6E9D}"/>
              </c:ext>
            </c:extLst>
          </c:dPt>
          <c:dPt>
            <c:idx val="5"/>
            <c:marker>
              <c:symbol val="diamond"/>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2-AD91-4500-B8FF-D5C660BD6E9D}"/>
              </c:ext>
            </c:extLst>
          </c:dPt>
          <c:dPt>
            <c:idx val="7"/>
            <c:marker>
              <c:symbol val="diamond"/>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3-AD91-4500-B8FF-D5C660BD6E9D}"/>
              </c:ext>
            </c:extLst>
          </c:dPt>
          <c:dPt>
            <c:idx val="9"/>
            <c:marker>
              <c:symbol val="diamond"/>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4-AD91-4500-B8FF-D5C660BD6E9D}"/>
              </c:ext>
            </c:extLst>
          </c:dPt>
          <c:dPt>
            <c:idx val="11"/>
            <c:marker>
              <c:symbol val="diamond"/>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5-AD91-4500-B8FF-D5C660BD6E9D}"/>
              </c:ext>
            </c:extLst>
          </c:dPt>
          <c:dLbls>
            <c:dLbl>
              <c:idx val="2"/>
              <c:layout>
                <c:manualLayout>
                  <c:x val="-1.1560975609756143E-2"/>
                  <c:y val="-6.444401664757770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D91-4500-B8FF-D5C660BD6E9D}"/>
                </c:ext>
              </c:extLst>
            </c:dLbl>
            <c:dLbl>
              <c:idx val="3"/>
              <c:layout>
                <c:manualLayout>
                  <c:x val="-8.2292682926829272E-2"/>
                  <c:y val="4.7705703817586528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accent6">
                          <a:lumMod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10360975609756097"/>
                      <c:h val="7.8420758430860701E-2"/>
                    </c:manualLayout>
                  </c15:layout>
                </c:ext>
                <c:ext xmlns:c16="http://schemas.microsoft.com/office/drawing/2014/chart" uri="{C3380CC4-5D6E-409C-BE32-E72D297353CC}">
                  <c16:uniqueId val="{00000001-AD91-4500-B8FF-D5C660BD6E9D}"/>
                </c:ext>
              </c:extLst>
            </c:dLbl>
            <c:dLbl>
              <c:idx val="5"/>
              <c:layout>
                <c:manualLayout>
                  <c:x val="-7.4975609756097558E-2"/>
                  <c:y val="8.695780794530626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D91-4500-B8FF-D5C660BD6E9D}"/>
                </c:ext>
              </c:extLst>
            </c:dLbl>
            <c:dLbl>
              <c:idx val="7"/>
              <c:layout>
                <c:manualLayout>
                  <c:x val="-5.9658536585365851E-2"/>
                  <c:y val="7.013538299054136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D91-4500-B8FF-D5C660BD6E9D}"/>
                </c:ext>
              </c:extLst>
            </c:dLbl>
            <c:dLbl>
              <c:idx val="9"/>
              <c:layout>
                <c:manualLayout>
                  <c:x val="-5.7219512195121863E-2"/>
                  <c:y val="7.574285797546309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D91-4500-B8FF-D5C660BD6E9D}"/>
                </c:ext>
              </c:extLst>
            </c:dLbl>
            <c:dLbl>
              <c:idx val="11"/>
              <c:layout>
                <c:manualLayout>
                  <c:x val="0"/>
                  <c:y val="6.452790800561983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D91-4500-B8FF-D5C660BD6E9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table'!$H$48:$H$60</c:f>
              <c:strCache>
                <c:ptCount val="12"/>
                <c:pt idx="0">
                  <c:v>Apr</c:v>
                </c:pt>
                <c:pt idx="1">
                  <c:v>Mar</c:v>
                </c:pt>
                <c:pt idx="2">
                  <c:v>Jan</c:v>
                </c:pt>
                <c:pt idx="3">
                  <c:v>Feb</c:v>
                </c:pt>
                <c:pt idx="4">
                  <c:v>May</c:v>
                </c:pt>
                <c:pt idx="5">
                  <c:v>Jun</c:v>
                </c:pt>
                <c:pt idx="6">
                  <c:v>Dec</c:v>
                </c:pt>
                <c:pt idx="7">
                  <c:v>Sep</c:v>
                </c:pt>
                <c:pt idx="8">
                  <c:v>Aug</c:v>
                </c:pt>
                <c:pt idx="9">
                  <c:v>Oct</c:v>
                </c:pt>
                <c:pt idx="10">
                  <c:v>Jul</c:v>
                </c:pt>
                <c:pt idx="11">
                  <c:v>Nov</c:v>
                </c:pt>
              </c:strCache>
            </c:strRef>
          </c:cat>
          <c:val>
            <c:numRef>
              <c:f>'pivot table'!$I$48:$I$60</c:f>
              <c:numCache>
                <c:formatCode>General</c:formatCode>
                <c:ptCount val="12"/>
                <c:pt idx="0">
                  <c:v>20617038</c:v>
                </c:pt>
                <c:pt idx="1">
                  <c:v>18434982</c:v>
                </c:pt>
                <c:pt idx="2">
                  <c:v>17992071</c:v>
                </c:pt>
                <c:pt idx="3">
                  <c:v>12628022</c:v>
                </c:pt>
                <c:pt idx="4">
                  <c:v>11736569</c:v>
                </c:pt>
                <c:pt idx="5">
                  <c:v>10195710</c:v>
                </c:pt>
                <c:pt idx="6">
                  <c:v>9537758</c:v>
                </c:pt>
                <c:pt idx="7">
                  <c:v>8771466</c:v>
                </c:pt>
                <c:pt idx="8">
                  <c:v>8298368</c:v>
                </c:pt>
                <c:pt idx="9">
                  <c:v>7737568</c:v>
                </c:pt>
                <c:pt idx="10">
                  <c:v>7372938</c:v>
                </c:pt>
                <c:pt idx="11">
                  <c:v>6954330</c:v>
                </c:pt>
              </c:numCache>
            </c:numRef>
          </c:val>
          <c:smooth val="0"/>
          <c:extLst>
            <c:ext xmlns:c16="http://schemas.microsoft.com/office/drawing/2014/chart" uri="{C3380CC4-5D6E-409C-BE32-E72D297353CC}">
              <c16:uniqueId val="{00000000-AD91-4500-B8FF-D5C660BD6E9D}"/>
            </c:ext>
          </c:extLst>
        </c:ser>
        <c:dLbls>
          <c:showLegendKey val="0"/>
          <c:showVal val="0"/>
          <c:showCatName val="0"/>
          <c:showSerName val="0"/>
          <c:showPercent val="0"/>
          <c:showBubbleSize val="0"/>
        </c:dLbls>
        <c:marker val="1"/>
        <c:smooth val="0"/>
        <c:axId val="584901135"/>
        <c:axId val="584902095"/>
      </c:lineChart>
      <c:catAx>
        <c:axId val="584901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4902095"/>
        <c:crosses val="autoZero"/>
        <c:auto val="1"/>
        <c:lblAlgn val="ctr"/>
        <c:lblOffset val="100"/>
        <c:noMultiLvlLbl val="0"/>
      </c:catAx>
      <c:valAx>
        <c:axId val="5849020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4901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63500" sx="102000" sy="102000" algn="ctr" rotWithShape="0">
        <a:schemeClr val="accent6">
          <a:lumMod val="75000"/>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chart" Target="../charts/chart5.xml"/><Relationship Id="rId7" Type="http://schemas.openxmlformats.org/officeDocument/2006/relationships/chart" Target="../charts/chart9.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8.xml"/><Relationship Id="rId5" Type="http://schemas.openxmlformats.org/officeDocument/2006/relationships/chart" Target="../charts/chart7.xml"/><Relationship Id="rId10" Type="http://schemas.openxmlformats.org/officeDocument/2006/relationships/chart" Target="../charts/chart10.xml"/><Relationship Id="rId4" Type="http://schemas.openxmlformats.org/officeDocument/2006/relationships/chart" Target="../charts/chart6.xml"/><Relationship Id="rId9" Type="http://schemas.openxmlformats.org/officeDocument/2006/relationships/image" Target="../media/image2.svg"/></Relationships>
</file>

<file path=xl/drawings/drawing1.xml><?xml version="1.0" encoding="utf-8"?>
<xdr:wsDr xmlns:xdr="http://schemas.openxmlformats.org/drawingml/2006/spreadsheetDrawing" xmlns:a="http://schemas.openxmlformats.org/drawingml/2006/main">
  <xdr:twoCellAnchor>
    <xdr:from>
      <xdr:col>13</xdr:col>
      <xdr:colOff>40341</xdr:colOff>
      <xdr:row>32</xdr:row>
      <xdr:rowOff>138952</xdr:rowOff>
    </xdr:from>
    <xdr:to>
      <xdr:col>19</xdr:col>
      <xdr:colOff>147917</xdr:colOff>
      <xdr:row>48</xdr:row>
      <xdr:rowOff>13446</xdr:rowOff>
    </xdr:to>
    <xdr:graphicFrame macro="">
      <xdr:nvGraphicFramePr>
        <xdr:cNvPr id="2" name="Chart 1">
          <a:extLst>
            <a:ext uri="{FF2B5EF4-FFF2-40B4-BE49-F238E27FC236}">
              <a16:creationId xmlns:a16="http://schemas.microsoft.com/office/drawing/2014/main" id="{39E1D5C6-54BB-683C-BBD4-02348E30BE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174811</xdr:colOff>
      <xdr:row>45</xdr:row>
      <xdr:rowOff>94129</xdr:rowOff>
    </xdr:from>
    <xdr:to>
      <xdr:col>12</xdr:col>
      <xdr:colOff>273423</xdr:colOff>
      <xdr:row>60</xdr:row>
      <xdr:rowOff>147917</xdr:rowOff>
    </xdr:to>
    <xdr:graphicFrame macro="">
      <xdr:nvGraphicFramePr>
        <xdr:cNvPr id="3" name="Chart 2">
          <a:extLst>
            <a:ext uri="{FF2B5EF4-FFF2-40B4-BE49-F238E27FC236}">
              <a16:creationId xmlns:a16="http://schemas.microsoft.com/office/drawing/2014/main" id="{173F9939-5028-CBF7-6CE2-FA35BB027D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370417</xdr:colOff>
      <xdr:row>0</xdr:row>
      <xdr:rowOff>0</xdr:rowOff>
    </xdr:from>
    <xdr:to>
      <xdr:col>20</xdr:col>
      <xdr:colOff>553976</xdr:colOff>
      <xdr:row>41</xdr:row>
      <xdr:rowOff>146980</xdr:rowOff>
    </xdr:to>
    <xdr:sp macro="" textlink="">
      <xdr:nvSpPr>
        <xdr:cNvPr id="2" name="Rectangle 1">
          <a:extLst>
            <a:ext uri="{FF2B5EF4-FFF2-40B4-BE49-F238E27FC236}">
              <a16:creationId xmlns:a16="http://schemas.microsoft.com/office/drawing/2014/main" id="{859AB5CD-E14A-103F-5567-06E7D13F56C5}"/>
            </a:ext>
          </a:extLst>
        </xdr:cNvPr>
        <xdr:cNvSpPr/>
      </xdr:nvSpPr>
      <xdr:spPr>
        <a:xfrm>
          <a:off x="2328334" y="0"/>
          <a:ext cx="11232559" cy="7523563"/>
        </a:xfrm>
        <a:prstGeom prst="rect">
          <a:avLst/>
        </a:prstGeom>
        <a:solidFill>
          <a:schemeClr val="accent6">
            <a:lumMod val="60000"/>
            <a:lumOff val="40000"/>
          </a:schemeClr>
        </a:solidFill>
        <a:effectLst/>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IN" sz="1100">
            <a:solidFill>
              <a:schemeClr val="accent6">
                <a:lumMod val="50000"/>
              </a:schemeClr>
            </a:solidFill>
          </a:endParaRPr>
        </a:p>
      </xdr:txBody>
    </xdr:sp>
    <xdr:clientData/>
  </xdr:twoCellAnchor>
  <xdr:twoCellAnchor>
    <xdr:from>
      <xdr:col>23</xdr:col>
      <xdr:colOff>423332</xdr:colOff>
      <xdr:row>11</xdr:row>
      <xdr:rowOff>21167</xdr:rowOff>
    </xdr:from>
    <xdr:to>
      <xdr:col>32</xdr:col>
      <xdr:colOff>317499</xdr:colOff>
      <xdr:row>23</xdr:row>
      <xdr:rowOff>121920</xdr:rowOff>
    </xdr:to>
    <xdr:graphicFrame macro="">
      <xdr:nvGraphicFramePr>
        <xdr:cNvPr id="3" name="Chart 2">
          <a:extLst>
            <a:ext uri="{FF2B5EF4-FFF2-40B4-BE49-F238E27FC236}">
              <a16:creationId xmlns:a16="http://schemas.microsoft.com/office/drawing/2014/main" id="{7D3FAB55-992C-4D16-B6B0-2D577002D0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603248</xdr:colOff>
      <xdr:row>16</xdr:row>
      <xdr:rowOff>21167</xdr:rowOff>
    </xdr:from>
    <xdr:to>
      <xdr:col>7</xdr:col>
      <xdr:colOff>299295</xdr:colOff>
      <xdr:row>27</xdr:row>
      <xdr:rowOff>116194</xdr:rowOff>
    </xdr:to>
    <xdr:graphicFrame macro="">
      <xdr:nvGraphicFramePr>
        <xdr:cNvPr id="4" name="Chart 3">
          <a:extLst>
            <a:ext uri="{FF2B5EF4-FFF2-40B4-BE49-F238E27FC236}">
              <a16:creationId xmlns:a16="http://schemas.microsoft.com/office/drawing/2014/main" id="{3920FF1A-B090-42EA-9993-779D06F948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348945</xdr:colOff>
      <xdr:row>12</xdr:row>
      <xdr:rowOff>148167</xdr:rowOff>
    </xdr:from>
    <xdr:to>
      <xdr:col>16</xdr:col>
      <xdr:colOff>105834</xdr:colOff>
      <xdr:row>26</xdr:row>
      <xdr:rowOff>95251</xdr:rowOff>
    </xdr:to>
    <xdr:graphicFrame macro="">
      <xdr:nvGraphicFramePr>
        <xdr:cNvPr id="7" name="Chart 6">
          <a:extLst>
            <a:ext uri="{FF2B5EF4-FFF2-40B4-BE49-F238E27FC236}">
              <a16:creationId xmlns:a16="http://schemas.microsoft.com/office/drawing/2014/main" id="{9780C7FF-9739-4AA2-869F-DDBA498287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285751</xdr:colOff>
      <xdr:row>5</xdr:row>
      <xdr:rowOff>141535</xdr:rowOff>
    </xdr:from>
    <xdr:to>
      <xdr:col>8</xdr:col>
      <xdr:colOff>11894</xdr:colOff>
      <xdr:row>16</xdr:row>
      <xdr:rowOff>84667</xdr:rowOff>
    </xdr:to>
    <xdr:graphicFrame macro="">
      <xdr:nvGraphicFramePr>
        <xdr:cNvPr id="9" name="Chart 8">
          <a:extLst>
            <a:ext uri="{FF2B5EF4-FFF2-40B4-BE49-F238E27FC236}">
              <a16:creationId xmlns:a16="http://schemas.microsoft.com/office/drawing/2014/main" id="{0BAFD506-4AC1-4B31-8BE2-53B422E8B9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243418</xdr:colOff>
      <xdr:row>13</xdr:row>
      <xdr:rowOff>52916</xdr:rowOff>
    </xdr:from>
    <xdr:to>
      <xdr:col>11</xdr:col>
      <xdr:colOff>433916</xdr:colOff>
      <xdr:row>26</xdr:row>
      <xdr:rowOff>148167</xdr:rowOff>
    </xdr:to>
    <xdr:graphicFrame macro="">
      <xdr:nvGraphicFramePr>
        <xdr:cNvPr id="10" name="Chart 9">
          <a:extLst>
            <a:ext uri="{FF2B5EF4-FFF2-40B4-BE49-F238E27FC236}">
              <a16:creationId xmlns:a16="http://schemas.microsoft.com/office/drawing/2014/main" id="{EADF4CA4-A76C-4519-8D19-5B47EA885A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584877</xdr:colOff>
      <xdr:row>26</xdr:row>
      <xdr:rowOff>116416</xdr:rowOff>
    </xdr:from>
    <xdr:to>
      <xdr:col>20</xdr:col>
      <xdr:colOff>443409</xdr:colOff>
      <xdr:row>43</xdr:row>
      <xdr:rowOff>-1</xdr:rowOff>
    </xdr:to>
    <xdr:graphicFrame macro="">
      <xdr:nvGraphicFramePr>
        <xdr:cNvPr id="5" name="Chart 4">
          <a:extLst>
            <a:ext uri="{FF2B5EF4-FFF2-40B4-BE49-F238E27FC236}">
              <a16:creationId xmlns:a16="http://schemas.microsoft.com/office/drawing/2014/main" id="{D9E81915-13B2-46A1-959F-1892EA65FC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0</xdr:colOff>
      <xdr:row>10</xdr:row>
      <xdr:rowOff>70863</xdr:rowOff>
    </xdr:from>
    <xdr:to>
      <xdr:col>10</xdr:col>
      <xdr:colOff>316676</xdr:colOff>
      <xdr:row>12</xdr:row>
      <xdr:rowOff>51070</xdr:rowOff>
    </xdr:to>
    <xdr:sp macro="" textlink="$A$16">
      <xdr:nvSpPr>
        <xdr:cNvPr id="6" name="TextBox 5">
          <a:extLst>
            <a:ext uri="{FF2B5EF4-FFF2-40B4-BE49-F238E27FC236}">
              <a16:creationId xmlns:a16="http://schemas.microsoft.com/office/drawing/2014/main" id="{46B84593-152C-CB9C-5F3A-2946A54F7950}"/>
            </a:ext>
          </a:extLst>
        </xdr:cNvPr>
        <xdr:cNvSpPr txBox="1"/>
      </xdr:nvSpPr>
      <xdr:spPr>
        <a:xfrm>
          <a:off x="6268065" y="1914411"/>
          <a:ext cx="931192" cy="3489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C9FEAA23-720D-4920-87DC-F98D0CBABC40}" type="TxLink">
            <a:rPr lang="en-US" sz="1800" b="1" i="0" u="none" strike="noStrike">
              <a:solidFill>
                <a:schemeClr val="accent6">
                  <a:lumMod val="50000"/>
                </a:schemeClr>
              </a:solidFill>
              <a:latin typeface="Calibri"/>
              <a:ea typeface="Calibri"/>
              <a:cs typeface="Calibri"/>
            </a:rPr>
            <a:pPr marL="0" indent="0" algn="ctr"/>
            <a:t>1200</a:t>
          </a:fld>
          <a:endParaRPr lang="en-IN" sz="1800" b="1" i="0" u="none" strike="noStrike">
            <a:solidFill>
              <a:schemeClr val="accent6">
                <a:lumMod val="50000"/>
              </a:schemeClr>
            </a:solidFill>
            <a:latin typeface="Calibri"/>
            <a:ea typeface="Calibri"/>
            <a:cs typeface="Calibri"/>
          </a:endParaRPr>
        </a:p>
      </xdr:txBody>
    </xdr:sp>
    <xdr:clientData/>
  </xdr:twoCellAnchor>
  <xdr:twoCellAnchor>
    <xdr:from>
      <xdr:col>11</xdr:col>
      <xdr:colOff>203493</xdr:colOff>
      <xdr:row>10</xdr:row>
      <xdr:rowOff>65917</xdr:rowOff>
    </xdr:from>
    <xdr:to>
      <xdr:col>13</xdr:col>
      <xdr:colOff>312351</xdr:colOff>
      <xdr:row>12</xdr:row>
      <xdr:rowOff>49797</xdr:rowOff>
    </xdr:to>
    <xdr:sp macro="" textlink="$A$21">
      <xdr:nvSpPr>
        <xdr:cNvPr id="12" name="TextBox 11">
          <a:extLst>
            <a:ext uri="{FF2B5EF4-FFF2-40B4-BE49-F238E27FC236}">
              <a16:creationId xmlns:a16="http://schemas.microsoft.com/office/drawing/2014/main" id="{C0BC98F2-312E-E16E-BA51-72AAC099289B}"/>
            </a:ext>
          </a:extLst>
        </xdr:cNvPr>
        <xdr:cNvSpPr txBox="1"/>
      </xdr:nvSpPr>
      <xdr:spPr>
        <a:xfrm>
          <a:off x="7700590" y="1909465"/>
          <a:ext cx="1337890" cy="35259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B5C422A3-C62A-4A01-9673-7A52C4FC6A7D}" type="TxLink">
            <a:rPr lang="en-US" sz="1800" b="1" i="0" u="none" strike="noStrike">
              <a:solidFill>
                <a:schemeClr val="accent6">
                  <a:lumMod val="50000"/>
                </a:schemeClr>
              </a:solidFill>
              <a:latin typeface="Calibri"/>
              <a:ea typeface="Calibri"/>
              <a:cs typeface="Calibri"/>
            </a:rPr>
            <a:pPr marL="0" indent="0" algn="ctr"/>
            <a:t>140276820</a:t>
          </a:fld>
          <a:endParaRPr lang="en-IN" sz="1800" b="1" i="0" u="none" strike="noStrike">
            <a:solidFill>
              <a:schemeClr val="accent6">
                <a:lumMod val="50000"/>
              </a:schemeClr>
            </a:solidFill>
            <a:latin typeface="Calibri"/>
            <a:ea typeface="Calibri"/>
            <a:cs typeface="Calibri"/>
          </a:endParaRPr>
        </a:p>
      </xdr:txBody>
    </xdr:sp>
    <xdr:clientData/>
  </xdr:twoCellAnchor>
  <xdr:twoCellAnchor>
    <xdr:from>
      <xdr:col>18</xdr:col>
      <xdr:colOff>92038</xdr:colOff>
      <xdr:row>10</xdr:row>
      <xdr:rowOff>95284</xdr:rowOff>
    </xdr:from>
    <xdr:to>
      <xdr:col>19</xdr:col>
      <xdr:colOff>439359</xdr:colOff>
      <xdr:row>12</xdr:row>
      <xdr:rowOff>115075</xdr:rowOff>
    </xdr:to>
    <xdr:sp macro="" textlink="$A$11">
      <xdr:nvSpPr>
        <xdr:cNvPr id="16" name="TextBox 15">
          <a:extLst>
            <a:ext uri="{FF2B5EF4-FFF2-40B4-BE49-F238E27FC236}">
              <a16:creationId xmlns:a16="http://schemas.microsoft.com/office/drawing/2014/main" id="{34C9E632-7D1D-E824-7B2F-AA0A89665D9F}"/>
            </a:ext>
          </a:extLst>
        </xdr:cNvPr>
        <xdr:cNvSpPr txBox="1"/>
      </xdr:nvSpPr>
      <xdr:spPr>
        <a:xfrm>
          <a:off x="12167621" y="1894451"/>
          <a:ext cx="961155" cy="3796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0D5A4EE-D47C-4E4F-8D91-E53426B88661}" type="TxLink">
            <a:rPr lang="en-US" sz="1800" b="1" i="0" u="none" strike="noStrike">
              <a:solidFill>
                <a:schemeClr val="accent6">
                  <a:lumMod val="50000"/>
                </a:schemeClr>
              </a:solidFill>
              <a:latin typeface="Calibri"/>
              <a:ea typeface="Calibri"/>
              <a:cs typeface="Calibri"/>
            </a:rPr>
            <a:pPr algn="ctr"/>
            <a:t>500</a:t>
          </a:fld>
          <a:endParaRPr lang="en-IN" sz="1800" b="1">
            <a:solidFill>
              <a:schemeClr val="accent6">
                <a:lumMod val="50000"/>
              </a:schemeClr>
            </a:solidFill>
          </a:endParaRPr>
        </a:p>
      </xdr:txBody>
    </xdr:sp>
    <xdr:clientData/>
  </xdr:twoCellAnchor>
  <xdr:twoCellAnchor>
    <xdr:from>
      <xdr:col>8</xdr:col>
      <xdr:colOff>290964</xdr:colOff>
      <xdr:row>8</xdr:row>
      <xdr:rowOff>129126</xdr:rowOff>
    </xdr:from>
    <xdr:to>
      <xdr:col>10</xdr:col>
      <xdr:colOff>370132</xdr:colOff>
      <xdr:row>10</xdr:row>
      <xdr:rowOff>73418</xdr:rowOff>
    </xdr:to>
    <xdr:sp macro="" textlink="">
      <xdr:nvSpPr>
        <xdr:cNvPr id="17" name="TextBox 16">
          <a:extLst>
            <a:ext uri="{FF2B5EF4-FFF2-40B4-BE49-F238E27FC236}">
              <a16:creationId xmlns:a16="http://schemas.microsoft.com/office/drawing/2014/main" id="{4C6602E3-0753-E361-3E8A-6A5A46E13421}"/>
            </a:ext>
          </a:extLst>
        </xdr:cNvPr>
        <xdr:cNvSpPr txBox="1"/>
      </xdr:nvSpPr>
      <xdr:spPr>
        <a:xfrm>
          <a:off x="5944512" y="1603965"/>
          <a:ext cx="1308201" cy="313001"/>
        </a:xfrm>
        <a:prstGeom prst="round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Total</a:t>
          </a:r>
          <a:r>
            <a:rPr lang="en-IN" sz="1400" b="1" baseline="0"/>
            <a:t> orders</a:t>
          </a:r>
          <a:endParaRPr lang="en-IN" sz="1400" b="1"/>
        </a:p>
      </xdr:txBody>
    </xdr:sp>
    <xdr:clientData/>
  </xdr:twoCellAnchor>
  <xdr:twoCellAnchor>
    <xdr:from>
      <xdr:col>11</xdr:col>
      <xdr:colOff>74843</xdr:colOff>
      <xdr:row>8</xdr:row>
      <xdr:rowOff>88258</xdr:rowOff>
    </xdr:from>
    <xdr:to>
      <xdr:col>13</xdr:col>
      <xdr:colOff>312351</xdr:colOff>
      <xdr:row>10</xdr:row>
      <xdr:rowOff>32552</xdr:rowOff>
    </xdr:to>
    <xdr:sp macro="" textlink="">
      <xdr:nvSpPr>
        <xdr:cNvPr id="18" name="TextBox 17">
          <a:extLst>
            <a:ext uri="{FF2B5EF4-FFF2-40B4-BE49-F238E27FC236}">
              <a16:creationId xmlns:a16="http://schemas.microsoft.com/office/drawing/2014/main" id="{FFE7602C-A7D8-D7A6-40C6-02751AA2DF0B}"/>
            </a:ext>
          </a:extLst>
        </xdr:cNvPr>
        <xdr:cNvSpPr txBox="1"/>
      </xdr:nvSpPr>
      <xdr:spPr>
        <a:xfrm>
          <a:off x="7571940" y="1563097"/>
          <a:ext cx="1466540" cy="313003"/>
        </a:xfrm>
        <a:prstGeom prst="round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Total Revenue</a:t>
          </a:r>
        </a:p>
      </xdr:txBody>
    </xdr:sp>
    <xdr:clientData/>
  </xdr:twoCellAnchor>
  <xdr:twoCellAnchor>
    <xdr:from>
      <xdr:col>17</xdr:col>
      <xdr:colOff>333519</xdr:colOff>
      <xdr:row>8</xdr:row>
      <xdr:rowOff>129126</xdr:rowOff>
    </xdr:from>
    <xdr:to>
      <xdr:col>19</xdr:col>
      <xdr:colOff>439359</xdr:colOff>
      <xdr:row>10</xdr:row>
      <xdr:rowOff>89542</xdr:rowOff>
    </xdr:to>
    <xdr:sp macro="" textlink="">
      <xdr:nvSpPr>
        <xdr:cNvPr id="11" name="TextBox 10">
          <a:extLst>
            <a:ext uri="{FF2B5EF4-FFF2-40B4-BE49-F238E27FC236}">
              <a16:creationId xmlns:a16="http://schemas.microsoft.com/office/drawing/2014/main" id="{8F3BCACD-CEFB-E0D1-2E62-D1CF78CCAF62}"/>
            </a:ext>
          </a:extLst>
        </xdr:cNvPr>
        <xdr:cNvSpPr txBox="1"/>
      </xdr:nvSpPr>
      <xdr:spPr>
        <a:xfrm>
          <a:off x="11517713" y="1603965"/>
          <a:ext cx="1334872" cy="329125"/>
        </a:xfrm>
        <a:prstGeom prst="round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Total</a:t>
          </a:r>
          <a:r>
            <a:rPr lang="en-IN" sz="1400" b="1" baseline="0"/>
            <a:t> customer</a:t>
          </a:r>
          <a:endParaRPr lang="en-IN" sz="1400" b="1"/>
        </a:p>
      </xdr:txBody>
    </xdr:sp>
    <xdr:clientData/>
  </xdr:twoCellAnchor>
  <xdr:twoCellAnchor>
    <xdr:from>
      <xdr:col>14</xdr:col>
      <xdr:colOff>88498</xdr:colOff>
      <xdr:row>8</xdr:row>
      <xdr:rowOff>111726</xdr:rowOff>
    </xdr:from>
    <xdr:to>
      <xdr:col>17</xdr:col>
      <xdr:colOff>187459</xdr:colOff>
      <xdr:row>10</xdr:row>
      <xdr:rowOff>65917</xdr:rowOff>
    </xdr:to>
    <xdr:sp macro="" textlink="">
      <xdr:nvSpPr>
        <xdr:cNvPr id="13" name="TextBox 12">
          <a:extLst>
            <a:ext uri="{FF2B5EF4-FFF2-40B4-BE49-F238E27FC236}">
              <a16:creationId xmlns:a16="http://schemas.microsoft.com/office/drawing/2014/main" id="{C28EB4C2-EFD2-9A28-5A1C-2734F888FFF5}"/>
            </a:ext>
          </a:extLst>
        </xdr:cNvPr>
        <xdr:cNvSpPr txBox="1"/>
      </xdr:nvSpPr>
      <xdr:spPr>
        <a:xfrm>
          <a:off x="9429143" y="1586565"/>
          <a:ext cx="1942510" cy="322900"/>
        </a:xfrm>
        <a:prstGeom prst="round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dk1"/>
              </a:solidFill>
              <a:latin typeface="+mn-lt"/>
              <a:ea typeface="+mn-ea"/>
              <a:cs typeface="+mn-cs"/>
            </a:rPr>
            <a:t>highest</a:t>
          </a:r>
          <a:r>
            <a:rPr lang="en-IN" sz="1400" b="1"/>
            <a:t> selling</a:t>
          </a:r>
          <a:r>
            <a:rPr lang="en-IN" sz="1400" b="1" baseline="0"/>
            <a:t> caregory</a:t>
          </a:r>
          <a:endParaRPr lang="en-IN" sz="1400" b="1"/>
        </a:p>
      </xdr:txBody>
    </xdr:sp>
    <xdr:clientData/>
  </xdr:twoCellAnchor>
  <xdr:twoCellAnchor>
    <xdr:from>
      <xdr:col>14</xdr:col>
      <xdr:colOff>467261</xdr:colOff>
      <xdr:row>10</xdr:row>
      <xdr:rowOff>73418</xdr:rowOff>
    </xdr:from>
    <xdr:to>
      <xdr:col>17</xdr:col>
      <xdr:colOff>150587</xdr:colOff>
      <xdr:row>12</xdr:row>
      <xdr:rowOff>73418</xdr:rowOff>
    </xdr:to>
    <xdr:sp macro="" textlink="$W$2">
      <xdr:nvSpPr>
        <xdr:cNvPr id="14" name="TextBox 13">
          <a:extLst>
            <a:ext uri="{FF2B5EF4-FFF2-40B4-BE49-F238E27FC236}">
              <a16:creationId xmlns:a16="http://schemas.microsoft.com/office/drawing/2014/main" id="{A95275AC-FB7A-DF90-EA24-59625EE8CCE6}"/>
            </a:ext>
          </a:extLst>
        </xdr:cNvPr>
        <xdr:cNvSpPr txBox="1"/>
      </xdr:nvSpPr>
      <xdr:spPr>
        <a:xfrm>
          <a:off x="9807906" y="1916966"/>
          <a:ext cx="1526875" cy="3687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CCB95DD8-6A82-4E95-A552-C11137556D8C}" type="TxLink">
            <a:rPr lang="en-US" sz="1800" b="1" i="0" u="none" strike="noStrike">
              <a:solidFill>
                <a:schemeClr val="accent6">
                  <a:lumMod val="50000"/>
                </a:schemeClr>
              </a:solidFill>
              <a:latin typeface="Calibri"/>
              <a:ea typeface="Calibri"/>
              <a:cs typeface="Calibri"/>
            </a:rPr>
            <a:pPr marL="0" indent="0" algn="ctr"/>
            <a:t>Smart Phone</a:t>
          </a:fld>
          <a:endParaRPr lang="en-IN" sz="1800" b="1" i="0" u="none" strike="noStrike">
            <a:solidFill>
              <a:schemeClr val="accent6">
                <a:lumMod val="50000"/>
              </a:schemeClr>
            </a:solidFill>
            <a:latin typeface="Calibri"/>
            <a:ea typeface="Calibri"/>
            <a:cs typeface="Calibri"/>
          </a:endParaRPr>
        </a:p>
      </xdr:txBody>
    </xdr:sp>
    <xdr:clientData/>
  </xdr:twoCellAnchor>
  <xdr:twoCellAnchor editAs="oneCell">
    <xdr:from>
      <xdr:col>16</xdr:col>
      <xdr:colOff>17424</xdr:colOff>
      <xdr:row>0</xdr:row>
      <xdr:rowOff>93277</xdr:rowOff>
    </xdr:from>
    <xdr:to>
      <xdr:col>20</xdr:col>
      <xdr:colOff>391257</xdr:colOff>
      <xdr:row>4</xdr:row>
      <xdr:rowOff>153757</xdr:rowOff>
    </xdr:to>
    <mc:AlternateContent xmlns:mc="http://schemas.openxmlformats.org/markup-compatibility/2006" xmlns:a14="http://schemas.microsoft.com/office/drawing/2010/main">
      <mc:Choice Requires="a14">
        <xdr:graphicFrame macro="">
          <xdr:nvGraphicFramePr>
            <xdr:cNvPr id="20" name="payment_method 1">
              <a:extLst>
                <a:ext uri="{FF2B5EF4-FFF2-40B4-BE49-F238E27FC236}">
                  <a16:creationId xmlns:a16="http://schemas.microsoft.com/office/drawing/2014/main" id="{B0BFE663-B137-4F38-A0E8-2E82283C70B4}"/>
                </a:ext>
              </a:extLst>
            </xdr:cNvPr>
            <xdr:cNvGraphicFramePr/>
          </xdr:nvGraphicFramePr>
          <xdr:xfrm>
            <a:off x="0" y="0"/>
            <a:ext cx="0" cy="0"/>
          </xdr:xfrm>
          <a:graphic>
            <a:graphicData uri="http://schemas.microsoft.com/office/drawing/2010/slicer">
              <sle:slicer xmlns:sle="http://schemas.microsoft.com/office/drawing/2010/slicer" name="payment_method 1"/>
            </a:graphicData>
          </a:graphic>
        </xdr:graphicFrame>
      </mc:Choice>
      <mc:Fallback xmlns="">
        <xdr:sp macro="" textlink="">
          <xdr:nvSpPr>
            <xdr:cNvPr id="0" name=""/>
            <xdr:cNvSpPr>
              <a:spLocks noTextEdit="1"/>
            </xdr:cNvSpPr>
          </xdr:nvSpPr>
          <xdr:spPr>
            <a:xfrm>
              <a:off x="10569007" y="93277"/>
              <a:ext cx="2829167" cy="7801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362271</xdr:colOff>
      <xdr:row>0</xdr:row>
      <xdr:rowOff>70499</xdr:rowOff>
    </xdr:from>
    <xdr:to>
      <xdr:col>10</xdr:col>
      <xdr:colOff>439072</xdr:colOff>
      <xdr:row>5</xdr:row>
      <xdr:rowOff>23063</xdr:rowOff>
    </xdr:to>
    <mc:AlternateContent xmlns:mc="http://schemas.openxmlformats.org/markup-compatibility/2006" xmlns:a14="http://schemas.microsoft.com/office/drawing/2010/main">
      <mc:Choice Requires="a14">
        <xdr:graphicFrame macro="">
          <xdr:nvGraphicFramePr>
            <xdr:cNvPr id="21" name="order_date (Year) 1">
              <a:extLst>
                <a:ext uri="{FF2B5EF4-FFF2-40B4-BE49-F238E27FC236}">
                  <a16:creationId xmlns:a16="http://schemas.microsoft.com/office/drawing/2014/main" id="{FBCBDC76-5BA1-4DDC-84F5-637685B47EC1}"/>
                </a:ext>
              </a:extLst>
            </xdr:cNvPr>
            <xdr:cNvGraphicFramePr/>
          </xdr:nvGraphicFramePr>
          <xdr:xfrm>
            <a:off x="0" y="0"/>
            <a:ext cx="0" cy="0"/>
          </xdr:xfrm>
          <a:graphic>
            <a:graphicData uri="http://schemas.microsoft.com/office/drawing/2010/slicer">
              <sle:slicer xmlns:sle="http://schemas.microsoft.com/office/drawing/2010/slicer" name="order_date (Year) 1"/>
            </a:graphicData>
          </a:graphic>
        </xdr:graphicFrame>
      </mc:Choice>
      <mc:Fallback xmlns="">
        <xdr:sp macro="" textlink="">
          <xdr:nvSpPr>
            <xdr:cNvPr id="0" name=""/>
            <xdr:cNvSpPr>
              <a:spLocks noTextEdit="1"/>
            </xdr:cNvSpPr>
          </xdr:nvSpPr>
          <xdr:spPr>
            <a:xfrm>
              <a:off x="6003188" y="70499"/>
              <a:ext cx="1304467" cy="8521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101341</xdr:colOff>
      <xdr:row>5</xdr:row>
      <xdr:rowOff>0</xdr:rowOff>
    </xdr:from>
    <xdr:to>
      <xdr:col>20</xdr:col>
      <xdr:colOff>185045</xdr:colOff>
      <xdr:row>8</xdr:row>
      <xdr:rowOff>27360</xdr:rowOff>
    </xdr:to>
    <mc:AlternateContent xmlns:mc="http://schemas.openxmlformats.org/markup-compatibility/2006" xmlns:a14="http://schemas.microsoft.com/office/drawing/2010/main">
      <mc:Choice Requires="a14">
        <xdr:graphicFrame macro="">
          <xdr:nvGraphicFramePr>
            <xdr:cNvPr id="22" name="city 1">
              <a:extLst>
                <a:ext uri="{FF2B5EF4-FFF2-40B4-BE49-F238E27FC236}">
                  <a16:creationId xmlns:a16="http://schemas.microsoft.com/office/drawing/2014/main" id="{E1DE9831-CF2F-4E75-A94F-233336AE7B3F}"/>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5742258" y="899583"/>
              <a:ext cx="7449704" cy="5671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475426</xdr:colOff>
      <xdr:row>0</xdr:row>
      <xdr:rowOff>80996</xdr:rowOff>
    </xdr:from>
    <xdr:to>
      <xdr:col>15</xdr:col>
      <xdr:colOff>595425</xdr:colOff>
      <xdr:row>4</xdr:row>
      <xdr:rowOff>141476</xdr:rowOff>
    </xdr:to>
    <mc:AlternateContent xmlns:mc="http://schemas.openxmlformats.org/markup-compatibility/2006" xmlns:a14="http://schemas.microsoft.com/office/drawing/2010/main">
      <mc:Choice Requires="a14">
        <xdr:graphicFrame macro="">
          <xdr:nvGraphicFramePr>
            <xdr:cNvPr id="23" name="category 1">
              <a:extLst>
                <a:ext uri="{FF2B5EF4-FFF2-40B4-BE49-F238E27FC236}">
                  <a16:creationId xmlns:a16="http://schemas.microsoft.com/office/drawing/2014/main" id="{E2967097-B46D-460B-8AB1-63177FE39135}"/>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7344009" y="80996"/>
              <a:ext cx="3189166" cy="7801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571501</xdr:colOff>
      <xdr:row>13</xdr:row>
      <xdr:rowOff>21167</xdr:rowOff>
    </xdr:from>
    <xdr:to>
      <xdr:col>20</xdr:col>
      <xdr:colOff>444500</xdr:colOff>
      <xdr:row>25</xdr:row>
      <xdr:rowOff>10584</xdr:rowOff>
    </xdr:to>
    <xdr:graphicFrame macro="">
      <xdr:nvGraphicFramePr>
        <xdr:cNvPr id="8" name="Chart 7">
          <a:extLst>
            <a:ext uri="{FF2B5EF4-FFF2-40B4-BE49-F238E27FC236}">
              <a16:creationId xmlns:a16="http://schemas.microsoft.com/office/drawing/2014/main" id="{A5D04D74-C5EE-4586-B326-B2959255FE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433916</xdr:colOff>
      <xdr:row>0</xdr:row>
      <xdr:rowOff>63499</xdr:rowOff>
    </xdr:from>
    <xdr:to>
      <xdr:col>7</xdr:col>
      <xdr:colOff>359834</xdr:colOff>
      <xdr:row>6</xdr:row>
      <xdr:rowOff>105833</xdr:rowOff>
    </xdr:to>
    <xdr:sp macro="" textlink="">
      <xdr:nvSpPr>
        <xdr:cNvPr id="15" name="TextBox 14">
          <a:extLst>
            <a:ext uri="{FF2B5EF4-FFF2-40B4-BE49-F238E27FC236}">
              <a16:creationId xmlns:a16="http://schemas.microsoft.com/office/drawing/2014/main" id="{8F0305BF-CB17-5C12-389B-BE9FE4BD9328}"/>
            </a:ext>
          </a:extLst>
        </xdr:cNvPr>
        <xdr:cNvSpPr txBox="1"/>
      </xdr:nvSpPr>
      <xdr:spPr>
        <a:xfrm>
          <a:off x="2391833" y="63499"/>
          <a:ext cx="2995084" cy="11218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b="1"/>
            <a:t>Retail</a:t>
          </a:r>
          <a:r>
            <a:rPr lang="en-IN" sz="2800" b="1" baseline="0"/>
            <a:t> S</a:t>
          </a:r>
          <a:r>
            <a:rPr lang="en-IN" sz="2800" b="1"/>
            <a:t>ales</a:t>
          </a:r>
          <a:r>
            <a:rPr lang="en-IN" sz="2800" b="1" baseline="0"/>
            <a:t> A</a:t>
          </a:r>
          <a:r>
            <a:rPr lang="en-IN" sz="2800" b="1"/>
            <a:t>nalysis</a:t>
          </a:r>
        </a:p>
        <a:p>
          <a:endParaRPr lang="en-IN" sz="2800"/>
        </a:p>
      </xdr:txBody>
    </xdr:sp>
    <xdr:clientData/>
  </xdr:twoCellAnchor>
  <xdr:twoCellAnchor editAs="oneCell">
    <xdr:from>
      <xdr:col>5</xdr:col>
      <xdr:colOff>518581</xdr:colOff>
      <xdr:row>1</xdr:row>
      <xdr:rowOff>21166</xdr:rowOff>
    </xdr:from>
    <xdr:to>
      <xdr:col>7</xdr:col>
      <xdr:colOff>84665</xdr:colOff>
      <xdr:row>4</xdr:row>
      <xdr:rowOff>173566</xdr:rowOff>
    </xdr:to>
    <xdr:pic>
      <xdr:nvPicPr>
        <xdr:cNvPr id="24" name="Graphic 23" descr="Pie chart with solid fill">
          <a:extLst>
            <a:ext uri="{FF2B5EF4-FFF2-40B4-BE49-F238E27FC236}">
              <a16:creationId xmlns:a16="http://schemas.microsoft.com/office/drawing/2014/main" id="{8A2882CE-D8FE-EB0B-CE06-4117F075DE4D}"/>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4317998" y="201083"/>
          <a:ext cx="793750" cy="692150"/>
        </a:xfrm>
        <a:prstGeom prst="rect">
          <a:avLst/>
        </a:prstGeom>
      </xdr:spPr>
    </xdr:pic>
    <xdr:clientData/>
  </xdr:twoCellAnchor>
  <xdr:twoCellAnchor>
    <xdr:from>
      <xdr:col>2</xdr:col>
      <xdr:colOff>518582</xdr:colOff>
      <xdr:row>28</xdr:row>
      <xdr:rowOff>105832</xdr:rowOff>
    </xdr:from>
    <xdr:to>
      <xdr:col>11</xdr:col>
      <xdr:colOff>539749</xdr:colOff>
      <xdr:row>41</xdr:row>
      <xdr:rowOff>31750</xdr:rowOff>
    </xdr:to>
    <xdr:graphicFrame macro="">
      <xdr:nvGraphicFramePr>
        <xdr:cNvPr id="19" name="Chart 18">
          <a:extLst>
            <a:ext uri="{FF2B5EF4-FFF2-40B4-BE49-F238E27FC236}">
              <a16:creationId xmlns:a16="http://schemas.microsoft.com/office/drawing/2014/main" id="{F5735DF9-49F2-4FB7-9943-F591DB8D48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ish kumar" refreshedDate="46155.781859490744" backgroundQuery="1" createdVersion="8" refreshedVersion="8" minRefreshableVersion="3" recordCount="0" supportSubquery="1" supportAdvancedDrill="1" xr:uid="{76FFA562-CBCC-4B16-B9F8-C4AFBB7E56F9}">
  <cacheSource type="external" connectionId="6"/>
  <cacheFields count="2">
    <cacheField name="[Measures].[Count of customer_id]" caption="Count of customer_id" numFmtId="0" hierarchy="34" level="32767"/>
    <cacheField name="[messy_products_csv].[category].[category]" caption="category" numFmtId="0" hierarchy="22" level="1">
      <sharedItems containsSemiMixedTypes="0" containsNonDate="0" containsString="0"/>
    </cacheField>
  </cacheFields>
  <cacheHierarchies count="38">
    <cacheHierarchy uniqueName="[messy_customers_csv].[customer_id]" caption="customer_id" attribute="1" defaultMemberUniqueName="[messy_customers_csv].[customer_id].[All]" allUniqueName="[messy_customers_csv].[customer_id].[All]" dimensionUniqueName="[messy_customers_csv]" displayFolder="" count="0" memberValueDatatype="130" unbalanced="0"/>
    <cacheHierarchy uniqueName="[messy_customers_csv].[customer_name]" caption="customer_name" attribute="1" defaultMemberUniqueName="[messy_customers_csv].[customer_name].[All]" allUniqueName="[messy_customers_csv].[customer_name].[All]" dimensionUniqueName="[messy_customers_csv]" displayFolder="" count="0" memberValueDatatype="130" unbalanced="0"/>
    <cacheHierarchy uniqueName="[messy_customers_csv].[city]" caption="city" attribute="1" defaultMemberUniqueName="[messy_customers_csv].[city].[All]" allUniqueName="[messy_customers_csv].[city].[All]" dimensionUniqueName="[messy_customers_csv]" displayFolder="" count="2" memberValueDatatype="130" unbalanced="0"/>
    <cacheHierarchy uniqueName="[messy_customers_csv].[signup_date]" caption="signup_date" attribute="1" time="1" defaultMemberUniqueName="[messy_customers_csv].[signup_date].[All]" allUniqueName="[messy_customers_csv].[signup_date].[All]" dimensionUniqueName="[messy_customers_csv]" displayFolder="" count="0" memberValueDatatype="7" unbalanced="0"/>
    <cacheHierarchy uniqueName="[messy_customers_csv].[signup_date (Year)]" caption="signup_date (Year)" attribute="1" defaultMemberUniqueName="[messy_customers_csv].[signup_date (Year)].[All]" allUniqueName="[messy_customers_csv].[signup_date (Year)].[All]" dimensionUniqueName="[messy_customers_csv]" displayFolder="" count="2" memberValueDatatype="130" unbalanced="0"/>
    <cacheHierarchy uniqueName="[messy_customers_csv].[signup_date (Quarter)]" caption="signup_date (Quarter)" attribute="1" defaultMemberUniqueName="[messy_customers_csv].[signup_date (Quarter)].[All]" allUniqueName="[messy_customers_csv].[signup_date (Quarter)].[All]" dimensionUniqueName="[messy_customers_csv]" displayFolder="" count="0" memberValueDatatype="130" unbalanced="0"/>
    <cacheHierarchy uniqueName="[messy_customers_csv].[signup_date (Month)]" caption="signup_date (Month)" attribute="1" defaultMemberUniqueName="[messy_customers_csv].[signup_date (Month)].[All]" allUniqueName="[messy_customers_csv].[signup_date (Month)].[All]" dimensionUniqueName="[messy_customers_csv]" displayFolder="" count="0" memberValueDatatype="130" unbalanced="0"/>
    <cacheHierarchy uniqueName="[messy_order_items_csv].[order_item_id]" caption="order_item_id" attribute="1" defaultMemberUniqueName="[messy_order_items_csv].[order_item_id].[All]" allUniqueName="[messy_order_items_csv].[order_item_id].[All]" dimensionUniqueName="[messy_order_items_csv]" displayFolder="" count="0" memberValueDatatype="20" unbalanced="0"/>
    <cacheHierarchy uniqueName="[messy_order_items_csv].[order_id]" caption="order_id" attribute="1" defaultMemberUniqueName="[messy_order_items_csv].[order_id].[All]" allUniqueName="[messy_order_items_csv].[order_id].[All]" dimensionUniqueName="[messy_order_items_csv]" displayFolder="" count="0" memberValueDatatype="130" unbalanced="0"/>
    <cacheHierarchy uniqueName="[messy_order_items_csv].[product_id]" caption="product_id" attribute="1" defaultMemberUniqueName="[messy_order_items_csv].[product_id].[All]" allUniqueName="[messy_order_items_csv].[product_id].[All]" dimensionUniqueName="[messy_order_items_csv]" displayFolder="" count="0" memberValueDatatype="130" unbalanced="0"/>
    <cacheHierarchy uniqueName="[messy_order_items_csv].[quantity]" caption="quantity" attribute="1" defaultMemberUniqueName="[messy_order_items_csv].[quantity].[All]" allUniqueName="[messy_order_items_csv].[quantity].[All]" dimensionUniqueName="[messy_order_items_csv]" displayFolder="" count="0" memberValueDatatype="20" unbalanced="0"/>
    <cacheHierarchy uniqueName="[messy_order_items_csv].[unit_price]" caption="unit_price" attribute="1" defaultMemberUniqueName="[messy_order_items_csv].[unit_price].[All]" allUniqueName="[messy_order_items_csv].[unit_price].[All]" dimensionUniqueName="[messy_order_items_csv]" displayFolder="" count="0" memberValueDatatype="20" unbalanced="0"/>
    <cacheHierarchy uniqueName="[messy_order_items_csv].[total_amount]" caption="total_amount" attribute="1" defaultMemberUniqueName="[messy_order_items_csv].[total_amount].[All]" allUniqueName="[messy_order_items_csv].[total_amount].[All]" dimensionUniqueName="[messy_order_items_csv]" displayFolder="" count="0" memberValueDatatype="20" unbalanced="0"/>
    <cacheHierarchy uniqueName="[messy_orders_csv].[order_id]" caption="order_id" attribute="1" defaultMemberUniqueName="[messy_orders_csv].[order_id].[All]" allUniqueName="[messy_orders_csv].[order_id].[All]" dimensionUniqueName="[messy_orders_csv]" displayFolder="" count="0" memberValueDatatype="130" unbalanced="0"/>
    <cacheHierarchy uniqueName="[messy_orders_csv].[customer_id]" caption="customer_id" attribute="1" defaultMemberUniqueName="[messy_orders_csv].[customer_id].[All]" allUniqueName="[messy_orders_csv].[customer_id].[All]" dimensionUniqueName="[messy_orders_csv]" displayFolder="" count="0" memberValueDatatype="130" unbalanced="0"/>
    <cacheHierarchy uniqueName="[messy_orders_csv].[order_date]" caption="order_date" attribute="1" time="1" defaultMemberUniqueName="[messy_orders_csv].[order_date].[All]" allUniqueName="[messy_orders_csv].[order_date].[All]" dimensionUniqueName="[messy_orders_csv]" displayFolder="" count="0" memberValueDatatype="7" unbalanced="0"/>
    <cacheHierarchy uniqueName="[messy_orders_csv].[payment_method]" caption="payment_method" attribute="1" defaultMemberUniqueName="[messy_orders_csv].[payment_method].[All]" allUniqueName="[messy_orders_csv].[payment_method].[All]" dimensionUniqueName="[messy_orders_csv]" displayFolder="" count="2" memberValueDatatype="130" unbalanced="0"/>
    <cacheHierarchy uniqueName="[messy_orders_csv].[order_date (Year)]" caption="order_date (Year)" attribute="1" defaultMemberUniqueName="[messy_orders_csv].[order_date (Year)].[All]" allUniqueName="[messy_orders_csv].[order_date (Year)].[All]" dimensionUniqueName="[messy_orders_csv]" displayFolder="" count="2" memberValueDatatype="130" unbalanced="0"/>
    <cacheHierarchy uniqueName="[messy_orders_csv].[order_date (Quarter)]" caption="order_date (Quarter)" attribute="1" defaultMemberUniqueName="[messy_orders_csv].[order_date (Quarter)].[All]" allUniqueName="[messy_orders_csv].[order_date (Quarter)].[All]" dimensionUniqueName="[messy_orders_csv]" displayFolder="" count="0" memberValueDatatype="130" unbalanced="0"/>
    <cacheHierarchy uniqueName="[messy_orders_csv].[order_date (Month)]" caption="order_date (Month)" attribute="1" defaultMemberUniqueName="[messy_orders_csv].[order_date (Month)].[All]" allUniqueName="[messy_orders_csv].[order_date (Month)].[All]" dimensionUniqueName="[messy_orders_csv]" displayFolder="" count="0" memberValueDatatype="130" unbalanced="0"/>
    <cacheHierarchy uniqueName="[messy_products_csv].[product_id]" caption="product_id" attribute="1" defaultMemberUniqueName="[messy_products_csv].[product_id].[All]" allUniqueName="[messy_products_csv].[product_id].[All]" dimensionUniqueName="[messy_products_csv]" displayFolder="" count="0" memberValueDatatype="130" unbalanced="0"/>
    <cacheHierarchy uniqueName="[messy_products_csv].[product_name]" caption="product_name" attribute="1" defaultMemberUniqueName="[messy_products_csv].[product_name].[All]" allUniqueName="[messy_products_csv].[product_name].[All]" dimensionUniqueName="[messy_products_csv]" displayFolder="" count="0" memberValueDatatype="130" unbalanced="0"/>
    <cacheHierarchy uniqueName="[messy_products_csv].[category]" caption="category" attribute="1" defaultMemberUniqueName="[messy_products_csv].[category].[All]" allUniqueName="[messy_products_csv].[category].[All]" dimensionUniqueName="[messy_products_csv]" displayFolder="" count="2" memberValueDatatype="130" unbalanced="0">
      <fieldsUsage count="2">
        <fieldUsage x="-1"/>
        <fieldUsage x="1"/>
      </fieldsUsage>
    </cacheHierarchy>
    <cacheHierarchy uniqueName="[messy_products_csv].[base_price]" caption="base_price" attribute="1" defaultMemberUniqueName="[messy_products_csv].[base_price].[All]" allUniqueName="[messy_products_csv].[base_price].[All]" dimensionUniqueName="[messy_products_csv]" displayFolder="" count="0" memberValueDatatype="20" unbalanced="0"/>
    <cacheHierarchy uniqueName="[messy_customers_csv].[signup_date (Month Index)]" caption="signup_date (Month Index)" attribute="1" defaultMemberUniqueName="[messy_customers_csv].[signup_date (Month Index)].[All]" allUniqueName="[messy_customers_csv].[signup_date (Month Index)].[All]" dimensionUniqueName="[messy_customers_csv]" displayFolder="" count="0" memberValueDatatype="20" unbalanced="0" hidden="1"/>
    <cacheHierarchy uniqueName="[messy_orders_csv].[order_date (Month Index)]" caption="order_date (Month Index)" attribute="1" defaultMemberUniqueName="[messy_orders_csv].[order_date (Month Index)].[All]" allUniqueName="[messy_orders_csv].[order_date (Month Index)].[All]" dimensionUniqueName="[messy_orders_csv]" displayFolder="" count="0" memberValueDatatype="20" unbalanced="0" hidden="1"/>
    <cacheHierarchy uniqueName="[Measures].[__XL_Count messy_order_items_csv]" caption="__XL_Count messy_order_items_csv" measure="1" displayFolder="" measureGroup="messy_order_items_csv" count="0" hidden="1"/>
    <cacheHierarchy uniqueName="[Measures].[__XL_Count messy_orders_csv]" caption="__XL_Count messy_orders_csv" measure="1" displayFolder="" measureGroup="messy_orders_csv" count="0" hidden="1"/>
    <cacheHierarchy uniqueName="[Measures].[__XL_Count messy_products_csv]" caption="__XL_Count messy_products_csv" measure="1" displayFolder="" measureGroup="messy_products_csv" count="0" hidden="1"/>
    <cacheHierarchy uniqueName="[Measures].[__XL_Count messy_customers_csv]" caption="__XL_Count messy_customers_csv" measure="1" displayFolder="" measureGroup="messy_customers_csv" count="0" hidden="1"/>
    <cacheHierarchy uniqueName="[Measures].[__No measures defined]" caption="__No measures defined" measure="1" displayFolder="" count="0" hidden="1"/>
    <cacheHierarchy uniqueName="[Measures].[Count of order_id]" caption="Count of order_id" measure="1" displayFolder="" measureGroup="messy_orders_csv" count="0" hidden="1">
      <extLst>
        <ext xmlns:x15="http://schemas.microsoft.com/office/spreadsheetml/2010/11/main" uri="{B97F6D7D-B522-45F9-BDA1-12C45D357490}">
          <x15:cacheHierarchy aggregatedColumn="13"/>
        </ext>
      </extLst>
    </cacheHierarchy>
    <cacheHierarchy uniqueName="[Measures].[Sum of total_amount]" caption="Sum of total_amount" measure="1" displayFolder="" measureGroup="messy_order_items_csv" count="0" hidden="1">
      <extLst>
        <ext xmlns:x15="http://schemas.microsoft.com/office/spreadsheetml/2010/11/main" uri="{B97F6D7D-B522-45F9-BDA1-12C45D357490}">
          <x15:cacheHierarchy aggregatedColumn="12"/>
        </ext>
      </extLst>
    </cacheHierarchy>
    <cacheHierarchy uniqueName="[Measures].[Count of product_id]" caption="Count of product_id" measure="1" displayFolder="" measureGroup="messy_products_csv" count="0" hidden="1">
      <extLst>
        <ext xmlns:x15="http://schemas.microsoft.com/office/spreadsheetml/2010/11/main" uri="{B97F6D7D-B522-45F9-BDA1-12C45D357490}">
          <x15:cacheHierarchy aggregatedColumn="20"/>
        </ext>
      </extLst>
    </cacheHierarchy>
    <cacheHierarchy uniqueName="[Measures].[Count of customer_id]" caption="Count of customer_id" measure="1" displayFolder="" measureGroup="messy_customers_csv"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product_name]" caption="Count of product_name" measure="1" displayFolder="" measureGroup="messy_products_csv" count="0" hidden="1">
      <extLst>
        <ext xmlns:x15="http://schemas.microsoft.com/office/spreadsheetml/2010/11/main" uri="{B97F6D7D-B522-45F9-BDA1-12C45D357490}">
          <x15:cacheHierarchy aggregatedColumn="21"/>
        </ext>
      </extLst>
    </cacheHierarchy>
    <cacheHierarchy uniqueName="[Measures].[Count of order_id 2]" caption="Count of order_id 2" measure="1" displayFolder="" measureGroup="messy_order_items_csv" count="0" hidden="1">
      <extLst>
        <ext xmlns:x15="http://schemas.microsoft.com/office/spreadsheetml/2010/11/main" uri="{B97F6D7D-B522-45F9-BDA1-12C45D357490}">
          <x15:cacheHierarchy aggregatedColumn="8"/>
        </ext>
      </extLst>
    </cacheHierarchy>
    <cacheHierarchy uniqueName="[Measures].[Sum of quantity]" caption="Sum of quantity" measure="1" displayFolder="" measureGroup="messy_order_items_csv" count="0" hidden="1">
      <extLst>
        <ext xmlns:x15="http://schemas.microsoft.com/office/spreadsheetml/2010/11/main" uri="{B97F6D7D-B522-45F9-BDA1-12C45D357490}">
          <x15:cacheHierarchy aggregatedColumn="10"/>
        </ext>
      </extLst>
    </cacheHierarchy>
  </cacheHierarchies>
  <kpis count="0"/>
  <dimensions count="5">
    <dimension measure="1" name="Measures" uniqueName="[Measures]" caption="Measures"/>
    <dimension name="messy_customers_csv" uniqueName="[messy_customers_csv]" caption="messy_customers_csv"/>
    <dimension name="messy_order_items_csv" uniqueName="[messy_order_items_csv]" caption="messy_order_items_csv"/>
    <dimension name="messy_orders_csv" uniqueName="[messy_orders_csv]" caption="messy_orders_csv"/>
    <dimension name="messy_products_csv" uniqueName="[messy_products_csv]" caption="messy_products_csv"/>
  </dimensions>
  <measureGroups count="4">
    <measureGroup name="messy_customers_csv" caption="messy_customers_csv"/>
    <measureGroup name="messy_order_items_csv" caption="messy_order_items_csv"/>
    <measureGroup name="messy_orders_csv" caption="messy_orders_csv"/>
    <measureGroup name="messy_products_csv" caption="messy_products_csv"/>
  </measureGroups>
  <maps count="8">
    <map measureGroup="0" dimension="1"/>
    <map measureGroup="1" dimension="1"/>
    <map measureGroup="1" dimension="2"/>
    <map measureGroup="1" dimension="3"/>
    <map measureGroup="1" dimension="4"/>
    <map measureGroup="2" dimension="1"/>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ish kumar" refreshedDate="46155.78185983796" backgroundQuery="1" createdVersion="8" refreshedVersion="8" minRefreshableVersion="3" recordCount="0" supportSubquery="1" supportAdvancedDrill="1" xr:uid="{D5E59B9F-4365-4CE2-9490-ED592970986E}">
  <cacheSource type="external" connectionId="6"/>
  <cacheFields count="2">
    <cacheField name="[Measures].[Count of order_id]" caption="Count of order_id" numFmtId="0" hierarchy="31" level="32767"/>
    <cacheField name="[messy_products_csv].[category].[category]" caption="category" numFmtId="0" hierarchy="22" level="1">
      <sharedItems containsSemiMixedTypes="0" containsNonDate="0" containsString="0"/>
    </cacheField>
  </cacheFields>
  <cacheHierarchies count="38">
    <cacheHierarchy uniqueName="[messy_customers_csv].[customer_id]" caption="customer_id" attribute="1" defaultMemberUniqueName="[messy_customers_csv].[customer_id].[All]" allUniqueName="[messy_customers_csv].[customer_id].[All]" dimensionUniqueName="[messy_customers_csv]" displayFolder="" count="0" memberValueDatatype="130" unbalanced="0"/>
    <cacheHierarchy uniqueName="[messy_customers_csv].[customer_name]" caption="customer_name" attribute="1" defaultMemberUniqueName="[messy_customers_csv].[customer_name].[All]" allUniqueName="[messy_customers_csv].[customer_name].[All]" dimensionUniqueName="[messy_customers_csv]" displayFolder="" count="0" memberValueDatatype="130" unbalanced="0"/>
    <cacheHierarchy uniqueName="[messy_customers_csv].[city]" caption="city" attribute="1" defaultMemberUniqueName="[messy_customers_csv].[city].[All]" allUniqueName="[messy_customers_csv].[city].[All]" dimensionUniqueName="[messy_customers_csv]" displayFolder="" count="2" memberValueDatatype="130" unbalanced="0"/>
    <cacheHierarchy uniqueName="[messy_customers_csv].[signup_date]" caption="signup_date" attribute="1" time="1" defaultMemberUniqueName="[messy_customers_csv].[signup_date].[All]" allUniqueName="[messy_customers_csv].[signup_date].[All]" dimensionUniqueName="[messy_customers_csv]" displayFolder="" count="0" memberValueDatatype="7" unbalanced="0"/>
    <cacheHierarchy uniqueName="[messy_customers_csv].[signup_date (Year)]" caption="signup_date (Year)" attribute="1" defaultMemberUniqueName="[messy_customers_csv].[signup_date (Year)].[All]" allUniqueName="[messy_customers_csv].[signup_date (Year)].[All]" dimensionUniqueName="[messy_customers_csv]" displayFolder="" count="2" memberValueDatatype="130" unbalanced="0"/>
    <cacheHierarchy uniqueName="[messy_customers_csv].[signup_date (Quarter)]" caption="signup_date (Quarter)" attribute="1" defaultMemberUniqueName="[messy_customers_csv].[signup_date (Quarter)].[All]" allUniqueName="[messy_customers_csv].[signup_date (Quarter)].[All]" dimensionUniqueName="[messy_customers_csv]" displayFolder="" count="0" memberValueDatatype="130" unbalanced="0"/>
    <cacheHierarchy uniqueName="[messy_customers_csv].[signup_date (Month)]" caption="signup_date (Month)" attribute="1" defaultMemberUniqueName="[messy_customers_csv].[signup_date (Month)].[All]" allUniqueName="[messy_customers_csv].[signup_date (Month)].[All]" dimensionUniqueName="[messy_customers_csv]" displayFolder="" count="0" memberValueDatatype="130" unbalanced="0"/>
    <cacheHierarchy uniqueName="[messy_order_items_csv].[order_item_id]" caption="order_item_id" attribute="1" defaultMemberUniqueName="[messy_order_items_csv].[order_item_id].[All]" allUniqueName="[messy_order_items_csv].[order_item_id].[All]" dimensionUniqueName="[messy_order_items_csv]" displayFolder="" count="0" memberValueDatatype="20" unbalanced="0"/>
    <cacheHierarchy uniqueName="[messy_order_items_csv].[order_id]" caption="order_id" attribute="1" defaultMemberUniqueName="[messy_order_items_csv].[order_id].[All]" allUniqueName="[messy_order_items_csv].[order_id].[All]" dimensionUniqueName="[messy_order_items_csv]" displayFolder="" count="0" memberValueDatatype="130" unbalanced="0"/>
    <cacheHierarchy uniqueName="[messy_order_items_csv].[product_id]" caption="product_id" attribute="1" defaultMemberUniqueName="[messy_order_items_csv].[product_id].[All]" allUniqueName="[messy_order_items_csv].[product_id].[All]" dimensionUniqueName="[messy_order_items_csv]" displayFolder="" count="0" memberValueDatatype="130" unbalanced="0"/>
    <cacheHierarchy uniqueName="[messy_order_items_csv].[quantity]" caption="quantity" attribute="1" defaultMemberUniqueName="[messy_order_items_csv].[quantity].[All]" allUniqueName="[messy_order_items_csv].[quantity].[All]" dimensionUniqueName="[messy_order_items_csv]" displayFolder="" count="0" memberValueDatatype="20" unbalanced="0"/>
    <cacheHierarchy uniqueName="[messy_order_items_csv].[unit_price]" caption="unit_price" attribute="1" defaultMemberUniqueName="[messy_order_items_csv].[unit_price].[All]" allUniqueName="[messy_order_items_csv].[unit_price].[All]" dimensionUniqueName="[messy_order_items_csv]" displayFolder="" count="0" memberValueDatatype="20" unbalanced="0"/>
    <cacheHierarchy uniqueName="[messy_order_items_csv].[total_amount]" caption="total_amount" attribute="1" defaultMemberUniqueName="[messy_order_items_csv].[total_amount].[All]" allUniqueName="[messy_order_items_csv].[total_amount].[All]" dimensionUniqueName="[messy_order_items_csv]" displayFolder="" count="0" memberValueDatatype="20" unbalanced="0"/>
    <cacheHierarchy uniqueName="[messy_orders_csv].[order_id]" caption="order_id" attribute="1" defaultMemberUniqueName="[messy_orders_csv].[order_id].[All]" allUniqueName="[messy_orders_csv].[order_id].[All]" dimensionUniqueName="[messy_orders_csv]" displayFolder="" count="0" memberValueDatatype="130" unbalanced="0"/>
    <cacheHierarchy uniqueName="[messy_orders_csv].[customer_id]" caption="customer_id" attribute="1" defaultMemberUniqueName="[messy_orders_csv].[customer_id].[All]" allUniqueName="[messy_orders_csv].[customer_id].[All]" dimensionUniqueName="[messy_orders_csv]" displayFolder="" count="0" memberValueDatatype="130" unbalanced="0"/>
    <cacheHierarchy uniqueName="[messy_orders_csv].[order_date]" caption="order_date" attribute="1" time="1" defaultMemberUniqueName="[messy_orders_csv].[order_date].[All]" allUniqueName="[messy_orders_csv].[order_date].[All]" dimensionUniqueName="[messy_orders_csv]" displayFolder="" count="0" memberValueDatatype="7" unbalanced="0"/>
    <cacheHierarchy uniqueName="[messy_orders_csv].[payment_method]" caption="payment_method" attribute="1" defaultMemberUniqueName="[messy_orders_csv].[payment_method].[All]" allUniqueName="[messy_orders_csv].[payment_method].[All]" dimensionUniqueName="[messy_orders_csv]" displayFolder="" count="2" memberValueDatatype="130" unbalanced="0"/>
    <cacheHierarchy uniqueName="[messy_orders_csv].[order_date (Year)]" caption="order_date (Year)" attribute="1" defaultMemberUniqueName="[messy_orders_csv].[order_date (Year)].[All]" allUniqueName="[messy_orders_csv].[order_date (Year)].[All]" dimensionUniqueName="[messy_orders_csv]" displayFolder="" count="2" memberValueDatatype="130" unbalanced="0"/>
    <cacheHierarchy uniqueName="[messy_orders_csv].[order_date (Quarter)]" caption="order_date (Quarter)" attribute="1" defaultMemberUniqueName="[messy_orders_csv].[order_date (Quarter)].[All]" allUniqueName="[messy_orders_csv].[order_date (Quarter)].[All]" dimensionUniqueName="[messy_orders_csv]" displayFolder="" count="0" memberValueDatatype="130" unbalanced="0"/>
    <cacheHierarchy uniqueName="[messy_orders_csv].[order_date (Month)]" caption="order_date (Month)" attribute="1" defaultMemberUniqueName="[messy_orders_csv].[order_date (Month)].[All]" allUniqueName="[messy_orders_csv].[order_date (Month)].[All]" dimensionUniqueName="[messy_orders_csv]" displayFolder="" count="0" memberValueDatatype="130" unbalanced="0"/>
    <cacheHierarchy uniqueName="[messy_products_csv].[product_id]" caption="product_id" attribute="1" defaultMemberUniqueName="[messy_products_csv].[product_id].[All]" allUniqueName="[messy_products_csv].[product_id].[All]" dimensionUniqueName="[messy_products_csv]" displayFolder="" count="0" memberValueDatatype="130" unbalanced="0"/>
    <cacheHierarchy uniqueName="[messy_products_csv].[product_name]" caption="product_name" attribute="1" defaultMemberUniqueName="[messy_products_csv].[product_name].[All]" allUniqueName="[messy_products_csv].[product_name].[All]" dimensionUniqueName="[messy_products_csv]" displayFolder="" count="0" memberValueDatatype="130" unbalanced="0"/>
    <cacheHierarchy uniqueName="[messy_products_csv].[category]" caption="category" attribute="1" defaultMemberUniqueName="[messy_products_csv].[category].[All]" allUniqueName="[messy_products_csv].[category].[All]" dimensionUniqueName="[messy_products_csv]" displayFolder="" count="2" memberValueDatatype="130" unbalanced="0">
      <fieldsUsage count="2">
        <fieldUsage x="-1"/>
        <fieldUsage x="1"/>
      </fieldsUsage>
    </cacheHierarchy>
    <cacheHierarchy uniqueName="[messy_products_csv].[base_price]" caption="base_price" attribute="1" defaultMemberUniqueName="[messy_products_csv].[base_price].[All]" allUniqueName="[messy_products_csv].[base_price].[All]" dimensionUniqueName="[messy_products_csv]" displayFolder="" count="0" memberValueDatatype="20" unbalanced="0"/>
    <cacheHierarchy uniqueName="[messy_customers_csv].[signup_date (Month Index)]" caption="signup_date (Month Index)" attribute="1" defaultMemberUniqueName="[messy_customers_csv].[signup_date (Month Index)].[All]" allUniqueName="[messy_customers_csv].[signup_date (Month Index)].[All]" dimensionUniqueName="[messy_customers_csv]" displayFolder="" count="0" memberValueDatatype="20" unbalanced="0" hidden="1"/>
    <cacheHierarchy uniqueName="[messy_orders_csv].[order_date (Month Index)]" caption="order_date (Month Index)" attribute="1" defaultMemberUniqueName="[messy_orders_csv].[order_date (Month Index)].[All]" allUniqueName="[messy_orders_csv].[order_date (Month Index)].[All]" dimensionUniqueName="[messy_orders_csv]" displayFolder="" count="0" memberValueDatatype="20" unbalanced="0" hidden="1"/>
    <cacheHierarchy uniqueName="[Measures].[__XL_Count messy_order_items_csv]" caption="__XL_Count messy_order_items_csv" measure="1" displayFolder="" measureGroup="messy_order_items_csv" count="0" hidden="1"/>
    <cacheHierarchy uniqueName="[Measures].[__XL_Count messy_orders_csv]" caption="__XL_Count messy_orders_csv" measure="1" displayFolder="" measureGroup="messy_orders_csv" count="0" hidden="1"/>
    <cacheHierarchy uniqueName="[Measures].[__XL_Count messy_products_csv]" caption="__XL_Count messy_products_csv" measure="1" displayFolder="" measureGroup="messy_products_csv" count="0" hidden="1"/>
    <cacheHierarchy uniqueName="[Measures].[__XL_Count messy_customers_csv]" caption="__XL_Count messy_customers_csv" measure="1" displayFolder="" measureGroup="messy_customers_csv" count="0" hidden="1"/>
    <cacheHierarchy uniqueName="[Measures].[__No measures defined]" caption="__No measures defined" measure="1" displayFolder="" count="0" hidden="1"/>
    <cacheHierarchy uniqueName="[Measures].[Count of order_id]" caption="Count of order_id" measure="1" displayFolder="" measureGroup="messy_orders_csv" count="0" oneField="1" hidden="1">
      <fieldsUsage count="1">
        <fieldUsage x="0"/>
      </fieldsUsage>
      <extLst>
        <ext xmlns:x15="http://schemas.microsoft.com/office/spreadsheetml/2010/11/main" uri="{B97F6D7D-B522-45F9-BDA1-12C45D357490}">
          <x15:cacheHierarchy aggregatedColumn="13"/>
        </ext>
      </extLst>
    </cacheHierarchy>
    <cacheHierarchy uniqueName="[Measures].[Sum of total_amount]" caption="Sum of total_amount" measure="1" displayFolder="" measureGroup="messy_order_items_csv" count="0" hidden="1">
      <extLst>
        <ext xmlns:x15="http://schemas.microsoft.com/office/spreadsheetml/2010/11/main" uri="{B97F6D7D-B522-45F9-BDA1-12C45D357490}">
          <x15:cacheHierarchy aggregatedColumn="12"/>
        </ext>
      </extLst>
    </cacheHierarchy>
    <cacheHierarchy uniqueName="[Measures].[Count of product_id]" caption="Count of product_id" measure="1" displayFolder="" measureGroup="messy_products_csv" count="0" hidden="1">
      <extLst>
        <ext xmlns:x15="http://schemas.microsoft.com/office/spreadsheetml/2010/11/main" uri="{B97F6D7D-B522-45F9-BDA1-12C45D357490}">
          <x15:cacheHierarchy aggregatedColumn="20"/>
        </ext>
      </extLst>
    </cacheHierarchy>
    <cacheHierarchy uniqueName="[Measures].[Count of customer_id]" caption="Count of customer_id" measure="1" displayFolder="" measureGroup="messy_customers_csv" count="0" hidden="1">
      <extLst>
        <ext xmlns:x15="http://schemas.microsoft.com/office/spreadsheetml/2010/11/main" uri="{B97F6D7D-B522-45F9-BDA1-12C45D357490}">
          <x15:cacheHierarchy aggregatedColumn="0"/>
        </ext>
      </extLst>
    </cacheHierarchy>
    <cacheHierarchy uniqueName="[Measures].[Count of product_name]" caption="Count of product_name" measure="1" displayFolder="" measureGroup="messy_products_csv" count="0" hidden="1">
      <extLst>
        <ext xmlns:x15="http://schemas.microsoft.com/office/spreadsheetml/2010/11/main" uri="{B97F6D7D-B522-45F9-BDA1-12C45D357490}">
          <x15:cacheHierarchy aggregatedColumn="21"/>
        </ext>
      </extLst>
    </cacheHierarchy>
    <cacheHierarchy uniqueName="[Measures].[Count of order_id 2]" caption="Count of order_id 2" measure="1" displayFolder="" measureGroup="messy_order_items_csv" count="0" hidden="1">
      <extLst>
        <ext xmlns:x15="http://schemas.microsoft.com/office/spreadsheetml/2010/11/main" uri="{B97F6D7D-B522-45F9-BDA1-12C45D357490}">
          <x15:cacheHierarchy aggregatedColumn="8"/>
        </ext>
      </extLst>
    </cacheHierarchy>
    <cacheHierarchy uniqueName="[Measures].[Sum of quantity]" caption="Sum of quantity" measure="1" displayFolder="" measureGroup="messy_order_items_csv" count="0" hidden="1">
      <extLst>
        <ext xmlns:x15="http://schemas.microsoft.com/office/spreadsheetml/2010/11/main" uri="{B97F6D7D-B522-45F9-BDA1-12C45D357490}">
          <x15:cacheHierarchy aggregatedColumn="10"/>
        </ext>
      </extLst>
    </cacheHierarchy>
  </cacheHierarchies>
  <kpis count="0"/>
  <dimensions count="5">
    <dimension measure="1" name="Measures" uniqueName="[Measures]" caption="Measures"/>
    <dimension name="messy_customers_csv" uniqueName="[messy_customers_csv]" caption="messy_customers_csv"/>
    <dimension name="messy_order_items_csv" uniqueName="[messy_order_items_csv]" caption="messy_order_items_csv"/>
    <dimension name="messy_orders_csv" uniqueName="[messy_orders_csv]" caption="messy_orders_csv"/>
    <dimension name="messy_products_csv" uniqueName="[messy_products_csv]" caption="messy_products_csv"/>
  </dimensions>
  <measureGroups count="4">
    <measureGroup name="messy_customers_csv" caption="messy_customers_csv"/>
    <measureGroup name="messy_order_items_csv" caption="messy_order_items_csv"/>
    <measureGroup name="messy_orders_csv" caption="messy_orders_csv"/>
    <measureGroup name="messy_products_csv" caption="messy_products_csv"/>
  </measureGroups>
  <maps count="8">
    <map measureGroup="0" dimension="1"/>
    <map measureGroup="1" dimension="1"/>
    <map measureGroup="1" dimension="2"/>
    <map measureGroup="1" dimension="3"/>
    <map measureGroup="1" dimension="4"/>
    <map measureGroup="2" dimension="1"/>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ish kumar" refreshedDate="46155.78186087963" backgroundQuery="1" createdVersion="8" refreshedVersion="8" minRefreshableVersion="3" recordCount="0" supportSubquery="1" supportAdvancedDrill="1" xr:uid="{FB22D5CF-7095-46D2-8DD6-D0D73D1B3FB7}">
  <cacheSource type="external" connectionId="6"/>
  <cacheFields count="3">
    <cacheField name="[messy_products_csv].[product_name].[product_name]" caption="product_name" numFmtId="0" hierarchy="21" level="1">
      <sharedItems count="7">
        <s v="Dell Inspiron"/>
        <s v="Laptop Bag"/>
        <s v="Samsung Tab"/>
        <s v="Wireless Mouse"/>
        <s v="Xiaomi Redmi"/>
        <s v="Lenovo IdeaPad" u="1"/>
        <s v="MacBook Air" u="1"/>
      </sharedItems>
    </cacheField>
    <cacheField name="[Measures].[Sum of quantity]" caption="Sum of quantity" numFmtId="0" hierarchy="37" level="32767"/>
    <cacheField name="[messy_products_csv].[category].[category]" caption="category" numFmtId="0" hierarchy="22" level="1">
      <sharedItems containsSemiMixedTypes="0" containsNonDate="0" containsString="0"/>
    </cacheField>
  </cacheFields>
  <cacheHierarchies count="38">
    <cacheHierarchy uniqueName="[messy_customers_csv].[customer_id]" caption="customer_id" attribute="1" defaultMemberUniqueName="[messy_customers_csv].[customer_id].[All]" allUniqueName="[messy_customers_csv].[customer_id].[All]" dimensionUniqueName="[messy_customers_csv]" displayFolder="" count="0" memberValueDatatype="130" unbalanced="0"/>
    <cacheHierarchy uniqueName="[messy_customers_csv].[customer_name]" caption="customer_name" attribute="1" defaultMemberUniqueName="[messy_customers_csv].[customer_name].[All]" allUniqueName="[messy_customers_csv].[customer_name].[All]" dimensionUniqueName="[messy_customers_csv]" displayFolder="" count="0" memberValueDatatype="130" unbalanced="0"/>
    <cacheHierarchy uniqueName="[messy_customers_csv].[city]" caption="city" attribute="1" defaultMemberUniqueName="[messy_customers_csv].[city].[All]" allUniqueName="[messy_customers_csv].[city].[All]" dimensionUniqueName="[messy_customers_csv]" displayFolder="" count="2" memberValueDatatype="130" unbalanced="0"/>
    <cacheHierarchy uniqueName="[messy_customers_csv].[signup_date]" caption="signup_date" attribute="1" time="1" defaultMemberUniqueName="[messy_customers_csv].[signup_date].[All]" allUniqueName="[messy_customers_csv].[signup_date].[All]" dimensionUniqueName="[messy_customers_csv]" displayFolder="" count="0" memberValueDatatype="7" unbalanced="0"/>
    <cacheHierarchy uniqueName="[messy_customers_csv].[signup_date (Year)]" caption="signup_date (Year)" attribute="1" defaultMemberUniqueName="[messy_customers_csv].[signup_date (Year)].[All]" allUniqueName="[messy_customers_csv].[signup_date (Year)].[All]" dimensionUniqueName="[messy_customers_csv]" displayFolder="" count="2" memberValueDatatype="130" unbalanced="0"/>
    <cacheHierarchy uniqueName="[messy_customers_csv].[signup_date (Quarter)]" caption="signup_date (Quarter)" attribute="1" defaultMemberUniqueName="[messy_customers_csv].[signup_date (Quarter)].[All]" allUniqueName="[messy_customers_csv].[signup_date (Quarter)].[All]" dimensionUniqueName="[messy_customers_csv]" displayFolder="" count="0" memberValueDatatype="130" unbalanced="0"/>
    <cacheHierarchy uniqueName="[messy_customers_csv].[signup_date (Month)]" caption="signup_date (Month)" attribute="1" defaultMemberUniqueName="[messy_customers_csv].[signup_date (Month)].[All]" allUniqueName="[messy_customers_csv].[signup_date (Month)].[All]" dimensionUniqueName="[messy_customers_csv]" displayFolder="" count="0" memberValueDatatype="130" unbalanced="0"/>
    <cacheHierarchy uniqueName="[messy_order_items_csv].[order_item_id]" caption="order_item_id" attribute="1" defaultMemberUniqueName="[messy_order_items_csv].[order_item_id].[All]" allUniqueName="[messy_order_items_csv].[order_item_id].[All]" dimensionUniqueName="[messy_order_items_csv]" displayFolder="" count="0" memberValueDatatype="20" unbalanced="0"/>
    <cacheHierarchy uniqueName="[messy_order_items_csv].[order_id]" caption="order_id" attribute="1" defaultMemberUniqueName="[messy_order_items_csv].[order_id].[All]" allUniqueName="[messy_order_items_csv].[order_id].[All]" dimensionUniqueName="[messy_order_items_csv]" displayFolder="" count="0" memberValueDatatype="130" unbalanced="0"/>
    <cacheHierarchy uniqueName="[messy_order_items_csv].[product_id]" caption="product_id" attribute="1" defaultMemberUniqueName="[messy_order_items_csv].[product_id].[All]" allUniqueName="[messy_order_items_csv].[product_id].[All]" dimensionUniqueName="[messy_order_items_csv]" displayFolder="" count="0" memberValueDatatype="130" unbalanced="0"/>
    <cacheHierarchy uniqueName="[messy_order_items_csv].[quantity]" caption="quantity" attribute="1" defaultMemberUniqueName="[messy_order_items_csv].[quantity].[All]" allUniqueName="[messy_order_items_csv].[quantity].[All]" dimensionUniqueName="[messy_order_items_csv]" displayFolder="" count="0" memberValueDatatype="20" unbalanced="0"/>
    <cacheHierarchy uniqueName="[messy_order_items_csv].[unit_price]" caption="unit_price" attribute="1" defaultMemberUniqueName="[messy_order_items_csv].[unit_price].[All]" allUniqueName="[messy_order_items_csv].[unit_price].[All]" dimensionUniqueName="[messy_order_items_csv]" displayFolder="" count="0" memberValueDatatype="20" unbalanced="0"/>
    <cacheHierarchy uniqueName="[messy_order_items_csv].[total_amount]" caption="total_amount" attribute="1" defaultMemberUniqueName="[messy_order_items_csv].[total_amount].[All]" allUniqueName="[messy_order_items_csv].[total_amount].[All]" dimensionUniqueName="[messy_order_items_csv]" displayFolder="" count="2" memberValueDatatype="20" unbalanced="0"/>
    <cacheHierarchy uniqueName="[messy_orders_csv].[order_id]" caption="order_id" attribute="1" defaultMemberUniqueName="[messy_orders_csv].[order_id].[All]" allUniqueName="[messy_orders_csv].[order_id].[All]" dimensionUniqueName="[messy_orders_csv]" displayFolder="" count="0" memberValueDatatype="130" unbalanced="0"/>
    <cacheHierarchy uniqueName="[messy_orders_csv].[customer_id]" caption="customer_id" attribute="1" defaultMemberUniqueName="[messy_orders_csv].[customer_id].[All]" allUniqueName="[messy_orders_csv].[customer_id].[All]" dimensionUniqueName="[messy_orders_csv]" displayFolder="" count="0" memberValueDatatype="130" unbalanced="0"/>
    <cacheHierarchy uniqueName="[messy_orders_csv].[order_date]" caption="order_date" attribute="1" time="1" defaultMemberUniqueName="[messy_orders_csv].[order_date].[All]" allUniqueName="[messy_orders_csv].[order_date].[All]" dimensionUniqueName="[messy_orders_csv]" displayFolder="" count="0" memberValueDatatype="7" unbalanced="0"/>
    <cacheHierarchy uniqueName="[messy_orders_csv].[payment_method]" caption="payment_method" attribute="1" defaultMemberUniqueName="[messy_orders_csv].[payment_method].[All]" allUniqueName="[messy_orders_csv].[payment_method].[All]" dimensionUniqueName="[messy_orders_csv]" displayFolder="" count="2" memberValueDatatype="130" unbalanced="0"/>
    <cacheHierarchy uniqueName="[messy_orders_csv].[order_date (Year)]" caption="order_date (Year)" attribute="1" defaultMemberUniqueName="[messy_orders_csv].[order_date (Year)].[All]" allUniqueName="[messy_orders_csv].[order_date (Year)].[All]" dimensionUniqueName="[messy_orders_csv]" displayFolder="" count="2" memberValueDatatype="130" unbalanced="0"/>
    <cacheHierarchy uniqueName="[messy_orders_csv].[order_date (Quarter)]" caption="order_date (Quarter)" attribute="1" defaultMemberUniqueName="[messy_orders_csv].[order_date (Quarter)].[All]" allUniqueName="[messy_orders_csv].[order_date (Quarter)].[All]" dimensionUniqueName="[messy_orders_csv]" displayFolder="" count="0" memberValueDatatype="130" unbalanced="0"/>
    <cacheHierarchy uniqueName="[messy_orders_csv].[order_date (Month)]" caption="order_date (Month)" attribute="1" defaultMemberUniqueName="[messy_orders_csv].[order_date (Month)].[All]" allUniqueName="[messy_orders_csv].[order_date (Month)].[All]" dimensionUniqueName="[messy_orders_csv]" displayFolder="" count="0" memberValueDatatype="130" unbalanced="0"/>
    <cacheHierarchy uniqueName="[messy_products_csv].[product_id]" caption="product_id" attribute="1" defaultMemberUniqueName="[messy_products_csv].[product_id].[All]" allUniqueName="[messy_products_csv].[product_id].[All]" dimensionUniqueName="[messy_products_csv]" displayFolder="" count="0" memberValueDatatype="130" unbalanced="0"/>
    <cacheHierarchy uniqueName="[messy_products_csv].[product_name]" caption="product_name" attribute="1" defaultMemberUniqueName="[messy_products_csv].[product_name].[All]" allUniqueName="[messy_products_csv].[product_name].[All]" dimensionUniqueName="[messy_products_csv]" displayFolder="" count="2" memberValueDatatype="130" unbalanced="0">
      <fieldsUsage count="2">
        <fieldUsage x="-1"/>
        <fieldUsage x="0"/>
      </fieldsUsage>
    </cacheHierarchy>
    <cacheHierarchy uniqueName="[messy_products_csv].[category]" caption="category" attribute="1" defaultMemberUniqueName="[messy_products_csv].[category].[All]" allUniqueName="[messy_products_csv].[category].[All]" dimensionUniqueName="[messy_products_csv]" displayFolder="" count="2" memberValueDatatype="130" unbalanced="0">
      <fieldsUsage count="2">
        <fieldUsage x="-1"/>
        <fieldUsage x="2"/>
      </fieldsUsage>
    </cacheHierarchy>
    <cacheHierarchy uniqueName="[messy_products_csv].[base_price]" caption="base_price" attribute="1" defaultMemberUniqueName="[messy_products_csv].[base_price].[All]" allUniqueName="[messy_products_csv].[base_price].[All]" dimensionUniqueName="[messy_products_csv]" displayFolder="" count="0" memberValueDatatype="20" unbalanced="0"/>
    <cacheHierarchy uniqueName="[messy_customers_csv].[signup_date (Month Index)]" caption="signup_date (Month Index)" attribute="1" defaultMemberUniqueName="[messy_customers_csv].[signup_date (Month Index)].[All]" allUniqueName="[messy_customers_csv].[signup_date (Month Index)].[All]" dimensionUniqueName="[messy_customers_csv]" displayFolder="" count="0" memberValueDatatype="20" unbalanced="0" hidden="1"/>
    <cacheHierarchy uniqueName="[messy_orders_csv].[order_date (Month Index)]" caption="order_date (Month Index)" attribute="1" defaultMemberUniqueName="[messy_orders_csv].[order_date (Month Index)].[All]" allUniqueName="[messy_orders_csv].[order_date (Month Index)].[All]" dimensionUniqueName="[messy_orders_csv]" displayFolder="" count="0" memberValueDatatype="20" unbalanced="0" hidden="1"/>
    <cacheHierarchy uniqueName="[Measures].[__XL_Count messy_order_items_csv]" caption="__XL_Count messy_order_items_csv" measure="1" displayFolder="" measureGroup="messy_order_items_csv" count="0" hidden="1"/>
    <cacheHierarchy uniqueName="[Measures].[__XL_Count messy_orders_csv]" caption="__XL_Count messy_orders_csv" measure="1" displayFolder="" measureGroup="messy_orders_csv" count="0" hidden="1"/>
    <cacheHierarchy uniqueName="[Measures].[__XL_Count messy_products_csv]" caption="__XL_Count messy_products_csv" measure="1" displayFolder="" measureGroup="messy_products_csv" count="0" hidden="1"/>
    <cacheHierarchy uniqueName="[Measures].[__XL_Count messy_customers_csv]" caption="__XL_Count messy_customers_csv" measure="1" displayFolder="" measureGroup="messy_customers_csv" count="0" hidden="1"/>
    <cacheHierarchy uniqueName="[Measures].[__No measures defined]" caption="__No measures defined" measure="1" displayFolder="" count="0" hidden="1"/>
    <cacheHierarchy uniqueName="[Measures].[Count of order_id]" caption="Count of order_id" measure="1" displayFolder="" measureGroup="messy_orders_csv" count="0" hidden="1">
      <extLst>
        <ext xmlns:x15="http://schemas.microsoft.com/office/spreadsheetml/2010/11/main" uri="{B97F6D7D-B522-45F9-BDA1-12C45D357490}">
          <x15:cacheHierarchy aggregatedColumn="13"/>
        </ext>
      </extLst>
    </cacheHierarchy>
    <cacheHierarchy uniqueName="[Measures].[Sum of total_amount]" caption="Sum of total_amount" measure="1" displayFolder="" measureGroup="messy_order_items_csv" count="0" hidden="1">
      <extLst>
        <ext xmlns:x15="http://schemas.microsoft.com/office/spreadsheetml/2010/11/main" uri="{B97F6D7D-B522-45F9-BDA1-12C45D357490}">
          <x15:cacheHierarchy aggregatedColumn="12"/>
        </ext>
      </extLst>
    </cacheHierarchy>
    <cacheHierarchy uniqueName="[Measures].[Count of product_id]" caption="Count of product_id" measure="1" displayFolder="" measureGroup="messy_products_csv" count="0" hidden="1">
      <extLst>
        <ext xmlns:x15="http://schemas.microsoft.com/office/spreadsheetml/2010/11/main" uri="{B97F6D7D-B522-45F9-BDA1-12C45D357490}">
          <x15:cacheHierarchy aggregatedColumn="20"/>
        </ext>
      </extLst>
    </cacheHierarchy>
    <cacheHierarchy uniqueName="[Measures].[Count of customer_id]" caption="Count of customer_id" measure="1" displayFolder="" measureGroup="messy_customers_csv" count="0" hidden="1">
      <extLst>
        <ext xmlns:x15="http://schemas.microsoft.com/office/spreadsheetml/2010/11/main" uri="{B97F6D7D-B522-45F9-BDA1-12C45D357490}">
          <x15:cacheHierarchy aggregatedColumn="0"/>
        </ext>
      </extLst>
    </cacheHierarchy>
    <cacheHierarchy uniqueName="[Measures].[Count of product_name]" caption="Count of product_name" measure="1" displayFolder="" measureGroup="messy_products_csv" count="0" hidden="1">
      <extLst>
        <ext xmlns:x15="http://schemas.microsoft.com/office/spreadsheetml/2010/11/main" uri="{B97F6D7D-B522-45F9-BDA1-12C45D357490}">
          <x15:cacheHierarchy aggregatedColumn="21"/>
        </ext>
      </extLst>
    </cacheHierarchy>
    <cacheHierarchy uniqueName="[Measures].[Count of order_id 2]" caption="Count of order_id 2" measure="1" displayFolder="" measureGroup="messy_order_items_csv" count="0" hidden="1">
      <extLst>
        <ext xmlns:x15="http://schemas.microsoft.com/office/spreadsheetml/2010/11/main" uri="{B97F6D7D-B522-45F9-BDA1-12C45D357490}">
          <x15:cacheHierarchy aggregatedColumn="8"/>
        </ext>
      </extLst>
    </cacheHierarchy>
    <cacheHierarchy uniqueName="[Measures].[Sum of quantity]" caption="Sum of quantity" measure="1" displayFolder="" measureGroup="messy_order_items_csv" count="0" oneField="1" hidden="1">
      <fieldsUsage count="1">
        <fieldUsage x="1"/>
      </fieldsUsage>
      <extLst>
        <ext xmlns:x15="http://schemas.microsoft.com/office/spreadsheetml/2010/11/main" uri="{B97F6D7D-B522-45F9-BDA1-12C45D357490}">
          <x15:cacheHierarchy aggregatedColumn="10"/>
        </ext>
      </extLst>
    </cacheHierarchy>
  </cacheHierarchies>
  <kpis count="0"/>
  <dimensions count="5">
    <dimension measure="1" name="Measures" uniqueName="[Measures]" caption="Measures"/>
    <dimension name="messy_customers_csv" uniqueName="[messy_customers_csv]" caption="messy_customers_csv"/>
    <dimension name="messy_order_items_csv" uniqueName="[messy_order_items_csv]" caption="messy_order_items_csv"/>
    <dimension name="messy_orders_csv" uniqueName="[messy_orders_csv]" caption="messy_orders_csv"/>
    <dimension name="messy_products_csv" uniqueName="[messy_products_csv]" caption="messy_products_csv"/>
  </dimensions>
  <measureGroups count="4">
    <measureGroup name="messy_customers_csv" caption="messy_customers_csv"/>
    <measureGroup name="messy_order_items_csv" caption="messy_order_items_csv"/>
    <measureGroup name="messy_orders_csv" caption="messy_orders_csv"/>
    <measureGroup name="messy_products_csv" caption="messy_products_csv"/>
  </measureGroups>
  <maps count="8">
    <map measureGroup="0" dimension="1"/>
    <map measureGroup="1" dimension="1"/>
    <map measureGroup="1" dimension="2"/>
    <map measureGroup="1" dimension="3"/>
    <map measureGroup="1" dimension="4"/>
    <map measureGroup="2" dimension="1"/>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ish kumar" refreshedDate="46155.781861574076" backgroundQuery="1" createdVersion="8" refreshedVersion="8" minRefreshableVersion="3" recordCount="0" supportSubquery="1" supportAdvancedDrill="1" xr:uid="{5794E933-86BC-4A94-890B-5C11B10FACFA}">
  <cacheSource type="external" connectionId="6"/>
  <cacheFields count="2">
    <cacheField name="[Measures].[Count of customer_id]" caption="Count of customer_id" numFmtId="0" hierarchy="34" level="32767"/>
    <cacheField name="[messy_products_csv].[category].[category]" caption="category" numFmtId="0" hierarchy="22" level="1">
      <sharedItems containsSemiMixedTypes="0" containsNonDate="0" containsString="0"/>
    </cacheField>
  </cacheFields>
  <cacheHierarchies count="38">
    <cacheHierarchy uniqueName="[messy_customers_csv].[customer_id]" caption="customer_id" attribute="1" defaultMemberUniqueName="[messy_customers_csv].[customer_id].[All]" allUniqueName="[messy_customers_csv].[customer_id].[All]" dimensionUniqueName="[messy_customers_csv]" displayFolder="" count="0" memberValueDatatype="130" unbalanced="0"/>
    <cacheHierarchy uniqueName="[messy_customers_csv].[customer_name]" caption="customer_name" attribute="1" defaultMemberUniqueName="[messy_customers_csv].[customer_name].[All]" allUniqueName="[messy_customers_csv].[customer_name].[All]" dimensionUniqueName="[messy_customers_csv]" displayFolder="" count="0" memberValueDatatype="130" unbalanced="0"/>
    <cacheHierarchy uniqueName="[messy_customers_csv].[city]" caption="city" attribute="1" defaultMemberUniqueName="[messy_customers_csv].[city].[All]" allUniqueName="[messy_customers_csv].[city].[All]" dimensionUniqueName="[messy_customers_csv]" displayFolder="" count="2" memberValueDatatype="130" unbalanced="0"/>
    <cacheHierarchy uniqueName="[messy_customers_csv].[signup_date]" caption="signup_date" attribute="1" time="1" defaultMemberUniqueName="[messy_customers_csv].[signup_date].[All]" allUniqueName="[messy_customers_csv].[signup_date].[All]" dimensionUniqueName="[messy_customers_csv]" displayFolder="" count="0" memberValueDatatype="7" unbalanced="0"/>
    <cacheHierarchy uniqueName="[messy_customers_csv].[signup_date (Year)]" caption="signup_date (Year)" attribute="1" defaultMemberUniqueName="[messy_customers_csv].[signup_date (Year)].[All]" allUniqueName="[messy_customers_csv].[signup_date (Year)].[All]" dimensionUniqueName="[messy_customers_csv]" displayFolder="" count="2" memberValueDatatype="130" unbalanced="0"/>
    <cacheHierarchy uniqueName="[messy_customers_csv].[signup_date (Quarter)]" caption="signup_date (Quarter)" attribute="1" defaultMemberUniqueName="[messy_customers_csv].[signup_date (Quarter)].[All]" allUniqueName="[messy_customers_csv].[signup_date (Quarter)].[All]" dimensionUniqueName="[messy_customers_csv]" displayFolder="" count="0" memberValueDatatype="130" unbalanced="0"/>
    <cacheHierarchy uniqueName="[messy_customers_csv].[signup_date (Month)]" caption="signup_date (Month)" attribute="1" defaultMemberUniqueName="[messy_customers_csv].[signup_date (Month)].[All]" allUniqueName="[messy_customers_csv].[signup_date (Month)].[All]" dimensionUniqueName="[messy_customers_csv]" displayFolder="" count="0" memberValueDatatype="130" unbalanced="0"/>
    <cacheHierarchy uniqueName="[messy_order_items_csv].[order_item_id]" caption="order_item_id" attribute="1" defaultMemberUniqueName="[messy_order_items_csv].[order_item_id].[All]" allUniqueName="[messy_order_items_csv].[order_item_id].[All]" dimensionUniqueName="[messy_order_items_csv]" displayFolder="" count="0" memberValueDatatype="20" unbalanced="0"/>
    <cacheHierarchy uniqueName="[messy_order_items_csv].[order_id]" caption="order_id" attribute="1" defaultMemberUniqueName="[messy_order_items_csv].[order_id].[All]" allUniqueName="[messy_order_items_csv].[order_id].[All]" dimensionUniqueName="[messy_order_items_csv]" displayFolder="" count="0" memberValueDatatype="130" unbalanced="0"/>
    <cacheHierarchy uniqueName="[messy_order_items_csv].[product_id]" caption="product_id" attribute="1" defaultMemberUniqueName="[messy_order_items_csv].[product_id].[All]" allUniqueName="[messy_order_items_csv].[product_id].[All]" dimensionUniqueName="[messy_order_items_csv]" displayFolder="" count="0" memberValueDatatype="130" unbalanced="0"/>
    <cacheHierarchy uniqueName="[messy_order_items_csv].[quantity]" caption="quantity" attribute="1" defaultMemberUniqueName="[messy_order_items_csv].[quantity].[All]" allUniqueName="[messy_order_items_csv].[quantity].[All]" dimensionUniqueName="[messy_order_items_csv]" displayFolder="" count="0" memberValueDatatype="20" unbalanced="0"/>
    <cacheHierarchy uniqueName="[messy_order_items_csv].[unit_price]" caption="unit_price" attribute="1" defaultMemberUniqueName="[messy_order_items_csv].[unit_price].[All]" allUniqueName="[messy_order_items_csv].[unit_price].[All]" dimensionUniqueName="[messy_order_items_csv]" displayFolder="" count="0" memberValueDatatype="20" unbalanced="0"/>
    <cacheHierarchy uniqueName="[messy_order_items_csv].[total_amount]" caption="total_amount" attribute="1" defaultMemberUniqueName="[messy_order_items_csv].[total_amount].[All]" allUniqueName="[messy_order_items_csv].[total_amount].[All]" dimensionUniqueName="[messy_order_items_csv]" displayFolder="" count="0" memberValueDatatype="20" unbalanced="0"/>
    <cacheHierarchy uniqueName="[messy_orders_csv].[order_id]" caption="order_id" attribute="1" defaultMemberUniqueName="[messy_orders_csv].[order_id].[All]" allUniqueName="[messy_orders_csv].[order_id].[All]" dimensionUniqueName="[messy_orders_csv]" displayFolder="" count="0" memberValueDatatype="130" unbalanced="0"/>
    <cacheHierarchy uniqueName="[messy_orders_csv].[customer_id]" caption="customer_id" attribute="1" defaultMemberUniqueName="[messy_orders_csv].[customer_id].[All]" allUniqueName="[messy_orders_csv].[customer_id].[All]" dimensionUniqueName="[messy_orders_csv]" displayFolder="" count="0" memberValueDatatype="130" unbalanced="0"/>
    <cacheHierarchy uniqueName="[messy_orders_csv].[order_date]" caption="order_date" attribute="1" time="1" defaultMemberUniqueName="[messy_orders_csv].[order_date].[All]" allUniqueName="[messy_orders_csv].[order_date].[All]" dimensionUniqueName="[messy_orders_csv]" displayFolder="" count="0" memberValueDatatype="7" unbalanced="0"/>
    <cacheHierarchy uniqueName="[messy_orders_csv].[payment_method]" caption="payment_method" attribute="1" defaultMemberUniqueName="[messy_orders_csv].[payment_method].[All]" allUniqueName="[messy_orders_csv].[payment_method].[All]" dimensionUniqueName="[messy_orders_csv]" displayFolder="" count="2" memberValueDatatype="130" unbalanced="0"/>
    <cacheHierarchy uniqueName="[messy_orders_csv].[order_date (Year)]" caption="order_date (Year)" attribute="1" defaultMemberUniqueName="[messy_orders_csv].[order_date (Year)].[All]" allUniqueName="[messy_orders_csv].[order_date (Year)].[All]" dimensionUniqueName="[messy_orders_csv]" displayFolder="" count="2" memberValueDatatype="130" unbalanced="0"/>
    <cacheHierarchy uniqueName="[messy_orders_csv].[order_date (Quarter)]" caption="order_date (Quarter)" attribute="1" defaultMemberUniqueName="[messy_orders_csv].[order_date (Quarter)].[All]" allUniqueName="[messy_orders_csv].[order_date (Quarter)].[All]" dimensionUniqueName="[messy_orders_csv]" displayFolder="" count="0" memberValueDatatype="130" unbalanced="0"/>
    <cacheHierarchy uniqueName="[messy_orders_csv].[order_date (Month)]" caption="order_date (Month)" attribute="1" defaultMemberUniqueName="[messy_orders_csv].[order_date (Month)].[All]" allUniqueName="[messy_orders_csv].[order_date (Month)].[All]" dimensionUniqueName="[messy_orders_csv]" displayFolder="" count="0" memberValueDatatype="130" unbalanced="0"/>
    <cacheHierarchy uniqueName="[messy_products_csv].[product_id]" caption="product_id" attribute="1" defaultMemberUniqueName="[messy_products_csv].[product_id].[All]" allUniqueName="[messy_products_csv].[product_id].[All]" dimensionUniqueName="[messy_products_csv]" displayFolder="" count="0" memberValueDatatype="130" unbalanced="0"/>
    <cacheHierarchy uniqueName="[messy_products_csv].[product_name]" caption="product_name" attribute="1" defaultMemberUniqueName="[messy_products_csv].[product_name].[All]" allUniqueName="[messy_products_csv].[product_name].[All]" dimensionUniqueName="[messy_products_csv]" displayFolder="" count="0" memberValueDatatype="130" unbalanced="0"/>
    <cacheHierarchy uniqueName="[messy_products_csv].[category]" caption="category" attribute="1" defaultMemberUniqueName="[messy_products_csv].[category].[All]" allUniqueName="[messy_products_csv].[category].[All]" dimensionUniqueName="[messy_products_csv]" displayFolder="" count="2" memberValueDatatype="130" unbalanced="0">
      <fieldsUsage count="2">
        <fieldUsage x="-1"/>
        <fieldUsage x="1"/>
      </fieldsUsage>
    </cacheHierarchy>
    <cacheHierarchy uniqueName="[messy_products_csv].[base_price]" caption="base_price" attribute="1" defaultMemberUniqueName="[messy_products_csv].[base_price].[All]" allUniqueName="[messy_products_csv].[base_price].[All]" dimensionUniqueName="[messy_products_csv]" displayFolder="" count="0" memberValueDatatype="20" unbalanced="0"/>
    <cacheHierarchy uniqueName="[messy_customers_csv].[signup_date (Month Index)]" caption="signup_date (Month Index)" attribute="1" defaultMemberUniqueName="[messy_customers_csv].[signup_date (Month Index)].[All]" allUniqueName="[messy_customers_csv].[signup_date (Month Index)].[All]" dimensionUniqueName="[messy_customers_csv]" displayFolder="" count="0" memberValueDatatype="20" unbalanced="0" hidden="1"/>
    <cacheHierarchy uniqueName="[messy_orders_csv].[order_date (Month Index)]" caption="order_date (Month Index)" attribute="1" defaultMemberUniqueName="[messy_orders_csv].[order_date (Month Index)].[All]" allUniqueName="[messy_orders_csv].[order_date (Month Index)].[All]" dimensionUniqueName="[messy_orders_csv]" displayFolder="" count="0" memberValueDatatype="20" unbalanced="0" hidden="1"/>
    <cacheHierarchy uniqueName="[Measures].[__XL_Count messy_order_items_csv]" caption="__XL_Count messy_order_items_csv" measure="1" displayFolder="" measureGroup="messy_order_items_csv" count="0" hidden="1"/>
    <cacheHierarchy uniqueName="[Measures].[__XL_Count messy_orders_csv]" caption="__XL_Count messy_orders_csv" measure="1" displayFolder="" measureGroup="messy_orders_csv" count="0" hidden="1"/>
    <cacheHierarchy uniqueName="[Measures].[__XL_Count messy_products_csv]" caption="__XL_Count messy_products_csv" measure="1" displayFolder="" measureGroup="messy_products_csv" count="0" hidden="1"/>
    <cacheHierarchy uniqueName="[Measures].[__XL_Count messy_customers_csv]" caption="__XL_Count messy_customers_csv" measure="1" displayFolder="" measureGroup="messy_customers_csv" count="0" hidden="1"/>
    <cacheHierarchy uniqueName="[Measures].[__No measures defined]" caption="__No measures defined" measure="1" displayFolder="" count="0" hidden="1"/>
    <cacheHierarchy uniqueName="[Measures].[Count of order_id]" caption="Count of order_id" measure="1" displayFolder="" measureGroup="messy_orders_csv" count="0" hidden="1">
      <extLst>
        <ext xmlns:x15="http://schemas.microsoft.com/office/spreadsheetml/2010/11/main" uri="{B97F6D7D-B522-45F9-BDA1-12C45D357490}">
          <x15:cacheHierarchy aggregatedColumn="13"/>
        </ext>
      </extLst>
    </cacheHierarchy>
    <cacheHierarchy uniqueName="[Measures].[Sum of total_amount]" caption="Sum of total_amount" measure="1" displayFolder="" measureGroup="messy_order_items_csv" count="0" hidden="1">
      <extLst>
        <ext xmlns:x15="http://schemas.microsoft.com/office/spreadsheetml/2010/11/main" uri="{B97F6D7D-B522-45F9-BDA1-12C45D357490}">
          <x15:cacheHierarchy aggregatedColumn="12"/>
        </ext>
      </extLst>
    </cacheHierarchy>
    <cacheHierarchy uniqueName="[Measures].[Count of product_id]" caption="Count of product_id" measure="1" displayFolder="" measureGroup="messy_products_csv" count="0" hidden="1">
      <extLst>
        <ext xmlns:x15="http://schemas.microsoft.com/office/spreadsheetml/2010/11/main" uri="{B97F6D7D-B522-45F9-BDA1-12C45D357490}">
          <x15:cacheHierarchy aggregatedColumn="20"/>
        </ext>
      </extLst>
    </cacheHierarchy>
    <cacheHierarchy uniqueName="[Measures].[Count of customer_id]" caption="Count of customer_id" measure="1" displayFolder="" measureGroup="messy_customers_csv"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product_name]" caption="Count of product_name" measure="1" displayFolder="" measureGroup="messy_products_csv" count="0" hidden="1">
      <extLst>
        <ext xmlns:x15="http://schemas.microsoft.com/office/spreadsheetml/2010/11/main" uri="{B97F6D7D-B522-45F9-BDA1-12C45D357490}">
          <x15:cacheHierarchy aggregatedColumn="21"/>
        </ext>
      </extLst>
    </cacheHierarchy>
    <cacheHierarchy uniqueName="[Measures].[Count of order_id 2]" caption="Count of order_id 2" measure="1" displayFolder="" measureGroup="messy_order_items_csv" count="0" hidden="1">
      <extLst>
        <ext xmlns:x15="http://schemas.microsoft.com/office/spreadsheetml/2010/11/main" uri="{B97F6D7D-B522-45F9-BDA1-12C45D357490}">
          <x15:cacheHierarchy aggregatedColumn="8"/>
        </ext>
      </extLst>
    </cacheHierarchy>
    <cacheHierarchy uniqueName="[Measures].[Sum of quantity]" caption="Sum of quantity" measure="1" displayFolder="" measureGroup="messy_order_items_csv" count="0" hidden="1">
      <extLst>
        <ext xmlns:x15="http://schemas.microsoft.com/office/spreadsheetml/2010/11/main" uri="{B97F6D7D-B522-45F9-BDA1-12C45D357490}">
          <x15:cacheHierarchy aggregatedColumn="10"/>
        </ext>
      </extLst>
    </cacheHierarchy>
  </cacheHierarchies>
  <kpis count="0"/>
  <dimensions count="5">
    <dimension measure="1" name="Measures" uniqueName="[Measures]" caption="Measures"/>
    <dimension name="messy_customers_csv" uniqueName="[messy_customers_csv]" caption="messy_customers_csv"/>
    <dimension name="messy_order_items_csv" uniqueName="[messy_order_items_csv]" caption="messy_order_items_csv"/>
    <dimension name="messy_orders_csv" uniqueName="[messy_orders_csv]" caption="messy_orders_csv"/>
    <dimension name="messy_products_csv" uniqueName="[messy_products_csv]" caption="messy_products_csv"/>
  </dimensions>
  <measureGroups count="4">
    <measureGroup name="messy_customers_csv" caption="messy_customers_csv"/>
    <measureGroup name="messy_order_items_csv" caption="messy_order_items_csv"/>
    <measureGroup name="messy_orders_csv" caption="messy_orders_csv"/>
    <measureGroup name="messy_products_csv" caption="messy_products_csv"/>
  </measureGroups>
  <maps count="8">
    <map measureGroup="0" dimension="1"/>
    <map measureGroup="1" dimension="1"/>
    <map measureGroup="1" dimension="2"/>
    <map measureGroup="1" dimension="3"/>
    <map measureGroup="1" dimension="4"/>
    <map measureGroup="2" dimension="1"/>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ish kumar" refreshedDate="46155.7818625" backgroundQuery="1" createdVersion="8" refreshedVersion="8" minRefreshableVersion="3" recordCount="0" supportSubquery="1" supportAdvancedDrill="1" xr:uid="{8419B1A4-AEF3-47FC-9481-136F15BEE67E}">
  <cacheSource type="external" connectionId="6"/>
  <cacheFields count="3">
    <cacheField name="[messy_products_csv].[product_name].[product_name]" caption="product_name" numFmtId="0" hierarchy="21" level="1">
      <sharedItems count="5">
        <s v="Dell Inspiron"/>
        <s v="Laptop Bag"/>
        <s v="Samsung Tab"/>
        <s v="Wireless Mouse"/>
        <s v="Xiaomi Redmi"/>
      </sharedItems>
    </cacheField>
    <cacheField name="[Measures].[Sum of total_amount]" caption="Sum of total_amount" numFmtId="0" hierarchy="32" level="32767"/>
    <cacheField name="[messy_products_csv].[category].[category]" caption="category" numFmtId="0" hierarchy="22" level="1">
      <sharedItems containsSemiMixedTypes="0" containsNonDate="0" containsString="0"/>
    </cacheField>
  </cacheFields>
  <cacheHierarchies count="38">
    <cacheHierarchy uniqueName="[messy_customers_csv].[customer_id]" caption="customer_id" attribute="1" defaultMemberUniqueName="[messy_customers_csv].[customer_id].[All]" allUniqueName="[messy_customers_csv].[customer_id].[All]" dimensionUniqueName="[messy_customers_csv]" displayFolder="" count="0" memberValueDatatype="130" unbalanced="0"/>
    <cacheHierarchy uniqueName="[messy_customers_csv].[customer_name]" caption="customer_name" attribute="1" defaultMemberUniqueName="[messy_customers_csv].[customer_name].[All]" allUniqueName="[messy_customers_csv].[customer_name].[All]" dimensionUniqueName="[messy_customers_csv]" displayFolder="" count="0" memberValueDatatype="130" unbalanced="0"/>
    <cacheHierarchy uniqueName="[messy_customers_csv].[city]" caption="city" attribute="1" defaultMemberUniqueName="[messy_customers_csv].[city].[All]" allUniqueName="[messy_customers_csv].[city].[All]" dimensionUniqueName="[messy_customers_csv]" displayFolder="" count="2" memberValueDatatype="130" unbalanced="0"/>
    <cacheHierarchy uniqueName="[messy_customers_csv].[signup_date]" caption="signup_date" attribute="1" time="1" defaultMemberUniqueName="[messy_customers_csv].[signup_date].[All]" allUniqueName="[messy_customers_csv].[signup_date].[All]" dimensionUniqueName="[messy_customers_csv]" displayFolder="" count="0" memberValueDatatype="7" unbalanced="0"/>
    <cacheHierarchy uniqueName="[messy_customers_csv].[signup_date (Year)]" caption="signup_date (Year)" attribute="1" defaultMemberUniqueName="[messy_customers_csv].[signup_date (Year)].[All]" allUniqueName="[messy_customers_csv].[signup_date (Year)].[All]" dimensionUniqueName="[messy_customers_csv]" displayFolder="" count="2" memberValueDatatype="130" unbalanced="0"/>
    <cacheHierarchy uniqueName="[messy_customers_csv].[signup_date (Quarter)]" caption="signup_date (Quarter)" attribute="1" defaultMemberUniqueName="[messy_customers_csv].[signup_date (Quarter)].[All]" allUniqueName="[messy_customers_csv].[signup_date (Quarter)].[All]" dimensionUniqueName="[messy_customers_csv]" displayFolder="" count="0" memberValueDatatype="130" unbalanced="0"/>
    <cacheHierarchy uniqueName="[messy_customers_csv].[signup_date (Month)]" caption="signup_date (Month)" attribute="1" defaultMemberUniqueName="[messy_customers_csv].[signup_date (Month)].[All]" allUniqueName="[messy_customers_csv].[signup_date (Month)].[All]" dimensionUniqueName="[messy_customers_csv]" displayFolder="" count="0" memberValueDatatype="130" unbalanced="0"/>
    <cacheHierarchy uniqueName="[messy_order_items_csv].[order_item_id]" caption="order_item_id" attribute="1" defaultMemberUniqueName="[messy_order_items_csv].[order_item_id].[All]" allUniqueName="[messy_order_items_csv].[order_item_id].[All]" dimensionUniqueName="[messy_order_items_csv]" displayFolder="" count="0" memberValueDatatype="20" unbalanced="0"/>
    <cacheHierarchy uniqueName="[messy_order_items_csv].[order_id]" caption="order_id" attribute="1" defaultMemberUniqueName="[messy_order_items_csv].[order_id].[All]" allUniqueName="[messy_order_items_csv].[order_id].[All]" dimensionUniqueName="[messy_order_items_csv]" displayFolder="" count="0" memberValueDatatype="130" unbalanced="0"/>
    <cacheHierarchy uniqueName="[messy_order_items_csv].[product_id]" caption="product_id" attribute="1" defaultMemberUniqueName="[messy_order_items_csv].[product_id].[All]" allUniqueName="[messy_order_items_csv].[product_id].[All]" dimensionUniqueName="[messy_order_items_csv]" displayFolder="" count="0" memberValueDatatype="130" unbalanced="0"/>
    <cacheHierarchy uniqueName="[messy_order_items_csv].[quantity]" caption="quantity" attribute="1" defaultMemberUniqueName="[messy_order_items_csv].[quantity].[All]" allUniqueName="[messy_order_items_csv].[quantity].[All]" dimensionUniqueName="[messy_order_items_csv]" displayFolder="" count="0" memberValueDatatype="20" unbalanced="0"/>
    <cacheHierarchy uniqueName="[messy_order_items_csv].[unit_price]" caption="unit_price" attribute="1" defaultMemberUniqueName="[messy_order_items_csv].[unit_price].[All]" allUniqueName="[messy_order_items_csv].[unit_price].[All]" dimensionUniqueName="[messy_order_items_csv]" displayFolder="" count="0" memberValueDatatype="20" unbalanced="0"/>
    <cacheHierarchy uniqueName="[messy_order_items_csv].[total_amount]" caption="total_amount" attribute="1" defaultMemberUniqueName="[messy_order_items_csv].[total_amount].[All]" allUniqueName="[messy_order_items_csv].[total_amount].[All]" dimensionUniqueName="[messy_order_items_csv]" displayFolder="" count="0" memberValueDatatype="20" unbalanced="0"/>
    <cacheHierarchy uniqueName="[messy_orders_csv].[order_id]" caption="order_id" attribute="1" defaultMemberUniqueName="[messy_orders_csv].[order_id].[All]" allUniqueName="[messy_orders_csv].[order_id].[All]" dimensionUniqueName="[messy_orders_csv]" displayFolder="" count="0" memberValueDatatype="130" unbalanced="0"/>
    <cacheHierarchy uniqueName="[messy_orders_csv].[customer_id]" caption="customer_id" attribute="1" defaultMemberUniqueName="[messy_orders_csv].[customer_id].[All]" allUniqueName="[messy_orders_csv].[customer_id].[All]" dimensionUniqueName="[messy_orders_csv]" displayFolder="" count="0" memberValueDatatype="130" unbalanced="0"/>
    <cacheHierarchy uniqueName="[messy_orders_csv].[order_date]" caption="order_date" attribute="1" time="1" defaultMemberUniqueName="[messy_orders_csv].[order_date].[All]" allUniqueName="[messy_orders_csv].[order_date].[All]" dimensionUniqueName="[messy_orders_csv]" displayFolder="" count="0" memberValueDatatype="7" unbalanced="0"/>
    <cacheHierarchy uniqueName="[messy_orders_csv].[payment_method]" caption="payment_method" attribute="1" defaultMemberUniqueName="[messy_orders_csv].[payment_method].[All]" allUniqueName="[messy_orders_csv].[payment_method].[All]" dimensionUniqueName="[messy_orders_csv]" displayFolder="" count="2" memberValueDatatype="130" unbalanced="0"/>
    <cacheHierarchy uniqueName="[messy_orders_csv].[order_date (Year)]" caption="order_date (Year)" attribute="1" defaultMemberUniqueName="[messy_orders_csv].[order_date (Year)].[All]" allUniqueName="[messy_orders_csv].[order_date (Year)].[All]" dimensionUniqueName="[messy_orders_csv]" displayFolder="" count="2" memberValueDatatype="130" unbalanced="0"/>
    <cacheHierarchy uniqueName="[messy_orders_csv].[order_date (Quarter)]" caption="order_date (Quarter)" attribute="1" defaultMemberUniqueName="[messy_orders_csv].[order_date (Quarter)].[All]" allUniqueName="[messy_orders_csv].[order_date (Quarter)].[All]" dimensionUniqueName="[messy_orders_csv]" displayFolder="" count="0" memberValueDatatype="130" unbalanced="0"/>
    <cacheHierarchy uniqueName="[messy_orders_csv].[order_date (Month)]" caption="order_date (Month)" attribute="1" defaultMemberUniqueName="[messy_orders_csv].[order_date (Month)].[All]" allUniqueName="[messy_orders_csv].[order_date (Month)].[All]" dimensionUniqueName="[messy_orders_csv]" displayFolder="" count="0" memberValueDatatype="130" unbalanced="0"/>
    <cacheHierarchy uniqueName="[messy_products_csv].[product_id]" caption="product_id" attribute="1" defaultMemberUniqueName="[messy_products_csv].[product_id].[All]" allUniqueName="[messy_products_csv].[product_id].[All]" dimensionUniqueName="[messy_products_csv]" displayFolder="" count="0" memberValueDatatype="130" unbalanced="0"/>
    <cacheHierarchy uniqueName="[messy_products_csv].[product_name]" caption="product_name" attribute="1" defaultMemberUniqueName="[messy_products_csv].[product_name].[All]" allUniqueName="[messy_products_csv].[product_name].[All]" dimensionUniqueName="[messy_products_csv]" displayFolder="" count="2" memberValueDatatype="130" unbalanced="0">
      <fieldsUsage count="2">
        <fieldUsage x="-1"/>
        <fieldUsage x="0"/>
      </fieldsUsage>
    </cacheHierarchy>
    <cacheHierarchy uniqueName="[messy_products_csv].[category]" caption="category" attribute="1" defaultMemberUniqueName="[messy_products_csv].[category].[All]" allUniqueName="[messy_products_csv].[category].[All]" dimensionUniqueName="[messy_products_csv]" displayFolder="" count="2" memberValueDatatype="130" unbalanced="0">
      <fieldsUsage count="2">
        <fieldUsage x="-1"/>
        <fieldUsage x="2"/>
      </fieldsUsage>
    </cacheHierarchy>
    <cacheHierarchy uniqueName="[messy_products_csv].[base_price]" caption="base_price" attribute="1" defaultMemberUniqueName="[messy_products_csv].[base_price].[All]" allUniqueName="[messy_products_csv].[base_price].[All]" dimensionUniqueName="[messy_products_csv]" displayFolder="" count="0" memberValueDatatype="20" unbalanced="0"/>
    <cacheHierarchy uniqueName="[messy_customers_csv].[signup_date (Month Index)]" caption="signup_date (Month Index)" attribute="1" defaultMemberUniqueName="[messy_customers_csv].[signup_date (Month Index)].[All]" allUniqueName="[messy_customers_csv].[signup_date (Month Index)].[All]" dimensionUniqueName="[messy_customers_csv]" displayFolder="" count="0" memberValueDatatype="20" unbalanced="0" hidden="1"/>
    <cacheHierarchy uniqueName="[messy_orders_csv].[order_date (Month Index)]" caption="order_date (Month Index)" attribute="1" defaultMemberUniqueName="[messy_orders_csv].[order_date (Month Index)].[All]" allUniqueName="[messy_orders_csv].[order_date (Month Index)].[All]" dimensionUniqueName="[messy_orders_csv]" displayFolder="" count="0" memberValueDatatype="20" unbalanced="0" hidden="1"/>
    <cacheHierarchy uniqueName="[Measures].[__XL_Count messy_order_items_csv]" caption="__XL_Count messy_order_items_csv" measure="1" displayFolder="" measureGroup="messy_order_items_csv" count="0" hidden="1"/>
    <cacheHierarchy uniqueName="[Measures].[__XL_Count messy_orders_csv]" caption="__XL_Count messy_orders_csv" measure="1" displayFolder="" measureGroup="messy_orders_csv" count="0" hidden="1"/>
    <cacheHierarchy uniqueName="[Measures].[__XL_Count messy_products_csv]" caption="__XL_Count messy_products_csv" measure="1" displayFolder="" measureGroup="messy_products_csv" count="0" hidden="1"/>
    <cacheHierarchy uniqueName="[Measures].[__XL_Count messy_customers_csv]" caption="__XL_Count messy_customers_csv" measure="1" displayFolder="" measureGroup="messy_customers_csv" count="0" hidden="1"/>
    <cacheHierarchy uniqueName="[Measures].[__No measures defined]" caption="__No measures defined" measure="1" displayFolder="" count="0" hidden="1"/>
    <cacheHierarchy uniqueName="[Measures].[Count of order_id]" caption="Count of order_id" measure="1" displayFolder="" measureGroup="messy_orders_csv" count="0" hidden="1">
      <extLst>
        <ext xmlns:x15="http://schemas.microsoft.com/office/spreadsheetml/2010/11/main" uri="{B97F6D7D-B522-45F9-BDA1-12C45D357490}">
          <x15:cacheHierarchy aggregatedColumn="13"/>
        </ext>
      </extLst>
    </cacheHierarchy>
    <cacheHierarchy uniqueName="[Measures].[Sum of total_amount]" caption="Sum of total_amount" measure="1" displayFolder="" measureGroup="messy_order_items_csv" count="0" oneField="1" hidden="1">
      <fieldsUsage count="1">
        <fieldUsage x="1"/>
      </fieldsUsage>
      <extLst>
        <ext xmlns:x15="http://schemas.microsoft.com/office/spreadsheetml/2010/11/main" uri="{B97F6D7D-B522-45F9-BDA1-12C45D357490}">
          <x15:cacheHierarchy aggregatedColumn="12"/>
        </ext>
      </extLst>
    </cacheHierarchy>
    <cacheHierarchy uniqueName="[Measures].[Count of product_id]" caption="Count of product_id" measure="1" displayFolder="" measureGroup="messy_products_csv" count="0" hidden="1">
      <extLst>
        <ext xmlns:x15="http://schemas.microsoft.com/office/spreadsheetml/2010/11/main" uri="{B97F6D7D-B522-45F9-BDA1-12C45D357490}">
          <x15:cacheHierarchy aggregatedColumn="20"/>
        </ext>
      </extLst>
    </cacheHierarchy>
    <cacheHierarchy uniqueName="[Measures].[Count of customer_id]" caption="Count of customer_id" measure="1" displayFolder="" measureGroup="messy_customers_csv" count="0" hidden="1">
      <extLst>
        <ext xmlns:x15="http://schemas.microsoft.com/office/spreadsheetml/2010/11/main" uri="{B97F6D7D-B522-45F9-BDA1-12C45D357490}">
          <x15:cacheHierarchy aggregatedColumn="0"/>
        </ext>
      </extLst>
    </cacheHierarchy>
    <cacheHierarchy uniqueName="[Measures].[Count of product_name]" caption="Count of product_name" measure="1" displayFolder="" measureGroup="messy_products_csv" count="0" hidden="1">
      <extLst>
        <ext xmlns:x15="http://schemas.microsoft.com/office/spreadsheetml/2010/11/main" uri="{B97F6D7D-B522-45F9-BDA1-12C45D357490}">
          <x15:cacheHierarchy aggregatedColumn="21"/>
        </ext>
      </extLst>
    </cacheHierarchy>
    <cacheHierarchy uniqueName="[Measures].[Count of order_id 2]" caption="Count of order_id 2" measure="1" displayFolder="" measureGroup="messy_order_items_csv" count="0" hidden="1">
      <extLst>
        <ext xmlns:x15="http://schemas.microsoft.com/office/spreadsheetml/2010/11/main" uri="{B97F6D7D-B522-45F9-BDA1-12C45D357490}">
          <x15:cacheHierarchy aggregatedColumn="8"/>
        </ext>
      </extLst>
    </cacheHierarchy>
    <cacheHierarchy uniqueName="[Measures].[Sum of quantity]" caption="Sum of quantity" measure="1" displayFolder="" measureGroup="messy_order_items_csv" count="0" hidden="1">
      <extLst>
        <ext xmlns:x15="http://schemas.microsoft.com/office/spreadsheetml/2010/11/main" uri="{B97F6D7D-B522-45F9-BDA1-12C45D357490}">
          <x15:cacheHierarchy aggregatedColumn="10"/>
        </ext>
      </extLst>
    </cacheHierarchy>
  </cacheHierarchies>
  <kpis count="0"/>
  <dimensions count="5">
    <dimension measure="1" name="Measures" uniqueName="[Measures]" caption="Measures"/>
    <dimension name="messy_customers_csv" uniqueName="[messy_customers_csv]" caption="messy_customers_csv"/>
    <dimension name="messy_order_items_csv" uniqueName="[messy_order_items_csv]" caption="messy_order_items_csv"/>
    <dimension name="messy_orders_csv" uniqueName="[messy_orders_csv]" caption="messy_orders_csv"/>
    <dimension name="messy_products_csv" uniqueName="[messy_products_csv]" caption="messy_products_csv"/>
  </dimensions>
  <measureGroups count="4">
    <measureGroup name="messy_customers_csv" caption="messy_customers_csv"/>
    <measureGroup name="messy_order_items_csv" caption="messy_order_items_csv"/>
    <measureGroup name="messy_orders_csv" caption="messy_orders_csv"/>
    <measureGroup name="messy_products_csv" caption="messy_products_csv"/>
  </measureGroups>
  <maps count="8">
    <map measureGroup="0" dimension="1"/>
    <map measureGroup="1" dimension="1"/>
    <map measureGroup="1" dimension="2"/>
    <map measureGroup="1" dimension="3"/>
    <map measureGroup="1" dimension="4"/>
    <map measureGroup="2" dimension="1"/>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ish kumar" refreshedDate="46155.78186354167" backgroundQuery="1" createdVersion="8" refreshedVersion="8" minRefreshableVersion="3" recordCount="0" supportSubquery="1" supportAdvancedDrill="1" xr:uid="{C9424E58-E1E9-4987-9F33-205A5D2C077B}">
  <cacheSource type="external" connectionId="6"/>
  <cacheFields count="2">
    <cacheField name="[messy_products_csv].[category].[category]" caption="category" numFmtId="0" hierarchy="22" level="1">
      <sharedItems count="4">
        <s v="Accessory"/>
        <s v="Laptop"/>
        <s v="Smart Phone"/>
        <s v="Tablet"/>
      </sharedItems>
    </cacheField>
    <cacheField name="[Measures].[Sum of total_amount]" caption="Sum of total_amount" numFmtId="0" hierarchy="32" level="32767"/>
  </cacheFields>
  <cacheHierarchies count="38">
    <cacheHierarchy uniqueName="[messy_customers_csv].[customer_id]" caption="customer_id" attribute="1" defaultMemberUniqueName="[messy_customers_csv].[customer_id].[All]" allUniqueName="[messy_customers_csv].[customer_id].[All]" dimensionUniqueName="[messy_customers_csv]" displayFolder="" count="0" memberValueDatatype="130" unbalanced="0"/>
    <cacheHierarchy uniqueName="[messy_customers_csv].[customer_name]" caption="customer_name" attribute="1" defaultMemberUniqueName="[messy_customers_csv].[customer_name].[All]" allUniqueName="[messy_customers_csv].[customer_name].[All]" dimensionUniqueName="[messy_customers_csv]" displayFolder="" count="0" memberValueDatatype="130" unbalanced="0"/>
    <cacheHierarchy uniqueName="[messy_customers_csv].[city]" caption="city" attribute="1" defaultMemberUniqueName="[messy_customers_csv].[city].[All]" allUniqueName="[messy_customers_csv].[city].[All]" dimensionUniqueName="[messy_customers_csv]" displayFolder="" count="2" memberValueDatatype="130" unbalanced="0"/>
    <cacheHierarchy uniqueName="[messy_customers_csv].[signup_date]" caption="signup_date" attribute="1" time="1" defaultMemberUniqueName="[messy_customers_csv].[signup_date].[All]" allUniqueName="[messy_customers_csv].[signup_date].[All]" dimensionUniqueName="[messy_customers_csv]" displayFolder="" count="0" memberValueDatatype="7" unbalanced="0"/>
    <cacheHierarchy uniqueName="[messy_customers_csv].[signup_date (Year)]" caption="signup_date (Year)" attribute="1" defaultMemberUniqueName="[messy_customers_csv].[signup_date (Year)].[All]" allUniqueName="[messy_customers_csv].[signup_date (Year)].[All]" dimensionUniqueName="[messy_customers_csv]" displayFolder="" count="2" memberValueDatatype="130" unbalanced="0"/>
    <cacheHierarchy uniqueName="[messy_customers_csv].[signup_date (Quarter)]" caption="signup_date (Quarter)" attribute="1" defaultMemberUniqueName="[messy_customers_csv].[signup_date (Quarter)].[All]" allUniqueName="[messy_customers_csv].[signup_date (Quarter)].[All]" dimensionUniqueName="[messy_customers_csv]" displayFolder="" count="0" memberValueDatatype="130" unbalanced="0"/>
    <cacheHierarchy uniqueName="[messy_customers_csv].[signup_date (Month)]" caption="signup_date (Month)" attribute="1" defaultMemberUniqueName="[messy_customers_csv].[signup_date (Month)].[All]" allUniqueName="[messy_customers_csv].[signup_date (Month)].[All]" dimensionUniqueName="[messy_customers_csv]" displayFolder="" count="0" memberValueDatatype="130" unbalanced="0"/>
    <cacheHierarchy uniqueName="[messy_order_items_csv].[order_item_id]" caption="order_item_id" attribute="1" defaultMemberUniqueName="[messy_order_items_csv].[order_item_id].[All]" allUniqueName="[messy_order_items_csv].[order_item_id].[All]" dimensionUniqueName="[messy_order_items_csv]" displayFolder="" count="0" memberValueDatatype="20" unbalanced="0"/>
    <cacheHierarchy uniqueName="[messy_order_items_csv].[order_id]" caption="order_id" attribute="1" defaultMemberUniqueName="[messy_order_items_csv].[order_id].[All]" allUniqueName="[messy_order_items_csv].[order_id].[All]" dimensionUniqueName="[messy_order_items_csv]" displayFolder="" count="0" memberValueDatatype="130" unbalanced="0"/>
    <cacheHierarchy uniqueName="[messy_order_items_csv].[product_id]" caption="product_id" attribute="1" defaultMemberUniqueName="[messy_order_items_csv].[product_id].[All]" allUniqueName="[messy_order_items_csv].[product_id].[All]" dimensionUniqueName="[messy_order_items_csv]" displayFolder="" count="0" memberValueDatatype="130" unbalanced="0"/>
    <cacheHierarchy uniqueName="[messy_order_items_csv].[quantity]" caption="quantity" attribute="1" defaultMemberUniqueName="[messy_order_items_csv].[quantity].[All]" allUniqueName="[messy_order_items_csv].[quantity].[All]" dimensionUniqueName="[messy_order_items_csv]" displayFolder="" count="0" memberValueDatatype="20" unbalanced="0"/>
    <cacheHierarchy uniqueName="[messy_order_items_csv].[unit_price]" caption="unit_price" attribute="1" defaultMemberUniqueName="[messy_order_items_csv].[unit_price].[All]" allUniqueName="[messy_order_items_csv].[unit_price].[All]" dimensionUniqueName="[messy_order_items_csv]" displayFolder="" count="0" memberValueDatatype="20" unbalanced="0"/>
    <cacheHierarchy uniqueName="[messy_order_items_csv].[total_amount]" caption="total_amount" attribute="1" defaultMemberUniqueName="[messy_order_items_csv].[total_amount].[All]" allUniqueName="[messy_order_items_csv].[total_amount].[All]" dimensionUniqueName="[messy_order_items_csv]" displayFolder="" count="0" memberValueDatatype="20" unbalanced="0"/>
    <cacheHierarchy uniqueName="[messy_orders_csv].[order_id]" caption="order_id" attribute="1" defaultMemberUniqueName="[messy_orders_csv].[order_id].[All]" allUniqueName="[messy_orders_csv].[order_id].[All]" dimensionUniqueName="[messy_orders_csv]" displayFolder="" count="0" memberValueDatatype="130" unbalanced="0"/>
    <cacheHierarchy uniqueName="[messy_orders_csv].[customer_id]" caption="customer_id" attribute="1" defaultMemberUniqueName="[messy_orders_csv].[customer_id].[All]" allUniqueName="[messy_orders_csv].[customer_id].[All]" dimensionUniqueName="[messy_orders_csv]" displayFolder="" count="0" memberValueDatatype="130" unbalanced="0"/>
    <cacheHierarchy uniqueName="[messy_orders_csv].[order_date]" caption="order_date" attribute="1" time="1" defaultMemberUniqueName="[messy_orders_csv].[order_date].[All]" allUniqueName="[messy_orders_csv].[order_date].[All]" dimensionUniqueName="[messy_orders_csv]" displayFolder="" count="0" memberValueDatatype="7" unbalanced="0"/>
    <cacheHierarchy uniqueName="[messy_orders_csv].[payment_method]" caption="payment_method" attribute="1" defaultMemberUniqueName="[messy_orders_csv].[payment_method].[All]" allUniqueName="[messy_orders_csv].[payment_method].[All]" dimensionUniqueName="[messy_orders_csv]" displayFolder="" count="2" memberValueDatatype="130" unbalanced="0"/>
    <cacheHierarchy uniqueName="[messy_orders_csv].[order_date (Year)]" caption="order_date (Year)" attribute="1" defaultMemberUniqueName="[messy_orders_csv].[order_date (Year)].[All]" allUniqueName="[messy_orders_csv].[order_date (Year)].[All]" dimensionUniqueName="[messy_orders_csv]" displayFolder="" count="2" memberValueDatatype="130" unbalanced="0"/>
    <cacheHierarchy uniqueName="[messy_orders_csv].[order_date (Quarter)]" caption="order_date (Quarter)" attribute="1" defaultMemberUniqueName="[messy_orders_csv].[order_date (Quarter)].[All]" allUniqueName="[messy_orders_csv].[order_date (Quarter)].[All]" dimensionUniqueName="[messy_orders_csv]" displayFolder="" count="0" memberValueDatatype="130" unbalanced="0"/>
    <cacheHierarchy uniqueName="[messy_orders_csv].[order_date (Month)]" caption="order_date (Month)" attribute="1" defaultMemberUniqueName="[messy_orders_csv].[order_date (Month)].[All]" allUniqueName="[messy_orders_csv].[order_date (Month)].[All]" dimensionUniqueName="[messy_orders_csv]" displayFolder="" count="0" memberValueDatatype="130" unbalanced="0"/>
    <cacheHierarchy uniqueName="[messy_products_csv].[product_id]" caption="product_id" attribute="1" defaultMemberUniqueName="[messy_products_csv].[product_id].[All]" allUniqueName="[messy_products_csv].[product_id].[All]" dimensionUniqueName="[messy_products_csv]" displayFolder="" count="0" memberValueDatatype="130" unbalanced="0"/>
    <cacheHierarchy uniqueName="[messy_products_csv].[product_name]" caption="product_name" attribute="1" defaultMemberUniqueName="[messy_products_csv].[product_name].[All]" allUniqueName="[messy_products_csv].[product_name].[All]" dimensionUniqueName="[messy_products_csv]" displayFolder="" count="0" memberValueDatatype="130" unbalanced="0"/>
    <cacheHierarchy uniqueName="[messy_products_csv].[category]" caption="category" attribute="1" defaultMemberUniqueName="[messy_products_csv].[category].[All]" allUniqueName="[messy_products_csv].[category].[All]" dimensionUniqueName="[messy_products_csv]" displayFolder="" count="2" memberValueDatatype="130" unbalanced="0">
      <fieldsUsage count="2">
        <fieldUsage x="-1"/>
        <fieldUsage x="0"/>
      </fieldsUsage>
    </cacheHierarchy>
    <cacheHierarchy uniqueName="[messy_products_csv].[base_price]" caption="base_price" attribute="1" defaultMemberUniqueName="[messy_products_csv].[base_price].[All]" allUniqueName="[messy_products_csv].[base_price].[All]" dimensionUniqueName="[messy_products_csv]" displayFolder="" count="0" memberValueDatatype="20" unbalanced="0"/>
    <cacheHierarchy uniqueName="[messy_customers_csv].[signup_date (Month Index)]" caption="signup_date (Month Index)" attribute="1" defaultMemberUniqueName="[messy_customers_csv].[signup_date (Month Index)].[All]" allUniqueName="[messy_customers_csv].[signup_date (Month Index)].[All]" dimensionUniqueName="[messy_customers_csv]" displayFolder="" count="0" memberValueDatatype="20" unbalanced="0" hidden="1"/>
    <cacheHierarchy uniqueName="[messy_orders_csv].[order_date (Month Index)]" caption="order_date (Month Index)" attribute="1" defaultMemberUniqueName="[messy_orders_csv].[order_date (Month Index)].[All]" allUniqueName="[messy_orders_csv].[order_date (Month Index)].[All]" dimensionUniqueName="[messy_orders_csv]" displayFolder="" count="0" memberValueDatatype="20" unbalanced="0" hidden="1"/>
    <cacheHierarchy uniqueName="[Measures].[__XL_Count messy_order_items_csv]" caption="__XL_Count messy_order_items_csv" measure="1" displayFolder="" measureGroup="messy_order_items_csv" count="0" hidden="1"/>
    <cacheHierarchy uniqueName="[Measures].[__XL_Count messy_orders_csv]" caption="__XL_Count messy_orders_csv" measure="1" displayFolder="" measureGroup="messy_orders_csv" count="0" hidden="1"/>
    <cacheHierarchy uniqueName="[Measures].[__XL_Count messy_products_csv]" caption="__XL_Count messy_products_csv" measure="1" displayFolder="" measureGroup="messy_products_csv" count="0" hidden="1"/>
    <cacheHierarchy uniqueName="[Measures].[__XL_Count messy_customers_csv]" caption="__XL_Count messy_customers_csv" measure="1" displayFolder="" measureGroup="messy_customers_csv" count="0" hidden="1"/>
    <cacheHierarchy uniqueName="[Measures].[__No measures defined]" caption="__No measures defined" measure="1" displayFolder="" count="0" hidden="1"/>
    <cacheHierarchy uniqueName="[Measures].[Count of order_id]" caption="Count of order_id" measure="1" displayFolder="" measureGroup="messy_orders_csv" count="0" hidden="1">
      <extLst>
        <ext xmlns:x15="http://schemas.microsoft.com/office/spreadsheetml/2010/11/main" uri="{B97F6D7D-B522-45F9-BDA1-12C45D357490}">
          <x15:cacheHierarchy aggregatedColumn="13"/>
        </ext>
      </extLst>
    </cacheHierarchy>
    <cacheHierarchy uniqueName="[Measures].[Sum of total_amount]" caption="Sum of total_amount" measure="1" displayFolder="" measureGroup="messy_order_items_csv" count="0" oneField="1" hidden="1">
      <fieldsUsage count="1">
        <fieldUsage x="1"/>
      </fieldsUsage>
      <extLst>
        <ext xmlns:x15="http://schemas.microsoft.com/office/spreadsheetml/2010/11/main" uri="{B97F6D7D-B522-45F9-BDA1-12C45D357490}">
          <x15:cacheHierarchy aggregatedColumn="12"/>
        </ext>
      </extLst>
    </cacheHierarchy>
    <cacheHierarchy uniqueName="[Measures].[Count of product_id]" caption="Count of product_id" measure="1" displayFolder="" measureGroup="messy_products_csv" count="0" hidden="1">
      <extLst>
        <ext xmlns:x15="http://schemas.microsoft.com/office/spreadsheetml/2010/11/main" uri="{B97F6D7D-B522-45F9-BDA1-12C45D357490}">
          <x15:cacheHierarchy aggregatedColumn="20"/>
        </ext>
      </extLst>
    </cacheHierarchy>
    <cacheHierarchy uniqueName="[Measures].[Count of customer_id]" caption="Count of customer_id" measure="1" displayFolder="" measureGroup="messy_customers_csv" count="0" hidden="1">
      <extLst>
        <ext xmlns:x15="http://schemas.microsoft.com/office/spreadsheetml/2010/11/main" uri="{B97F6D7D-B522-45F9-BDA1-12C45D357490}">
          <x15:cacheHierarchy aggregatedColumn="0"/>
        </ext>
      </extLst>
    </cacheHierarchy>
    <cacheHierarchy uniqueName="[Measures].[Count of product_name]" caption="Count of product_name" measure="1" displayFolder="" measureGroup="messy_products_csv" count="0" hidden="1">
      <extLst>
        <ext xmlns:x15="http://schemas.microsoft.com/office/spreadsheetml/2010/11/main" uri="{B97F6D7D-B522-45F9-BDA1-12C45D357490}">
          <x15:cacheHierarchy aggregatedColumn="21"/>
        </ext>
      </extLst>
    </cacheHierarchy>
    <cacheHierarchy uniqueName="[Measures].[Count of order_id 2]" caption="Count of order_id 2" measure="1" displayFolder="" measureGroup="messy_order_items_csv" count="0" hidden="1">
      <extLst>
        <ext xmlns:x15="http://schemas.microsoft.com/office/spreadsheetml/2010/11/main" uri="{B97F6D7D-B522-45F9-BDA1-12C45D357490}">
          <x15:cacheHierarchy aggregatedColumn="8"/>
        </ext>
      </extLst>
    </cacheHierarchy>
    <cacheHierarchy uniqueName="[Measures].[Sum of quantity]" caption="Sum of quantity" measure="1" displayFolder="" measureGroup="messy_order_items_csv" count="0" hidden="1">
      <extLst>
        <ext xmlns:x15="http://schemas.microsoft.com/office/spreadsheetml/2010/11/main" uri="{B97F6D7D-B522-45F9-BDA1-12C45D357490}">
          <x15:cacheHierarchy aggregatedColumn="10"/>
        </ext>
      </extLst>
    </cacheHierarchy>
  </cacheHierarchies>
  <kpis count="0"/>
  <dimensions count="5">
    <dimension measure="1" name="Measures" uniqueName="[Measures]" caption="Measures"/>
    <dimension name="messy_customers_csv" uniqueName="[messy_customers_csv]" caption="messy_customers_csv"/>
    <dimension name="messy_order_items_csv" uniqueName="[messy_order_items_csv]" caption="messy_order_items_csv"/>
    <dimension name="messy_orders_csv" uniqueName="[messy_orders_csv]" caption="messy_orders_csv"/>
    <dimension name="messy_products_csv" uniqueName="[messy_products_csv]" caption="messy_products_csv"/>
  </dimensions>
  <measureGroups count="4">
    <measureGroup name="messy_customers_csv" caption="messy_customers_csv"/>
    <measureGroup name="messy_order_items_csv" caption="messy_order_items_csv"/>
    <measureGroup name="messy_orders_csv" caption="messy_orders_csv"/>
    <measureGroup name="messy_products_csv" caption="messy_products_csv"/>
  </measureGroups>
  <maps count="8">
    <map measureGroup="0" dimension="1"/>
    <map measureGroup="1" dimension="1"/>
    <map measureGroup="1" dimension="2"/>
    <map measureGroup="1" dimension="3"/>
    <map measureGroup="1" dimension="4"/>
    <map measureGroup="2" dimension="1"/>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ish kumar" refreshedDate="46155.781864236109" backgroundQuery="1" createdVersion="8" refreshedVersion="8" minRefreshableVersion="3" recordCount="0" supportSubquery="1" supportAdvancedDrill="1" xr:uid="{9FC43E3D-7C3F-4F12-809A-75F70256B4A9}">
  <cacheSource type="external" connectionId="6"/>
  <cacheFields count="2">
    <cacheField name="[Measures].[Count of order_id]" caption="Count of order_id" numFmtId="0" hierarchy="31" level="32767"/>
    <cacheField name="[messy_products_csv].[category].[category]" caption="category" numFmtId="0" hierarchy="22" level="1">
      <sharedItems containsSemiMixedTypes="0" containsNonDate="0" containsString="0"/>
    </cacheField>
  </cacheFields>
  <cacheHierarchies count="38">
    <cacheHierarchy uniqueName="[messy_customers_csv].[customer_id]" caption="customer_id" attribute="1" defaultMemberUniqueName="[messy_customers_csv].[customer_id].[All]" allUniqueName="[messy_customers_csv].[customer_id].[All]" dimensionUniqueName="[messy_customers_csv]" displayFolder="" count="0" memberValueDatatype="130" unbalanced="0"/>
    <cacheHierarchy uniqueName="[messy_customers_csv].[customer_name]" caption="customer_name" attribute="1" defaultMemberUniqueName="[messy_customers_csv].[customer_name].[All]" allUniqueName="[messy_customers_csv].[customer_name].[All]" dimensionUniqueName="[messy_customers_csv]" displayFolder="" count="0" memberValueDatatype="130" unbalanced="0"/>
    <cacheHierarchy uniqueName="[messy_customers_csv].[city]" caption="city" attribute="1" defaultMemberUniqueName="[messy_customers_csv].[city].[All]" allUniqueName="[messy_customers_csv].[city].[All]" dimensionUniqueName="[messy_customers_csv]" displayFolder="" count="2" memberValueDatatype="130" unbalanced="0"/>
    <cacheHierarchy uniqueName="[messy_customers_csv].[signup_date]" caption="signup_date" attribute="1" time="1" defaultMemberUniqueName="[messy_customers_csv].[signup_date].[All]" allUniqueName="[messy_customers_csv].[signup_date].[All]" dimensionUniqueName="[messy_customers_csv]" displayFolder="" count="0" memberValueDatatype="7" unbalanced="0"/>
    <cacheHierarchy uniqueName="[messy_customers_csv].[signup_date (Year)]" caption="signup_date (Year)" attribute="1" defaultMemberUniqueName="[messy_customers_csv].[signup_date (Year)].[All]" allUniqueName="[messy_customers_csv].[signup_date (Year)].[All]" dimensionUniqueName="[messy_customers_csv]" displayFolder="" count="2" memberValueDatatype="130" unbalanced="0"/>
    <cacheHierarchy uniqueName="[messy_customers_csv].[signup_date (Quarter)]" caption="signup_date (Quarter)" attribute="1" defaultMemberUniqueName="[messy_customers_csv].[signup_date (Quarter)].[All]" allUniqueName="[messy_customers_csv].[signup_date (Quarter)].[All]" dimensionUniqueName="[messy_customers_csv]" displayFolder="" count="0" memberValueDatatype="130" unbalanced="0"/>
    <cacheHierarchy uniqueName="[messy_customers_csv].[signup_date (Month)]" caption="signup_date (Month)" attribute="1" defaultMemberUniqueName="[messy_customers_csv].[signup_date (Month)].[All]" allUniqueName="[messy_customers_csv].[signup_date (Month)].[All]" dimensionUniqueName="[messy_customers_csv]" displayFolder="" count="0" memberValueDatatype="130" unbalanced="0"/>
    <cacheHierarchy uniqueName="[messy_order_items_csv].[order_item_id]" caption="order_item_id" attribute="1" defaultMemberUniqueName="[messy_order_items_csv].[order_item_id].[All]" allUniqueName="[messy_order_items_csv].[order_item_id].[All]" dimensionUniqueName="[messy_order_items_csv]" displayFolder="" count="0" memberValueDatatype="20" unbalanced="0"/>
    <cacheHierarchy uniqueName="[messy_order_items_csv].[order_id]" caption="order_id" attribute="1" defaultMemberUniqueName="[messy_order_items_csv].[order_id].[All]" allUniqueName="[messy_order_items_csv].[order_id].[All]" dimensionUniqueName="[messy_order_items_csv]" displayFolder="" count="0" memberValueDatatype="130" unbalanced="0"/>
    <cacheHierarchy uniqueName="[messy_order_items_csv].[product_id]" caption="product_id" attribute="1" defaultMemberUniqueName="[messy_order_items_csv].[product_id].[All]" allUniqueName="[messy_order_items_csv].[product_id].[All]" dimensionUniqueName="[messy_order_items_csv]" displayFolder="" count="0" memberValueDatatype="130" unbalanced="0"/>
    <cacheHierarchy uniqueName="[messy_order_items_csv].[quantity]" caption="quantity" attribute="1" defaultMemberUniqueName="[messy_order_items_csv].[quantity].[All]" allUniqueName="[messy_order_items_csv].[quantity].[All]" dimensionUniqueName="[messy_order_items_csv]" displayFolder="" count="0" memberValueDatatype="20" unbalanced="0"/>
    <cacheHierarchy uniqueName="[messy_order_items_csv].[unit_price]" caption="unit_price" attribute="1" defaultMemberUniqueName="[messy_order_items_csv].[unit_price].[All]" allUniqueName="[messy_order_items_csv].[unit_price].[All]" dimensionUniqueName="[messy_order_items_csv]" displayFolder="" count="0" memberValueDatatype="20" unbalanced="0"/>
    <cacheHierarchy uniqueName="[messy_order_items_csv].[total_amount]" caption="total_amount" attribute="1" defaultMemberUniqueName="[messy_order_items_csv].[total_amount].[All]" allUniqueName="[messy_order_items_csv].[total_amount].[All]" dimensionUniqueName="[messy_order_items_csv]" displayFolder="" count="0" memberValueDatatype="20" unbalanced="0"/>
    <cacheHierarchy uniqueName="[messy_orders_csv].[order_id]" caption="order_id" attribute="1" defaultMemberUniqueName="[messy_orders_csv].[order_id].[All]" allUniqueName="[messy_orders_csv].[order_id].[All]" dimensionUniqueName="[messy_orders_csv]" displayFolder="" count="0" memberValueDatatype="130" unbalanced="0"/>
    <cacheHierarchy uniqueName="[messy_orders_csv].[customer_id]" caption="customer_id" attribute="1" defaultMemberUniqueName="[messy_orders_csv].[customer_id].[All]" allUniqueName="[messy_orders_csv].[customer_id].[All]" dimensionUniqueName="[messy_orders_csv]" displayFolder="" count="0" memberValueDatatype="130" unbalanced="0"/>
    <cacheHierarchy uniqueName="[messy_orders_csv].[order_date]" caption="order_date" attribute="1" time="1" defaultMemberUniqueName="[messy_orders_csv].[order_date].[All]" allUniqueName="[messy_orders_csv].[order_date].[All]" dimensionUniqueName="[messy_orders_csv]" displayFolder="" count="0" memberValueDatatype="7" unbalanced="0"/>
    <cacheHierarchy uniqueName="[messy_orders_csv].[payment_method]" caption="payment_method" attribute="1" defaultMemberUniqueName="[messy_orders_csv].[payment_method].[All]" allUniqueName="[messy_orders_csv].[payment_method].[All]" dimensionUniqueName="[messy_orders_csv]" displayFolder="" count="2" memberValueDatatype="130" unbalanced="0"/>
    <cacheHierarchy uniqueName="[messy_orders_csv].[order_date (Year)]" caption="order_date (Year)" attribute="1" defaultMemberUniqueName="[messy_orders_csv].[order_date (Year)].[All]" allUniqueName="[messy_orders_csv].[order_date (Year)].[All]" dimensionUniqueName="[messy_orders_csv]" displayFolder="" count="2" memberValueDatatype="130" unbalanced="0"/>
    <cacheHierarchy uniqueName="[messy_orders_csv].[order_date (Quarter)]" caption="order_date (Quarter)" attribute="1" defaultMemberUniqueName="[messy_orders_csv].[order_date (Quarter)].[All]" allUniqueName="[messy_orders_csv].[order_date (Quarter)].[All]" dimensionUniqueName="[messy_orders_csv]" displayFolder="" count="0" memberValueDatatype="130" unbalanced="0"/>
    <cacheHierarchy uniqueName="[messy_orders_csv].[order_date (Month)]" caption="order_date (Month)" attribute="1" defaultMemberUniqueName="[messy_orders_csv].[order_date (Month)].[All]" allUniqueName="[messy_orders_csv].[order_date (Month)].[All]" dimensionUniqueName="[messy_orders_csv]" displayFolder="" count="0" memberValueDatatype="130" unbalanced="0"/>
    <cacheHierarchy uniqueName="[messy_products_csv].[product_id]" caption="product_id" attribute="1" defaultMemberUniqueName="[messy_products_csv].[product_id].[All]" allUniqueName="[messy_products_csv].[product_id].[All]" dimensionUniqueName="[messy_products_csv]" displayFolder="" count="0" memberValueDatatype="130" unbalanced="0"/>
    <cacheHierarchy uniqueName="[messy_products_csv].[product_name]" caption="product_name" attribute="1" defaultMemberUniqueName="[messy_products_csv].[product_name].[All]" allUniqueName="[messy_products_csv].[product_name].[All]" dimensionUniqueName="[messy_products_csv]" displayFolder="" count="0" memberValueDatatype="130" unbalanced="0"/>
    <cacheHierarchy uniqueName="[messy_products_csv].[category]" caption="category" attribute="1" defaultMemberUniqueName="[messy_products_csv].[category].[All]" allUniqueName="[messy_products_csv].[category].[All]" dimensionUniqueName="[messy_products_csv]" displayFolder="" count="2" memberValueDatatype="130" unbalanced="0">
      <fieldsUsage count="2">
        <fieldUsage x="-1"/>
        <fieldUsage x="1"/>
      </fieldsUsage>
    </cacheHierarchy>
    <cacheHierarchy uniqueName="[messy_products_csv].[base_price]" caption="base_price" attribute="1" defaultMemberUniqueName="[messy_products_csv].[base_price].[All]" allUniqueName="[messy_products_csv].[base_price].[All]" dimensionUniqueName="[messy_products_csv]" displayFolder="" count="0" memberValueDatatype="20" unbalanced="0"/>
    <cacheHierarchy uniqueName="[messy_customers_csv].[signup_date (Month Index)]" caption="signup_date (Month Index)" attribute="1" defaultMemberUniqueName="[messy_customers_csv].[signup_date (Month Index)].[All]" allUniqueName="[messy_customers_csv].[signup_date (Month Index)].[All]" dimensionUniqueName="[messy_customers_csv]" displayFolder="" count="0" memberValueDatatype="20" unbalanced="0" hidden="1"/>
    <cacheHierarchy uniqueName="[messy_orders_csv].[order_date (Month Index)]" caption="order_date (Month Index)" attribute="1" defaultMemberUniqueName="[messy_orders_csv].[order_date (Month Index)].[All]" allUniqueName="[messy_orders_csv].[order_date (Month Index)].[All]" dimensionUniqueName="[messy_orders_csv]" displayFolder="" count="0" memberValueDatatype="20" unbalanced="0" hidden="1"/>
    <cacheHierarchy uniqueName="[Measures].[__XL_Count messy_order_items_csv]" caption="__XL_Count messy_order_items_csv" measure="1" displayFolder="" measureGroup="messy_order_items_csv" count="0" hidden="1"/>
    <cacheHierarchy uniqueName="[Measures].[__XL_Count messy_orders_csv]" caption="__XL_Count messy_orders_csv" measure="1" displayFolder="" measureGroup="messy_orders_csv" count="0" hidden="1"/>
    <cacheHierarchy uniqueName="[Measures].[__XL_Count messy_products_csv]" caption="__XL_Count messy_products_csv" measure="1" displayFolder="" measureGroup="messy_products_csv" count="0" hidden="1"/>
    <cacheHierarchy uniqueName="[Measures].[__XL_Count messy_customers_csv]" caption="__XL_Count messy_customers_csv" measure="1" displayFolder="" measureGroup="messy_customers_csv" count="0" hidden="1"/>
    <cacheHierarchy uniqueName="[Measures].[__No measures defined]" caption="__No measures defined" measure="1" displayFolder="" count="0" hidden="1"/>
    <cacheHierarchy uniqueName="[Measures].[Count of order_id]" caption="Count of order_id" measure="1" displayFolder="" measureGroup="messy_orders_csv" count="0" oneField="1" hidden="1">
      <fieldsUsage count="1">
        <fieldUsage x="0"/>
      </fieldsUsage>
      <extLst>
        <ext xmlns:x15="http://schemas.microsoft.com/office/spreadsheetml/2010/11/main" uri="{B97F6D7D-B522-45F9-BDA1-12C45D357490}">
          <x15:cacheHierarchy aggregatedColumn="13"/>
        </ext>
      </extLst>
    </cacheHierarchy>
    <cacheHierarchy uniqueName="[Measures].[Sum of total_amount]" caption="Sum of total_amount" measure="1" displayFolder="" measureGroup="messy_order_items_csv" count="0" hidden="1">
      <extLst>
        <ext xmlns:x15="http://schemas.microsoft.com/office/spreadsheetml/2010/11/main" uri="{B97F6D7D-B522-45F9-BDA1-12C45D357490}">
          <x15:cacheHierarchy aggregatedColumn="12"/>
        </ext>
      </extLst>
    </cacheHierarchy>
    <cacheHierarchy uniqueName="[Measures].[Count of product_id]" caption="Count of product_id" measure="1" displayFolder="" measureGroup="messy_products_csv" count="0" hidden="1">
      <extLst>
        <ext xmlns:x15="http://schemas.microsoft.com/office/spreadsheetml/2010/11/main" uri="{B97F6D7D-B522-45F9-BDA1-12C45D357490}">
          <x15:cacheHierarchy aggregatedColumn="20"/>
        </ext>
      </extLst>
    </cacheHierarchy>
    <cacheHierarchy uniqueName="[Measures].[Count of customer_id]" caption="Count of customer_id" measure="1" displayFolder="" measureGroup="messy_customers_csv" count="0" hidden="1">
      <extLst>
        <ext xmlns:x15="http://schemas.microsoft.com/office/spreadsheetml/2010/11/main" uri="{B97F6D7D-B522-45F9-BDA1-12C45D357490}">
          <x15:cacheHierarchy aggregatedColumn="0"/>
        </ext>
      </extLst>
    </cacheHierarchy>
    <cacheHierarchy uniqueName="[Measures].[Count of product_name]" caption="Count of product_name" measure="1" displayFolder="" measureGroup="messy_products_csv" count="0" hidden="1">
      <extLst>
        <ext xmlns:x15="http://schemas.microsoft.com/office/spreadsheetml/2010/11/main" uri="{B97F6D7D-B522-45F9-BDA1-12C45D357490}">
          <x15:cacheHierarchy aggregatedColumn="21"/>
        </ext>
      </extLst>
    </cacheHierarchy>
    <cacheHierarchy uniqueName="[Measures].[Count of order_id 2]" caption="Count of order_id 2" measure="1" displayFolder="" measureGroup="messy_order_items_csv" count="0" hidden="1">
      <extLst>
        <ext xmlns:x15="http://schemas.microsoft.com/office/spreadsheetml/2010/11/main" uri="{B97F6D7D-B522-45F9-BDA1-12C45D357490}">
          <x15:cacheHierarchy aggregatedColumn="8"/>
        </ext>
      </extLst>
    </cacheHierarchy>
    <cacheHierarchy uniqueName="[Measures].[Sum of quantity]" caption="Sum of quantity" measure="1" displayFolder="" measureGroup="messy_order_items_csv" count="0" hidden="1">
      <extLst>
        <ext xmlns:x15="http://schemas.microsoft.com/office/spreadsheetml/2010/11/main" uri="{B97F6D7D-B522-45F9-BDA1-12C45D357490}">
          <x15:cacheHierarchy aggregatedColumn="10"/>
        </ext>
      </extLst>
    </cacheHierarchy>
  </cacheHierarchies>
  <kpis count="0"/>
  <dimensions count="5">
    <dimension measure="1" name="Measures" uniqueName="[Measures]" caption="Measures"/>
    <dimension name="messy_customers_csv" uniqueName="[messy_customers_csv]" caption="messy_customers_csv"/>
    <dimension name="messy_order_items_csv" uniqueName="[messy_order_items_csv]" caption="messy_order_items_csv"/>
    <dimension name="messy_orders_csv" uniqueName="[messy_orders_csv]" caption="messy_orders_csv"/>
    <dimension name="messy_products_csv" uniqueName="[messy_products_csv]" caption="messy_products_csv"/>
  </dimensions>
  <measureGroups count="4">
    <measureGroup name="messy_customers_csv" caption="messy_customers_csv"/>
    <measureGroup name="messy_order_items_csv" caption="messy_order_items_csv"/>
    <measureGroup name="messy_orders_csv" caption="messy_orders_csv"/>
    <measureGroup name="messy_products_csv" caption="messy_products_csv"/>
  </measureGroups>
  <maps count="8">
    <map measureGroup="0" dimension="1"/>
    <map measureGroup="1" dimension="1"/>
    <map measureGroup="1" dimension="2"/>
    <map measureGroup="1" dimension="3"/>
    <map measureGroup="1" dimension="4"/>
    <map measureGroup="2" dimension="1"/>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ish kumar" refreshedDate="46155.781865046294" backgroundQuery="1" createdVersion="8" refreshedVersion="8" minRefreshableVersion="3" recordCount="0" supportSubquery="1" supportAdvancedDrill="1" xr:uid="{4D14001A-A12D-47BB-99D5-6C459EEFC1E1}">
  <cacheSource type="external" connectionId="6"/>
  <cacheFields count="2">
    <cacheField name="[Measures].[Sum of total_amount]" caption="Sum of total_amount" numFmtId="0" hierarchy="32" level="32767"/>
    <cacheField name="[messy_products_csv].[category].[category]" caption="category" numFmtId="0" hierarchy="22" level="1">
      <sharedItems containsSemiMixedTypes="0" containsNonDate="0" containsString="0"/>
    </cacheField>
  </cacheFields>
  <cacheHierarchies count="38">
    <cacheHierarchy uniqueName="[messy_customers_csv].[customer_id]" caption="customer_id" attribute="1" defaultMemberUniqueName="[messy_customers_csv].[customer_id].[All]" allUniqueName="[messy_customers_csv].[customer_id].[All]" dimensionUniqueName="[messy_customers_csv]" displayFolder="" count="0" memberValueDatatype="130" unbalanced="0"/>
    <cacheHierarchy uniqueName="[messy_customers_csv].[customer_name]" caption="customer_name" attribute="1" defaultMemberUniqueName="[messy_customers_csv].[customer_name].[All]" allUniqueName="[messy_customers_csv].[customer_name].[All]" dimensionUniqueName="[messy_customers_csv]" displayFolder="" count="0" memberValueDatatype="130" unbalanced="0"/>
    <cacheHierarchy uniqueName="[messy_customers_csv].[city]" caption="city" attribute="1" defaultMemberUniqueName="[messy_customers_csv].[city].[All]" allUniqueName="[messy_customers_csv].[city].[All]" dimensionUniqueName="[messy_customers_csv]" displayFolder="" count="2" memberValueDatatype="130" unbalanced="0"/>
    <cacheHierarchy uniqueName="[messy_customers_csv].[signup_date]" caption="signup_date" attribute="1" time="1" defaultMemberUniqueName="[messy_customers_csv].[signup_date].[All]" allUniqueName="[messy_customers_csv].[signup_date].[All]" dimensionUniqueName="[messy_customers_csv]" displayFolder="" count="0" memberValueDatatype="7" unbalanced="0"/>
    <cacheHierarchy uniqueName="[messy_customers_csv].[signup_date (Year)]" caption="signup_date (Year)" attribute="1" defaultMemberUniqueName="[messy_customers_csv].[signup_date (Year)].[All]" allUniqueName="[messy_customers_csv].[signup_date (Year)].[All]" dimensionUniqueName="[messy_customers_csv]" displayFolder="" count="2" memberValueDatatype="130" unbalanced="0"/>
    <cacheHierarchy uniqueName="[messy_customers_csv].[signup_date (Quarter)]" caption="signup_date (Quarter)" attribute="1" defaultMemberUniqueName="[messy_customers_csv].[signup_date (Quarter)].[All]" allUniqueName="[messy_customers_csv].[signup_date (Quarter)].[All]" dimensionUniqueName="[messy_customers_csv]" displayFolder="" count="0" memberValueDatatype="130" unbalanced="0"/>
    <cacheHierarchy uniqueName="[messy_customers_csv].[signup_date (Month)]" caption="signup_date (Month)" attribute="1" defaultMemberUniqueName="[messy_customers_csv].[signup_date (Month)].[All]" allUniqueName="[messy_customers_csv].[signup_date (Month)].[All]" dimensionUniqueName="[messy_customers_csv]" displayFolder="" count="0" memberValueDatatype="130" unbalanced="0"/>
    <cacheHierarchy uniqueName="[messy_order_items_csv].[order_item_id]" caption="order_item_id" attribute="1" defaultMemberUniqueName="[messy_order_items_csv].[order_item_id].[All]" allUniqueName="[messy_order_items_csv].[order_item_id].[All]" dimensionUniqueName="[messy_order_items_csv]" displayFolder="" count="0" memberValueDatatype="20" unbalanced="0"/>
    <cacheHierarchy uniqueName="[messy_order_items_csv].[order_id]" caption="order_id" attribute="1" defaultMemberUniqueName="[messy_order_items_csv].[order_id].[All]" allUniqueName="[messy_order_items_csv].[order_id].[All]" dimensionUniqueName="[messy_order_items_csv]" displayFolder="" count="0" memberValueDatatype="130" unbalanced="0"/>
    <cacheHierarchy uniqueName="[messy_order_items_csv].[product_id]" caption="product_id" attribute="1" defaultMemberUniqueName="[messy_order_items_csv].[product_id].[All]" allUniqueName="[messy_order_items_csv].[product_id].[All]" dimensionUniqueName="[messy_order_items_csv]" displayFolder="" count="0" memberValueDatatype="130" unbalanced="0"/>
    <cacheHierarchy uniqueName="[messy_order_items_csv].[quantity]" caption="quantity" attribute="1" defaultMemberUniqueName="[messy_order_items_csv].[quantity].[All]" allUniqueName="[messy_order_items_csv].[quantity].[All]" dimensionUniqueName="[messy_order_items_csv]" displayFolder="" count="0" memberValueDatatype="20" unbalanced="0"/>
    <cacheHierarchy uniqueName="[messy_order_items_csv].[unit_price]" caption="unit_price" attribute="1" defaultMemberUniqueName="[messy_order_items_csv].[unit_price].[All]" allUniqueName="[messy_order_items_csv].[unit_price].[All]" dimensionUniqueName="[messy_order_items_csv]" displayFolder="" count="0" memberValueDatatype="20" unbalanced="0"/>
    <cacheHierarchy uniqueName="[messy_order_items_csv].[total_amount]" caption="total_amount" attribute="1" defaultMemberUniqueName="[messy_order_items_csv].[total_amount].[All]" allUniqueName="[messy_order_items_csv].[total_amount].[All]" dimensionUniqueName="[messy_order_items_csv]" displayFolder="" count="0" memberValueDatatype="20" unbalanced="0"/>
    <cacheHierarchy uniqueName="[messy_orders_csv].[order_id]" caption="order_id" attribute="1" defaultMemberUniqueName="[messy_orders_csv].[order_id].[All]" allUniqueName="[messy_orders_csv].[order_id].[All]" dimensionUniqueName="[messy_orders_csv]" displayFolder="" count="0" memberValueDatatype="130" unbalanced="0"/>
    <cacheHierarchy uniqueName="[messy_orders_csv].[customer_id]" caption="customer_id" attribute="1" defaultMemberUniqueName="[messy_orders_csv].[customer_id].[All]" allUniqueName="[messy_orders_csv].[customer_id].[All]" dimensionUniqueName="[messy_orders_csv]" displayFolder="" count="0" memberValueDatatype="130" unbalanced="0"/>
    <cacheHierarchy uniqueName="[messy_orders_csv].[order_date]" caption="order_date" attribute="1" time="1" defaultMemberUniqueName="[messy_orders_csv].[order_date].[All]" allUniqueName="[messy_orders_csv].[order_date].[All]" dimensionUniqueName="[messy_orders_csv]" displayFolder="" count="0" memberValueDatatype="7" unbalanced="0"/>
    <cacheHierarchy uniqueName="[messy_orders_csv].[payment_method]" caption="payment_method" attribute="1" defaultMemberUniqueName="[messy_orders_csv].[payment_method].[All]" allUniqueName="[messy_orders_csv].[payment_method].[All]" dimensionUniqueName="[messy_orders_csv]" displayFolder="" count="2" memberValueDatatype="130" unbalanced="0"/>
    <cacheHierarchy uniqueName="[messy_orders_csv].[order_date (Year)]" caption="order_date (Year)" attribute="1" defaultMemberUniqueName="[messy_orders_csv].[order_date (Year)].[All]" allUniqueName="[messy_orders_csv].[order_date (Year)].[All]" dimensionUniqueName="[messy_orders_csv]" displayFolder="" count="2" memberValueDatatype="130" unbalanced="0"/>
    <cacheHierarchy uniqueName="[messy_orders_csv].[order_date (Quarter)]" caption="order_date (Quarter)" attribute="1" defaultMemberUniqueName="[messy_orders_csv].[order_date (Quarter)].[All]" allUniqueName="[messy_orders_csv].[order_date (Quarter)].[All]" dimensionUniqueName="[messy_orders_csv]" displayFolder="" count="0" memberValueDatatype="130" unbalanced="0"/>
    <cacheHierarchy uniqueName="[messy_orders_csv].[order_date (Month)]" caption="order_date (Month)" attribute="1" defaultMemberUniqueName="[messy_orders_csv].[order_date (Month)].[All]" allUniqueName="[messy_orders_csv].[order_date (Month)].[All]" dimensionUniqueName="[messy_orders_csv]" displayFolder="" count="0" memberValueDatatype="130" unbalanced="0"/>
    <cacheHierarchy uniqueName="[messy_products_csv].[product_id]" caption="product_id" attribute="1" defaultMemberUniqueName="[messy_products_csv].[product_id].[All]" allUniqueName="[messy_products_csv].[product_id].[All]" dimensionUniqueName="[messy_products_csv]" displayFolder="" count="0" memberValueDatatype="130" unbalanced="0"/>
    <cacheHierarchy uniqueName="[messy_products_csv].[product_name]" caption="product_name" attribute="1" defaultMemberUniqueName="[messy_products_csv].[product_name].[All]" allUniqueName="[messy_products_csv].[product_name].[All]" dimensionUniqueName="[messy_products_csv]" displayFolder="" count="0" memberValueDatatype="130" unbalanced="0"/>
    <cacheHierarchy uniqueName="[messy_products_csv].[category]" caption="category" attribute="1" defaultMemberUniqueName="[messy_products_csv].[category].[All]" allUniqueName="[messy_products_csv].[category].[All]" dimensionUniqueName="[messy_products_csv]" displayFolder="" count="2" memberValueDatatype="130" unbalanced="0">
      <fieldsUsage count="2">
        <fieldUsage x="-1"/>
        <fieldUsage x="1"/>
      </fieldsUsage>
    </cacheHierarchy>
    <cacheHierarchy uniqueName="[messy_products_csv].[base_price]" caption="base_price" attribute="1" defaultMemberUniqueName="[messy_products_csv].[base_price].[All]" allUniqueName="[messy_products_csv].[base_price].[All]" dimensionUniqueName="[messy_products_csv]" displayFolder="" count="0" memberValueDatatype="20" unbalanced="0"/>
    <cacheHierarchy uniqueName="[messy_customers_csv].[signup_date (Month Index)]" caption="signup_date (Month Index)" attribute="1" defaultMemberUniqueName="[messy_customers_csv].[signup_date (Month Index)].[All]" allUniqueName="[messy_customers_csv].[signup_date (Month Index)].[All]" dimensionUniqueName="[messy_customers_csv]" displayFolder="" count="0" memberValueDatatype="20" unbalanced="0" hidden="1"/>
    <cacheHierarchy uniqueName="[messy_orders_csv].[order_date (Month Index)]" caption="order_date (Month Index)" attribute="1" defaultMemberUniqueName="[messy_orders_csv].[order_date (Month Index)].[All]" allUniqueName="[messy_orders_csv].[order_date (Month Index)].[All]" dimensionUniqueName="[messy_orders_csv]" displayFolder="" count="0" memberValueDatatype="20" unbalanced="0" hidden="1"/>
    <cacheHierarchy uniqueName="[Measures].[__XL_Count messy_order_items_csv]" caption="__XL_Count messy_order_items_csv" measure="1" displayFolder="" measureGroup="messy_order_items_csv" count="0" hidden="1"/>
    <cacheHierarchy uniqueName="[Measures].[__XL_Count messy_orders_csv]" caption="__XL_Count messy_orders_csv" measure="1" displayFolder="" measureGroup="messy_orders_csv" count="0" hidden="1"/>
    <cacheHierarchy uniqueName="[Measures].[__XL_Count messy_products_csv]" caption="__XL_Count messy_products_csv" measure="1" displayFolder="" measureGroup="messy_products_csv" count="0" hidden="1"/>
    <cacheHierarchy uniqueName="[Measures].[__XL_Count messy_customers_csv]" caption="__XL_Count messy_customers_csv" measure="1" displayFolder="" measureGroup="messy_customers_csv" count="0" hidden="1"/>
    <cacheHierarchy uniqueName="[Measures].[__No measures defined]" caption="__No measures defined" measure="1" displayFolder="" count="0" hidden="1"/>
    <cacheHierarchy uniqueName="[Measures].[Count of order_id]" caption="Count of order_id" measure="1" displayFolder="" measureGroup="messy_orders_csv" count="0" hidden="1">
      <extLst>
        <ext xmlns:x15="http://schemas.microsoft.com/office/spreadsheetml/2010/11/main" uri="{B97F6D7D-B522-45F9-BDA1-12C45D357490}">
          <x15:cacheHierarchy aggregatedColumn="13"/>
        </ext>
      </extLst>
    </cacheHierarchy>
    <cacheHierarchy uniqueName="[Measures].[Sum of total_amount]" caption="Sum of total_amount" measure="1" displayFolder="" measureGroup="messy_order_items_csv" count="0" oneField="1" hidden="1">
      <fieldsUsage count="1">
        <fieldUsage x="0"/>
      </fieldsUsage>
      <extLst>
        <ext xmlns:x15="http://schemas.microsoft.com/office/spreadsheetml/2010/11/main" uri="{B97F6D7D-B522-45F9-BDA1-12C45D357490}">
          <x15:cacheHierarchy aggregatedColumn="12"/>
        </ext>
      </extLst>
    </cacheHierarchy>
    <cacheHierarchy uniqueName="[Measures].[Count of product_id]" caption="Count of product_id" measure="1" displayFolder="" measureGroup="messy_products_csv" count="0" hidden="1">
      <extLst>
        <ext xmlns:x15="http://schemas.microsoft.com/office/spreadsheetml/2010/11/main" uri="{B97F6D7D-B522-45F9-BDA1-12C45D357490}">
          <x15:cacheHierarchy aggregatedColumn="20"/>
        </ext>
      </extLst>
    </cacheHierarchy>
    <cacheHierarchy uniqueName="[Measures].[Count of customer_id]" caption="Count of customer_id" measure="1" displayFolder="" measureGroup="messy_customers_csv" count="0" hidden="1">
      <extLst>
        <ext xmlns:x15="http://schemas.microsoft.com/office/spreadsheetml/2010/11/main" uri="{B97F6D7D-B522-45F9-BDA1-12C45D357490}">
          <x15:cacheHierarchy aggregatedColumn="0"/>
        </ext>
      </extLst>
    </cacheHierarchy>
    <cacheHierarchy uniqueName="[Measures].[Count of product_name]" caption="Count of product_name" measure="1" displayFolder="" measureGroup="messy_products_csv" count="0" hidden="1">
      <extLst>
        <ext xmlns:x15="http://schemas.microsoft.com/office/spreadsheetml/2010/11/main" uri="{B97F6D7D-B522-45F9-BDA1-12C45D357490}">
          <x15:cacheHierarchy aggregatedColumn="21"/>
        </ext>
      </extLst>
    </cacheHierarchy>
    <cacheHierarchy uniqueName="[Measures].[Count of order_id 2]" caption="Count of order_id 2" measure="1" displayFolder="" measureGroup="messy_order_items_csv" count="0" hidden="1">
      <extLst>
        <ext xmlns:x15="http://schemas.microsoft.com/office/spreadsheetml/2010/11/main" uri="{B97F6D7D-B522-45F9-BDA1-12C45D357490}">
          <x15:cacheHierarchy aggregatedColumn="8"/>
        </ext>
      </extLst>
    </cacheHierarchy>
    <cacheHierarchy uniqueName="[Measures].[Sum of quantity]" caption="Sum of quantity" measure="1" displayFolder="" measureGroup="messy_order_items_csv" count="0" hidden="1">
      <extLst>
        <ext xmlns:x15="http://schemas.microsoft.com/office/spreadsheetml/2010/11/main" uri="{B97F6D7D-B522-45F9-BDA1-12C45D357490}">
          <x15:cacheHierarchy aggregatedColumn="10"/>
        </ext>
      </extLst>
    </cacheHierarchy>
  </cacheHierarchies>
  <kpis count="0"/>
  <dimensions count="5">
    <dimension measure="1" name="Measures" uniqueName="[Measures]" caption="Measures"/>
    <dimension name="messy_customers_csv" uniqueName="[messy_customers_csv]" caption="messy_customers_csv"/>
    <dimension name="messy_order_items_csv" uniqueName="[messy_order_items_csv]" caption="messy_order_items_csv"/>
    <dimension name="messy_orders_csv" uniqueName="[messy_orders_csv]" caption="messy_orders_csv"/>
    <dimension name="messy_products_csv" uniqueName="[messy_products_csv]" caption="messy_products_csv"/>
  </dimensions>
  <measureGroups count="4">
    <measureGroup name="messy_customers_csv" caption="messy_customers_csv"/>
    <measureGroup name="messy_order_items_csv" caption="messy_order_items_csv"/>
    <measureGroup name="messy_orders_csv" caption="messy_orders_csv"/>
    <measureGroup name="messy_products_csv" caption="messy_products_csv"/>
  </measureGroups>
  <maps count="8">
    <map measureGroup="0" dimension="1"/>
    <map measureGroup="1" dimension="1"/>
    <map measureGroup="1" dimension="2"/>
    <map measureGroup="1" dimension="3"/>
    <map measureGroup="1" dimension="4"/>
    <map measureGroup="2" dimension="1"/>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ish kumar" refreshedDate="46155.781865740741" backgroundQuery="1" createdVersion="8" refreshedVersion="8" minRefreshableVersion="3" recordCount="0" supportSubquery="1" supportAdvancedDrill="1" xr:uid="{245C1053-562A-47A4-902F-19A969D9B4EE}">
  <cacheSource type="external" connectionId="6"/>
  <cacheFields count="2">
    <cacheField name="[Measures].[Count of product_id]" caption="Count of product_id" numFmtId="0" hierarchy="33" level="32767"/>
    <cacheField name="[messy_products_csv].[category].[category]" caption="category" numFmtId="0" hierarchy="22" level="1">
      <sharedItems containsSemiMixedTypes="0" containsNonDate="0" containsString="0"/>
    </cacheField>
  </cacheFields>
  <cacheHierarchies count="38">
    <cacheHierarchy uniqueName="[messy_customers_csv].[customer_id]" caption="customer_id" attribute="1" defaultMemberUniqueName="[messy_customers_csv].[customer_id].[All]" allUniqueName="[messy_customers_csv].[customer_id].[All]" dimensionUniqueName="[messy_customers_csv]" displayFolder="" count="0" memberValueDatatype="130" unbalanced="0"/>
    <cacheHierarchy uniqueName="[messy_customers_csv].[customer_name]" caption="customer_name" attribute="1" defaultMemberUniqueName="[messy_customers_csv].[customer_name].[All]" allUniqueName="[messy_customers_csv].[customer_name].[All]" dimensionUniqueName="[messy_customers_csv]" displayFolder="" count="0" memberValueDatatype="130" unbalanced="0"/>
    <cacheHierarchy uniqueName="[messy_customers_csv].[city]" caption="city" attribute="1" defaultMemberUniqueName="[messy_customers_csv].[city].[All]" allUniqueName="[messy_customers_csv].[city].[All]" dimensionUniqueName="[messy_customers_csv]" displayFolder="" count="2" memberValueDatatype="130" unbalanced="0"/>
    <cacheHierarchy uniqueName="[messy_customers_csv].[signup_date]" caption="signup_date" attribute="1" time="1" defaultMemberUniqueName="[messy_customers_csv].[signup_date].[All]" allUniqueName="[messy_customers_csv].[signup_date].[All]" dimensionUniqueName="[messy_customers_csv]" displayFolder="" count="0" memberValueDatatype="7" unbalanced="0"/>
    <cacheHierarchy uniqueName="[messy_customers_csv].[signup_date (Year)]" caption="signup_date (Year)" attribute="1" defaultMemberUniqueName="[messy_customers_csv].[signup_date (Year)].[All]" allUniqueName="[messy_customers_csv].[signup_date (Year)].[All]" dimensionUniqueName="[messy_customers_csv]" displayFolder="" count="2" memberValueDatatype="130" unbalanced="0"/>
    <cacheHierarchy uniqueName="[messy_customers_csv].[signup_date (Quarter)]" caption="signup_date (Quarter)" attribute="1" defaultMemberUniqueName="[messy_customers_csv].[signup_date (Quarter)].[All]" allUniqueName="[messy_customers_csv].[signup_date (Quarter)].[All]" dimensionUniqueName="[messy_customers_csv]" displayFolder="" count="0" memberValueDatatype="130" unbalanced="0"/>
    <cacheHierarchy uniqueName="[messy_customers_csv].[signup_date (Month)]" caption="signup_date (Month)" attribute="1" defaultMemberUniqueName="[messy_customers_csv].[signup_date (Month)].[All]" allUniqueName="[messy_customers_csv].[signup_date (Month)].[All]" dimensionUniqueName="[messy_customers_csv]" displayFolder="" count="0" memberValueDatatype="130" unbalanced="0"/>
    <cacheHierarchy uniqueName="[messy_order_items_csv].[order_item_id]" caption="order_item_id" attribute="1" defaultMemberUniqueName="[messy_order_items_csv].[order_item_id].[All]" allUniqueName="[messy_order_items_csv].[order_item_id].[All]" dimensionUniqueName="[messy_order_items_csv]" displayFolder="" count="0" memberValueDatatype="20" unbalanced="0"/>
    <cacheHierarchy uniqueName="[messy_order_items_csv].[order_id]" caption="order_id" attribute="1" defaultMemberUniqueName="[messy_order_items_csv].[order_id].[All]" allUniqueName="[messy_order_items_csv].[order_id].[All]" dimensionUniqueName="[messy_order_items_csv]" displayFolder="" count="0" memberValueDatatype="130" unbalanced="0"/>
    <cacheHierarchy uniqueName="[messy_order_items_csv].[product_id]" caption="product_id" attribute="1" defaultMemberUniqueName="[messy_order_items_csv].[product_id].[All]" allUniqueName="[messy_order_items_csv].[product_id].[All]" dimensionUniqueName="[messy_order_items_csv]" displayFolder="" count="0" memberValueDatatype="130" unbalanced="0"/>
    <cacheHierarchy uniqueName="[messy_order_items_csv].[quantity]" caption="quantity" attribute="1" defaultMemberUniqueName="[messy_order_items_csv].[quantity].[All]" allUniqueName="[messy_order_items_csv].[quantity].[All]" dimensionUniqueName="[messy_order_items_csv]" displayFolder="" count="0" memberValueDatatype="20" unbalanced="0"/>
    <cacheHierarchy uniqueName="[messy_order_items_csv].[unit_price]" caption="unit_price" attribute="1" defaultMemberUniqueName="[messy_order_items_csv].[unit_price].[All]" allUniqueName="[messy_order_items_csv].[unit_price].[All]" dimensionUniqueName="[messy_order_items_csv]" displayFolder="" count="0" memberValueDatatype="20" unbalanced="0"/>
    <cacheHierarchy uniqueName="[messy_order_items_csv].[total_amount]" caption="total_amount" attribute="1" defaultMemberUniqueName="[messy_order_items_csv].[total_amount].[All]" allUniqueName="[messy_order_items_csv].[total_amount].[All]" dimensionUniqueName="[messy_order_items_csv]" displayFolder="" count="0" memberValueDatatype="20" unbalanced="0"/>
    <cacheHierarchy uniqueName="[messy_orders_csv].[order_id]" caption="order_id" attribute="1" defaultMemberUniqueName="[messy_orders_csv].[order_id].[All]" allUniqueName="[messy_orders_csv].[order_id].[All]" dimensionUniqueName="[messy_orders_csv]" displayFolder="" count="0" memberValueDatatype="130" unbalanced="0"/>
    <cacheHierarchy uniqueName="[messy_orders_csv].[customer_id]" caption="customer_id" attribute="1" defaultMemberUniqueName="[messy_orders_csv].[customer_id].[All]" allUniqueName="[messy_orders_csv].[customer_id].[All]" dimensionUniqueName="[messy_orders_csv]" displayFolder="" count="0" memberValueDatatype="130" unbalanced="0"/>
    <cacheHierarchy uniqueName="[messy_orders_csv].[order_date]" caption="order_date" attribute="1" time="1" defaultMemberUniqueName="[messy_orders_csv].[order_date].[All]" allUniqueName="[messy_orders_csv].[order_date].[All]" dimensionUniqueName="[messy_orders_csv]" displayFolder="" count="0" memberValueDatatype="7" unbalanced="0"/>
    <cacheHierarchy uniqueName="[messy_orders_csv].[payment_method]" caption="payment_method" attribute="1" defaultMemberUniqueName="[messy_orders_csv].[payment_method].[All]" allUniqueName="[messy_orders_csv].[payment_method].[All]" dimensionUniqueName="[messy_orders_csv]" displayFolder="" count="2" memberValueDatatype="130" unbalanced="0"/>
    <cacheHierarchy uniqueName="[messy_orders_csv].[order_date (Year)]" caption="order_date (Year)" attribute="1" defaultMemberUniqueName="[messy_orders_csv].[order_date (Year)].[All]" allUniqueName="[messy_orders_csv].[order_date (Year)].[All]" dimensionUniqueName="[messy_orders_csv]" displayFolder="" count="2" memberValueDatatype="130" unbalanced="0"/>
    <cacheHierarchy uniqueName="[messy_orders_csv].[order_date (Quarter)]" caption="order_date (Quarter)" attribute="1" defaultMemberUniqueName="[messy_orders_csv].[order_date (Quarter)].[All]" allUniqueName="[messy_orders_csv].[order_date (Quarter)].[All]" dimensionUniqueName="[messy_orders_csv]" displayFolder="" count="0" memberValueDatatype="130" unbalanced="0"/>
    <cacheHierarchy uniqueName="[messy_orders_csv].[order_date (Month)]" caption="order_date (Month)" attribute="1" defaultMemberUniqueName="[messy_orders_csv].[order_date (Month)].[All]" allUniqueName="[messy_orders_csv].[order_date (Month)].[All]" dimensionUniqueName="[messy_orders_csv]" displayFolder="" count="0" memberValueDatatype="130" unbalanced="0"/>
    <cacheHierarchy uniqueName="[messy_products_csv].[product_id]" caption="product_id" attribute="1" defaultMemberUniqueName="[messy_products_csv].[product_id].[All]" allUniqueName="[messy_products_csv].[product_id].[All]" dimensionUniqueName="[messy_products_csv]" displayFolder="" count="0" memberValueDatatype="130" unbalanced="0"/>
    <cacheHierarchy uniqueName="[messy_products_csv].[product_name]" caption="product_name" attribute="1" defaultMemberUniqueName="[messy_products_csv].[product_name].[All]" allUniqueName="[messy_products_csv].[product_name].[All]" dimensionUniqueName="[messy_products_csv]" displayFolder="" count="0" memberValueDatatype="130" unbalanced="0"/>
    <cacheHierarchy uniqueName="[messy_products_csv].[category]" caption="category" attribute="1" defaultMemberUniqueName="[messy_products_csv].[category].[All]" allUniqueName="[messy_products_csv].[category].[All]" dimensionUniqueName="[messy_products_csv]" displayFolder="" count="2" memberValueDatatype="130" unbalanced="0">
      <fieldsUsage count="2">
        <fieldUsage x="-1"/>
        <fieldUsage x="1"/>
      </fieldsUsage>
    </cacheHierarchy>
    <cacheHierarchy uniqueName="[messy_products_csv].[base_price]" caption="base_price" attribute="1" defaultMemberUniqueName="[messy_products_csv].[base_price].[All]" allUniqueName="[messy_products_csv].[base_price].[All]" dimensionUniqueName="[messy_products_csv]" displayFolder="" count="0" memberValueDatatype="20" unbalanced="0"/>
    <cacheHierarchy uniqueName="[messy_customers_csv].[signup_date (Month Index)]" caption="signup_date (Month Index)" attribute="1" defaultMemberUniqueName="[messy_customers_csv].[signup_date (Month Index)].[All]" allUniqueName="[messy_customers_csv].[signup_date (Month Index)].[All]" dimensionUniqueName="[messy_customers_csv]" displayFolder="" count="0" memberValueDatatype="20" unbalanced="0" hidden="1"/>
    <cacheHierarchy uniqueName="[messy_orders_csv].[order_date (Month Index)]" caption="order_date (Month Index)" attribute="1" defaultMemberUniqueName="[messy_orders_csv].[order_date (Month Index)].[All]" allUniqueName="[messy_orders_csv].[order_date (Month Index)].[All]" dimensionUniqueName="[messy_orders_csv]" displayFolder="" count="0" memberValueDatatype="20" unbalanced="0" hidden="1"/>
    <cacheHierarchy uniqueName="[Measures].[__XL_Count messy_order_items_csv]" caption="__XL_Count messy_order_items_csv" measure="1" displayFolder="" measureGroup="messy_order_items_csv" count="0" hidden="1"/>
    <cacheHierarchy uniqueName="[Measures].[__XL_Count messy_orders_csv]" caption="__XL_Count messy_orders_csv" measure="1" displayFolder="" measureGroup="messy_orders_csv" count="0" hidden="1"/>
    <cacheHierarchy uniqueName="[Measures].[__XL_Count messy_products_csv]" caption="__XL_Count messy_products_csv" measure="1" displayFolder="" measureGroup="messy_products_csv" count="0" hidden="1"/>
    <cacheHierarchy uniqueName="[Measures].[__XL_Count messy_customers_csv]" caption="__XL_Count messy_customers_csv" measure="1" displayFolder="" measureGroup="messy_customers_csv" count="0" hidden="1"/>
    <cacheHierarchy uniqueName="[Measures].[__No measures defined]" caption="__No measures defined" measure="1" displayFolder="" count="0" hidden="1"/>
    <cacheHierarchy uniqueName="[Measures].[Count of order_id]" caption="Count of order_id" measure="1" displayFolder="" measureGroup="messy_orders_csv" count="0" hidden="1">
      <extLst>
        <ext xmlns:x15="http://schemas.microsoft.com/office/spreadsheetml/2010/11/main" uri="{B97F6D7D-B522-45F9-BDA1-12C45D357490}">
          <x15:cacheHierarchy aggregatedColumn="13"/>
        </ext>
      </extLst>
    </cacheHierarchy>
    <cacheHierarchy uniqueName="[Measures].[Sum of total_amount]" caption="Sum of total_amount" measure="1" displayFolder="" measureGroup="messy_order_items_csv" count="0" hidden="1">
      <extLst>
        <ext xmlns:x15="http://schemas.microsoft.com/office/spreadsheetml/2010/11/main" uri="{B97F6D7D-B522-45F9-BDA1-12C45D357490}">
          <x15:cacheHierarchy aggregatedColumn="12"/>
        </ext>
      </extLst>
    </cacheHierarchy>
    <cacheHierarchy uniqueName="[Measures].[Count of product_id]" caption="Count of product_id" measure="1" displayFolder="" measureGroup="messy_products_csv" count="0" oneField="1" hidden="1">
      <fieldsUsage count="1">
        <fieldUsage x="0"/>
      </fieldsUsage>
      <extLst>
        <ext xmlns:x15="http://schemas.microsoft.com/office/spreadsheetml/2010/11/main" uri="{B97F6D7D-B522-45F9-BDA1-12C45D357490}">
          <x15:cacheHierarchy aggregatedColumn="20"/>
        </ext>
      </extLst>
    </cacheHierarchy>
    <cacheHierarchy uniqueName="[Measures].[Count of customer_id]" caption="Count of customer_id" measure="1" displayFolder="" measureGroup="messy_customers_csv" count="0" hidden="1">
      <extLst>
        <ext xmlns:x15="http://schemas.microsoft.com/office/spreadsheetml/2010/11/main" uri="{B97F6D7D-B522-45F9-BDA1-12C45D357490}">
          <x15:cacheHierarchy aggregatedColumn="0"/>
        </ext>
      </extLst>
    </cacheHierarchy>
    <cacheHierarchy uniqueName="[Measures].[Count of product_name]" caption="Count of product_name" measure="1" displayFolder="" measureGroup="messy_products_csv" count="0" hidden="1">
      <extLst>
        <ext xmlns:x15="http://schemas.microsoft.com/office/spreadsheetml/2010/11/main" uri="{B97F6D7D-B522-45F9-BDA1-12C45D357490}">
          <x15:cacheHierarchy aggregatedColumn="21"/>
        </ext>
      </extLst>
    </cacheHierarchy>
    <cacheHierarchy uniqueName="[Measures].[Count of order_id 2]" caption="Count of order_id 2" measure="1" displayFolder="" measureGroup="messy_order_items_csv" count="0" hidden="1">
      <extLst>
        <ext xmlns:x15="http://schemas.microsoft.com/office/spreadsheetml/2010/11/main" uri="{B97F6D7D-B522-45F9-BDA1-12C45D357490}">
          <x15:cacheHierarchy aggregatedColumn="8"/>
        </ext>
      </extLst>
    </cacheHierarchy>
    <cacheHierarchy uniqueName="[Measures].[Sum of quantity]" caption="Sum of quantity" measure="1" displayFolder="" measureGroup="messy_order_items_csv" count="0" hidden="1">
      <extLst>
        <ext xmlns:x15="http://schemas.microsoft.com/office/spreadsheetml/2010/11/main" uri="{B97F6D7D-B522-45F9-BDA1-12C45D357490}">
          <x15:cacheHierarchy aggregatedColumn="10"/>
        </ext>
      </extLst>
    </cacheHierarchy>
  </cacheHierarchies>
  <kpis count="0"/>
  <dimensions count="5">
    <dimension measure="1" name="Measures" uniqueName="[Measures]" caption="Measures"/>
    <dimension name="messy_customers_csv" uniqueName="[messy_customers_csv]" caption="messy_customers_csv"/>
    <dimension name="messy_order_items_csv" uniqueName="[messy_order_items_csv]" caption="messy_order_items_csv"/>
    <dimension name="messy_orders_csv" uniqueName="[messy_orders_csv]" caption="messy_orders_csv"/>
    <dimension name="messy_products_csv" uniqueName="[messy_products_csv]" caption="messy_products_csv"/>
  </dimensions>
  <measureGroups count="4">
    <measureGroup name="messy_customers_csv" caption="messy_customers_csv"/>
    <measureGroup name="messy_order_items_csv" caption="messy_order_items_csv"/>
    <measureGroup name="messy_orders_csv" caption="messy_orders_csv"/>
    <measureGroup name="messy_products_csv" caption="messy_products_csv"/>
  </measureGroups>
  <maps count="8">
    <map measureGroup="0" dimension="1"/>
    <map measureGroup="1" dimension="1"/>
    <map measureGroup="1" dimension="2"/>
    <map measureGroup="1" dimension="3"/>
    <map measureGroup="1" dimension="4"/>
    <map measureGroup="2" dimension="1"/>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ish kumar" refreshedDate="46155.78186678241" backgroundQuery="1" createdVersion="8" refreshedVersion="8" minRefreshableVersion="3" recordCount="0" supportSubquery="1" supportAdvancedDrill="1" xr:uid="{B95486B8-DCE9-4811-B773-8BE785F5B3E4}">
  <cacheSource type="external" connectionId="6"/>
  <cacheFields count="3">
    <cacheField name="[messy_orders_csv].[payment_method].[payment_method]" caption="payment_method" numFmtId="0" hierarchy="16" level="1">
      <sharedItems count="5">
        <s v="Cash"/>
        <s v="Credit Card"/>
        <s v="Debit Card"/>
        <s v="NA"/>
        <s v="UPI"/>
      </sharedItems>
    </cacheField>
    <cacheField name="[Measures].[Sum of total_amount]" caption="Sum of total_amount" numFmtId="0" hierarchy="32" level="32767"/>
    <cacheField name="[messy_products_csv].[category].[category]" caption="category" numFmtId="0" hierarchy="22" level="1">
      <sharedItems containsSemiMixedTypes="0" containsNonDate="0" containsString="0"/>
    </cacheField>
  </cacheFields>
  <cacheHierarchies count="38">
    <cacheHierarchy uniqueName="[messy_customers_csv].[customer_id]" caption="customer_id" attribute="1" defaultMemberUniqueName="[messy_customers_csv].[customer_id].[All]" allUniqueName="[messy_customers_csv].[customer_id].[All]" dimensionUniqueName="[messy_customers_csv]" displayFolder="" count="0" memberValueDatatype="130" unbalanced="0"/>
    <cacheHierarchy uniqueName="[messy_customers_csv].[customer_name]" caption="customer_name" attribute="1" defaultMemberUniqueName="[messy_customers_csv].[customer_name].[All]" allUniqueName="[messy_customers_csv].[customer_name].[All]" dimensionUniqueName="[messy_customers_csv]" displayFolder="" count="0" memberValueDatatype="130" unbalanced="0"/>
    <cacheHierarchy uniqueName="[messy_customers_csv].[city]" caption="city" attribute="1" defaultMemberUniqueName="[messy_customers_csv].[city].[All]" allUniqueName="[messy_customers_csv].[city].[All]" dimensionUniqueName="[messy_customers_csv]" displayFolder="" count="2" memberValueDatatype="130" unbalanced="0"/>
    <cacheHierarchy uniqueName="[messy_customers_csv].[signup_date]" caption="signup_date" attribute="1" time="1" defaultMemberUniqueName="[messy_customers_csv].[signup_date].[All]" allUniqueName="[messy_customers_csv].[signup_date].[All]" dimensionUniqueName="[messy_customers_csv]" displayFolder="" count="0" memberValueDatatype="7" unbalanced="0"/>
    <cacheHierarchy uniqueName="[messy_customers_csv].[signup_date (Year)]" caption="signup_date (Year)" attribute="1" defaultMemberUniqueName="[messy_customers_csv].[signup_date (Year)].[All]" allUniqueName="[messy_customers_csv].[signup_date (Year)].[All]" dimensionUniqueName="[messy_customers_csv]" displayFolder="" count="2" memberValueDatatype="130" unbalanced="0"/>
    <cacheHierarchy uniqueName="[messy_customers_csv].[signup_date (Quarter)]" caption="signup_date (Quarter)" attribute="1" defaultMemberUniqueName="[messy_customers_csv].[signup_date (Quarter)].[All]" allUniqueName="[messy_customers_csv].[signup_date (Quarter)].[All]" dimensionUniqueName="[messy_customers_csv]" displayFolder="" count="0" memberValueDatatype="130" unbalanced="0"/>
    <cacheHierarchy uniqueName="[messy_customers_csv].[signup_date (Month)]" caption="signup_date (Month)" attribute="1" defaultMemberUniqueName="[messy_customers_csv].[signup_date (Month)].[All]" allUniqueName="[messy_customers_csv].[signup_date (Month)].[All]" dimensionUniqueName="[messy_customers_csv]" displayFolder="" count="0" memberValueDatatype="130" unbalanced="0"/>
    <cacheHierarchy uniqueName="[messy_order_items_csv].[order_item_id]" caption="order_item_id" attribute="1" defaultMemberUniqueName="[messy_order_items_csv].[order_item_id].[All]" allUniqueName="[messy_order_items_csv].[order_item_id].[All]" dimensionUniqueName="[messy_order_items_csv]" displayFolder="" count="0" memberValueDatatype="20" unbalanced="0"/>
    <cacheHierarchy uniqueName="[messy_order_items_csv].[order_id]" caption="order_id" attribute="1" defaultMemberUniqueName="[messy_order_items_csv].[order_id].[All]" allUniqueName="[messy_order_items_csv].[order_id].[All]" dimensionUniqueName="[messy_order_items_csv]" displayFolder="" count="0" memberValueDatatype="130" unbalanced="0"/>
    <cacheHierarchy uniqueName="[messy_order_items_csv].[product_id]" caption="product_id" attribute="1" defaultMemberUniqueName="[messy_order_items_csv].[product_id].[All]" allUniqueName="[messy_order_items_csv].[product_id].[All]" dimensionUniqueName="[messy_order_items_csv]" displayFolder="" count="0" memberValueDatatype="130" unbalanced="0"/>
    <cacheHierarchy uniqueName="[messy_order_items_csv].[quantity]" caption="quantity" attribute="1" defaultMemberUniqueName="[messy_order_items_csv].[quantity].[All]" allUniqueName="[messy_order_items_csv].[quantity].[All]" dimensionUniqueName="[messy_order_items_csv]" displayFolder="" count="0" memberValueDatatype="20" unbalanced="0"/>
    <cacheHierarchy uniqueName="[messy_order_items_csv].[unit_price]" caption="unit_price" attribute="1" defaultMemberUniqueName="[messy_order_items_csv].[unit_price].[All]" allUniqueName="[messy_order_items_csv].[unit_price].[All]" dimensionUniqueName="[messy_order_items_csv]" displayFolder="" count="0" memberValueDatatype="20" unbalanced="0"/>
    <cacheHierarchy uniqueName="[messy_order_items_csv].[total_amount]" caption="total_amount" attribute="1" defaultMemberUniqueName="[messy_order_items_csv].[total_amount].[All]" allUniqueName="[messy_order_items_csv].[total_amount].[All]" dimensionUniqueName="[messy_order_items_csv]" displayFolder="" count="0" memberValueDatatype="20" unbalanced="0"/>
    <cacheHierarchy uniqueName="[messy_orders_csv].[order_id]" caption="order_id" attribute="1" defaultMemberUniqueName="[messy_orders_csv].[order_id].[All]" allUniqueName="[messy_orders_csv].[order_id].[All]" dimensionUniqueName="[messy_orders_csv]" displayFolder="" count="0" memberValueDatatype="130" unbalanced="0"/>
    <cacheHierarchy uniqueName="[messy_orders_csv].[customer_id]" caption="customer_id" attribute="1" defaultMemberUniqueName="[messy_orders_csv].[customer_id].[All]" allUniqueName="[messy_orders_csv].[customer_id].[All]" dimensionUniqueName="[messy_orders_csv]" displayFolder="" count="0" memberValueDatatype="130" unbalanced="0"/>
    <cacheHierarchy uniqueName="[messy_orders_csv].[order_date]" caption="order_date" attribute="1" time="1" defaultMemberUniqueName="[messy_orders_csv].[order_date].[All]" allUniqueName="[messy_orders_csv].[order_date].[All]" dimensionUniqueName="[messy_orders_csv]" displayFolder="" count="0" memberValueDatatype="7" unbalanced="0"/>
    <cacheHierarchy uniqueName="[messy_orders_csv].[payment_method]" caption="payment_method" attribute="1" defaultMemberUniqueName="[messy_orders_csv].[payment_method].[All]" allUniqueName="[messy_orders_csv].[payment_method].[All]" dimensionUniqueName="[messy_orders_csv]" displayFolder="" count="2" memberValueDatatype="130" unbalanced="0">
      <fieldsUsage count="2">
        <fieldUsage x="-1"/>
        <fieldUsage x="0"/>
      </fieldsUsage>
    </cacheHierarchy>
    <cacheHierarchy uniqueName="[messy_orders_csv].[order_date (Year)]" caption="order_date (Year)" attribute="1" defaultMemberUniqueName="[messy_orders_csv].[order_date (Year)].[All]" allUniqueName="[messy_orders_csv].[order_date (Year)].[All]" dimensionUniqueName="[messy_orders_csv]" displayFolder="" count="2" memberValueDatatype="130" unbalanced="0"/>
    <cacheHierarchy uniqueName="[messy_orders_csv].[order_date (Quarter)]" caption="order_date (Quarter)" attribute="1" defaultMemberUniqueName="[messy_orders_csv].[order_date (Quarter)].[All]" allUniqueName="[messy_orders_csv].[order_date (Quarter)].[All]" dimensionUniqueName="[messy_orders_csv]" displayFolder="" count="0" memberValueDatatype="130" unbalanced="0"/>
    <cacheHierarchy uniqueName="[messy_orders_csv].[order_date (Month)]" caption="order_date (Month)" attribute="1" defaultMemberUniqueName="[messy_orders_csv].[order_date (Month)].[All]" allUniqueName="[messy_orders_csv].[order_date (Month)].[All]" dimensionUniqueName="[messy_orders_csv]" displayFolder="" count="0" memberValueDatatype="130" unbalanced="0"/>
    <cacheHierarchy uniqueName="[messy_products_csv].[product_id]" caption="product_id" attribute="1" defaultMemberUniqueName="[messy_products_csv].[product_id].[All]" allUniqueName="[messy_products_csv].[product_id].[All]" dimensionUniqueName="[messy_products_csv]" displayFolder="" count="0" memberValueDatatype="130" unbalanced="0"/>
    <cacheHierarchy uniqueName="[messy_products_csv].[product_name]" caption="product_name" attribute="1" defaultMemberUniqueName="[messy_products_csv].[product_name].[All]" allUniqueName="[messy_products_csv].[product_name].[All]" dimensionUniqueName="[messy_products_csv]" displayFolder="" count="0" memberValueDatatype="130" unbalanced="0"/>
    <cacheHierarchy uniqueName="[messy_products_csv].[category]" caption="category" attribute="1" defaultMemberUniqueName="[messy_products_csv].[category].[All]" allUniqueName="[messy_products_csv].[category].[All]" dimensionUniqueName="[messy_products_csv]" displayFolder="" count="2" memberValueDatatype="130" unbalanced="0">
      <fieldsUsage count="2">
        <fieldUsage x="-1"/>
        <fieldUsage x="2"/>
      </fieldsUsage>
    </cacheHierarchy>
    <cacheHierarchy uniqueName="[messy_products_csv].[base_price]" caption="base_price" attribute="1" defaultMemberUniqueName="[messy_products_csv].[base_price].[All]" allUniqueName="[messy_products_csv].[base_price].[All]" dimensionUniqueName="[messy_products_csv]" displayFolder="" count="0" memberValueDatatype="20" unbalanced="0"/>
    <cacheHierarchy uniqueName="[messy_customers_csv].[signup_date (Month Index)]" caption="signup_date (Month Index)" attribute="1" defaultMemberUniqueName="[messy_customers_csv].[signup_date (Month Index)].[All]" allUniqueName="[messy_customers_csv].[signup_date (Month Index)].[All]" dimensionUniqueName="[messy_customers_csv]" displayFolder="" count="0" memberValueDatatype="20" unbalanced="0" hidden="1"/>
    <cacheHierarchy uniqueName="[messy_orders_csv].[order_date (Month Index)]" caption="order_date (Month Index)" attribute="1" defaultMemberUniqueName="[messy_orders_csv].[order_date (Month Index)].[All]" allUniqueName="[messy_orders_csv].[order_date (Month Index)].[All]" dimensionUniqueName="[messy_orders_csv]" displayFolder="" count="0" memberValueDatatype="20" unbalanced="0" hidden="1"/>
    <cacheHierarchy uniqueName="[Measures].[__XL_Count messy_order_items_csv]" caption="__XL_Count messy_order_items_csv" measure="1" displayFolder="" measureGroup="messy_order_items_csv" count="0" hidden="1"/>
    <cacheHierarchy uniqueName="[Measures].[__XL_Count messy_orders_csv]" caption="__XL_Count messy_orders_csv" measure="1" displayFolder="" measureGroup="messy_orders_csv" count="0" hidden="1"/>
    <cacheHierarchy uniqueName="[Measures].[__XL_Count messy_products_csv]" caption="__XL_Count messy_products_csv" measure="1" displayFolder="" measureGroup="messy_products_csv" count="0" hidden="1"/>
    <cacheHierarchy uniqueName="[Measures].[__XL_Count messy_customers_csv]" caption="__XL_Count messy_customers_csv" measure="1" displayFolder="" measureGroup="messy_customers_csv" count="0" hidden="1"/>
    <cacheHierarchy uniqueName="[Measures].[__No measures defined]" caption="__No measures defined" measure="1" displayFolder="" count="0" hidden="1"/>
    <cacheHierarchy uniqueName="[Measures].[Count of order_id]" caption="Count of order_id" measure="1" displayFolder="" measureGroup="messy_orders_csv" count="0" hidden="1">
      <extLst>
        <ext xmlns:x15="http://schemas.microsoft.com/office/spreadsheetml/2010/11/main" uri="{B97F6D7D-B522-45F9-BDA1-12C45D357490}">
          <x15:cacheHierarchy aggregatedColumn="13"/>
        </ext>
      </extLst>
    </cacheHierarchy>
    <cacheHierarchy uniqueName="[Measures].[Sum of total_amount]" caption="Sum of total_amount" measure="1" displayFolder="" measureGroup="messy_order_items_csv" count="0" oneField="1" hidden="1">
      <fieldsUsage count="1">
        <fieldUsage x="1"/>
      </fieldsUsage>
      <extLst>
        <ext xmlns:x15="http://schemas.microsoft.com/office/spreadsheetml/2010/11/main" uri="{B97F6D7D-B522-45F9-BDA1-12C45D357490}">
          <x15:cacheHierarchy aggregatedColumn="12"/>
        </ext>
      </extLst>
    </cacheHierarchy>
    <cacheHierarchy uniqueName="[Measures].[Count of product_id]" caption="Count of product_id" measure="1" displayFolder="" measureGroup="messy_products_csv" count="0" hidden="1">
      <extLst>
        <ext xmlns:x15="http://schemas.microsoft.com/office/spreadsheetml/2010/11/main" uri="{B97F6D7D-B522-45F9-BDA1-12C45D357490}">
          <x15:cacheHierarchy aggregatedColumn="20"/>
        </ext>
      </extLst>
    </cacheHierarchy>
    <cacheHierarchy uniqueName="[Measures].[Count of customer_id]" caption="Count of customer_id" measure="1" displayFolder="" measureGroup="messy_customers_csv" count="0" hidden="1">
      <extLst>
        <ext xmlns:x15="http://schemas.microsoft.com/office/spreadsheetml/2010/11/main" uri="{B97F6D7D-B522-45F9-BDA1-12C45D357490}">
          <x15:cacheHierarchy aggregatedColumn="0"/>
        </ext>
      </extLst>
    </cacheHierarchy>
    <cacheHierarchy uniqueName="[Measures].[Count of product_name]" caption="Count of product_name" measure="1" displayFolder="" measureGroup="messy_products_csv" count="0" hidden="1">
      <extLst>
        <ext xmlns:x15="http://schemas.microsoft.com/office/spreadsheetml/2010/11/main" uri="{B97F6D7D-B522-45F9-BDA1-12C45D357490}">
          <x15:cacheHierarchy aggregatedColumn="21"/>
        </ext>
      </extLst>
    </cacheHierarchy>
    <cacheHierarchy uniqueName="[Measures].[Count of order_id 2]" caption="Count of order_id 2" measure="1" displayFolder="" measureGroup="messy_order_items_csv" count="0" hidden="1">
      <extLst>
        <ext xmlns:x15="http://schemas.microsoft.com/office/spreadsheetml/2010/11/main" uri="{B97F6D7D-B522-45F9-BDA1-12C45D357490}">
          <x15:cacheHierarchy aggregatedColumn="8"/>
        </ext>
      </extLst>
    </cacheHierarchy>
    <cacheHierarchy uniqueName="[Measures].[Sum of quantity]" caption="Sum of quantity" measure="1" displayFolder="" measureGroup="messy_order_items_csv" count="0" hidden="1">
      <extLst>
        <ext xmlns:x15="http://schemas.microsoft.com/office/spreadsheetml/2010/11/main" uri="{B97F6D7D-B522-45F9-BDA1-12C45D357490}">
          <x15:cacheHierarchy aggregatedColumn="10"/>
        </ext>
      </extLst>
    </cacheHierarchy>
  </cacheHierarchies>
  <kpis count="0"/>
  <dimensions count="5">
    <dimension measure="1" name="Measures" uniqueName="[Measures]" caption="Measures"/>
    <dimension name="messy_customers_csv" uniqueName="[messy_customers_csv]" caption="messy_customers_csv"/>
    <dimension name="messy_order_items_csv" uniqueName="[messy_order_items_csv]" caption="messy_order_items_csv"/>
    <dimension name="messy_orders_csv" uniqueName="[messy_orders_csv]" caption="messy_orders_csv"/>
    <dimension name="messy_products_csv" uniqueName="[messy_products_csv]" caption="messy_products_csv"/>
  </dimensions>
  <measureGroups count="4">
    <measureGroup name="messy_customers_csv" caption="messy_customers_csv"/>
    <measureGroup name="messy_order_items_csv" caption="messy_order_items_csv"/>
    <measureGroup name="messy_orders_csv" caption="messy_orders_csv"/>
    <measureGroup name="messy_products_csv" caption="messy_products_csv"/>
  </measureGroups>
  <maps count="8">
    <map measureGroup="0" dimension="1"/>
    <map measureGroup="1" dimension="1"/>
    <map measureGroup="1" dimension="2"/>
    <map measureGroup="1" dimension="3"/>
    <map measureGroup="1" dimension="4"/>
    <map measureGroup="2" dimension="1"/>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ish kumar" refreshedDate="46155.781867708334" backgroundQuery="1" createdVersion="8" refreshedVersion="8" minRefreshableVersion="3" recordCount="0" supportSubquery="1" supportAdvancedDrill="1" xr:uid="{6CEB780E-A729-46CD-84C7-29E290A01F94}">
  <cacheSource type="external" connectionId="6"/>
  <cacheFields count="3">
    <cacheField name="[Measures].[Sum of total_amount]" caption="Sum of total_amount" numFmtId="0" hierarchy="32" level="32767"/>
    <cacheField name="[messy_customers_csv].[city].[city]" caption="city" numFmtId="0" hierarchy="2" level="1">
      <sharedItems count="7">
        <s v="Bangalore"/>
        <s v="Chennai"/>
        <s v="Delhi"/>
        <s v="Hyderabad"/>
        <s v="Kolkata"/>
        <s v="Mumbai"/>
        <s v="Pune"/>
      </sharedItems>
    </cacheField>
    <cacheField name="[messy_products_csv].[category].[category]" caption="category" numFmtId="0" hierarchy="22" level="1">
      <sharedItems containsSemiMixedTypes="0" containsNonDate="0" containsString="0"/>
    </cacheField>
  </cacheFields>
  <cacheHierarchies count="38">
    <cacheHierarchy uniqueName="[messy_customers_csv].[customer_id]" caption="customer_id" attribute="1" defaultMemberUniqueName="[messy_customers_csv].[customer_id].[All]" allUniqueName="[messy_customers_csv].[customer_id].[All]" dimensionUniqueName="[messy_customers_csv]" displayFolder="" count="2" memberValueDatatype="130" unbalanced="0"/>
    <cacheHierarchy uniqueName="[messy_customers_csv].[customer_name]" caption="customer_name" attribute="1" defaultMemberUniqueName="[messy_customers_csv].[customer_name].[All]" allUniqueName="[messy_customers_csv].[customer_name].[All]" dimensionUniqueName="[messy_customers_csv]" displayFolder="" count="2" memberValueDatatype="130" unbalanced="0"/>
    <cacheHierarchy uniqueName="[messy_customers_csv].[city]" caption="city" attribute="1" defaultMemberUniqueName="[messy_customers_csv].[city].[All]" allUniqueName="[messy_customers_csv].[city].[All]" dimensionUniqueName="[messy_customers_csv]" displayFolder="" count="2" memberValueDatatype="130" unbalanced="0">
      <fieldsUsage count="2">
        <fieldUsage x="-1"/>
        <fieldUsage x="1"/>
      </fieldsUsage>
    </cacheHierarchy>
    <cacheHierarchy uniqueName="[messy_customers_csv].[signup_date]" caption="signup_date" attribute="1" time="1" defaultMemberUniqueName="[messy_customers_csv].[signup_date].[All]" allUniqueName="[messy_customers_csv].[signup_date].[All]" dimensionUniqueName="[messy_customers_csv]" displayFolder="" count="2" memberValueDatatype="7" unbalanced="0"/>
    <cacheHierarchy uniqueName="[messy_customers_csv].[signup_date (Year)]" caption="signup_date (Year)" attribute="1" defaultMemberUniqueName="[messy_customers_csv].[signup_date (Year)].[All]" allUniqueName="[messy_customers_csv].[signup_date (Year)].[All]" dimensionUniqueName="[messy_customers_csv]" displayFolder="" count="2" memberValueDatatype="130" unbalanced="0"/>
    <cacheHierarchy uniqueName="[messy_customers_csv].[signup_date (Quarter)]" caption="signup_date (Quarter)" attribute="1" defaultMemberUniqueName="[messy_customers_csv].[signup_date (Quarter)].[All]" allUniqueName="[messy_customers_csv].[signup_date (Quarter)].[All]" dimensionUniqueName="[messy_customers_csv]" displayFolder="" count="2" memberValueDatatype="130" unbalanced="0"/>
    <cacheHierarchy uniqueName="[messy_customers_csv].[signup_date (Month)]" caption="signup_date (Month)" attribute="1" defaultMemberUniqueName="[messy_customers_csv].[signup_date (Month)].[All]" allUniqueName="[messy_customers_csv].[signup_date (Month)].[All]" dimensionUniqueName="[messy_customers_csv]" displayFolder="" count="2" memberValueDatatype="130" unbalanced="0"/>
    <cacheHierarchy uniqueName="[messy_order_items_csv].[order_item_id]" caption="order_item_id" attribute="1" defaultMemberUniqueName="[messy_order_items_csv].[order_item_id].[All]" allUniqueName="[messy_order_items_csv].[order_item_id].[All]" dimensionUniqueName="[messy_order_items_csv]" displayFolder="" count="2" memberValueDatatype="20" unbalanced="0"/>
    <cacheHierarchy uniqueName="[messy_order_items_csv].[order_id]" caption="order_id" attribute="1" defaultMemberUniqueName="[messy_order_items_csv].[order_id].[All]" allUniqueName="[messy_order_items_csv].[order_id].[All]" dimensionUniqueName="[messy_order_items_csv]" displayFolder="" count="2" memberValueDatatype="130" unbalanced="0"/>
    <cacheHierarchy uniqueName="[messy_order_items_csv].[product_id]" caption="product_id" attribute="1" defaultMemberUniqueName="[messy_order_items_csv].[product_id].[All]" allUniqueName="[messy_order_items_csv].[product_id].[All]" dimensionUniqueName="[messy_order_items_csv]" displayFolder="" count="2" memberValueDatatype="130" unbalanced="0"/>
    <cacheHierarchy uniqueName="[messy_order_items_csv].[quantity]" caption="quantity" attribute="1" defaultMemberUniqueName="[messy_order_items_csv].[quantity].[All]" allUniqueName="[messy_order_items_csv].[quantity].[All]" dimensionUniqueName="[messy_order_items_csv]" displayFolder="" count="2" memberValueDatatype="20" unbalanced="0"/>
    <cacheHierarchy uniqueName="[messy_order_items_csv].[unit_price]" caption="unit_price" attribute="1" defaultMemberUniqueName="[messy_order_items_csv].[unit_price].[All]" allUniqueName="[messy_order_items_csv].[unit_price].[All]" dimensionUniqueName="[messy_order_items_csv]" displayFolder="" count="2" memberValueDatatype="20" unbalanced="0"/>
    <cacheHierarchy uniqueName="[messy_order_items_csv].[total_amount]" caption="total_amount" attribute="1" defaultMemberUniqueName="[messy_order_items_csv].[total_amount].[All]" allUniqueName="[messy_order_items_csv].[total_amount].[All]" dimensionUniqueName="[messy_order_items_csv]" displayFolder="" count="2" memberValueDatatype="20" unbalanced="0"/>
    <cacheHierarchy uniqueName="[messy_orders_csv].[order_id]" caption="order_id" attribute="1" defaultMemberUniqueName="[messy_orders_csv].[order_id].[All]" allUniqueName="[messy_orders_csv].[order_id].[All]" dimensionUniqueName="[messy_orders_csv]" displayFolder="" count="2" memberValueDatatype="130" unbalanced="0"/>
    <cacheHierarchy uniqueName="[messy_orders_csv].[customer_id]" caption="customer_id" attribute="1" defaultMemberUniqueName="[messy_orders_csv].[customer_id].[All]" allUniqueName="[messy_orders_csv].[customer_id].[All]" dimensionUniqueName="[messy_orders_csv]" displayFolder="" count="2" memberValueDatatype="130" unbalanced="0"/>
    <cacheHierarchy uniqueName="[messy_orders_csv].[order_date]" caption="order_date" attribute="1" time="1" defaultMemberUniqueName="[messy_orders_csv].[order_date].[All]" allUniqueName="[messy_orders_csv].[order_date].[All]" dimensionUniqueName="[messy_orders_csv]" displayFolder="" count="2" memberValueDatatype="7" unbalanced="0"/>
    <cacheHierarchy uniqueName="[messy_orders_csv].[payment_method]" caption="payment_method" attribute="1" defaultMemberUniqueName="[messy_orders_csv].[payment_method].[All]" allUniqueName="[messy_orders_csv].[payment_method].[All]" dimensionUniqueName="[messy_orders_csv]" displayFolder="" count="2" memberValueDatatype="130" unbalanced="0"/>
    <cacheHierarchy uniqueName="[messy_orders_csv].[order_date (Year)]" caption="order_date (Year)" attribute="1" defaultMemberUniqueName="[messy_orders_csv].[order_date (Year)].[All]" allUniqueName="[messy_orders_csv].[order_date (Year)].[All]" dimensionUniqueName="[messy_orders_csv]" displayFolder="" count="2" memberValueDatatype="130" unbalanced="0"/>
    <cacheHierarchy uniqueName="[messy_orders_csv].[order_date (Quarter)]" caption="order_date (Quarter)" attribute="1" defaultMemberUniqueName="[messy_orders_csv].[order_date (Quarter)].[All]" allUniqueName="[messy_orders_csv].[order_date (Quarter)].[All]" dimensionUniqueName="[messy_orders_csv]" displayFolder="" count="2" memberValueDatatype="130" unbalanced="0"/>
    <cacheHierarchy uniqueName="[messy_orders_csv].[order_date (Month)]" caption="order_date (Month)" attribute="1" defaultMemberUniqueName="[messy_orders_csv].[order_date (Month)].[All]" allUniqueName="[messy_orders_csv].[order_date (Month)].[All]" dimensionUniqueName="[messy_orders_csv]" displayFolder="" count="2" memberValueDatatype="130" unbalanced="0"/>
    <cacheHierarchy uniqueName="[messy_products_csv].[product_id]" caption="product_id" attribute="1" defaultMemberUniqueName="[messy_products_csv].[product_id].[All]" allUniqueName="[messy_products_csv].[product_id].[All]" dimensionUniqueName="[messy_products_csv]" displayFolder="" count="2" memberValueDatatype="130" unbalanced="0"/>
    <cacheHierarchy uniqueName="[messy_products_csv].[product_name]" caption="product_name" attribute="1" defaultMemberUniqueName="[messy_products_csv].[product_name].[All]" allUniqueName="[messy_products_csv].[product_name].[All]" dimensionUniqueName="[messy_products_csv]" displayFolder="" count="2" memberValueDatatype="130" unbalanced="0"/>
    <cacheHierarchy uniqueName="[messy_products_csv].[category]" caption="category" attribute="1" defaultMemberUniqueName="[messy_products_csv].[category].[All]" allUniqueName="[messy_products_csv].[category].[All]" dimensionUniqueName="[messy_products_csv]" displayFolder="" count="2" memberValueDatatype="130" unbalanced="0">
      <fieldsUsage count="2">
        <fieldUsage x="-1"/>
        <fieldUsage x="2"/>
      </fieldsUsage>
    </cacheHierarchy>
    <cacheHierarchy uniqueName="[messy_products_csv].[base_price]" caption="base_price" attribute="1" defaultMemberUniqueName="[messy_products_csv].[base_price].[All]" allUniqueName="[messy_products_csv].[base_price].[All]" dimensionUniqueName="[messy_products_csv]" displayFolder="" count="2" memberValueDatatype="20" unbalanced="0"/>
    <cacheHierarchy uniqueName="[messy_customers_csv].[signup_date (Month Index)]" caption="signup_date (Month Index)" attribute="1" defaultMemberUniqueName="[messy_customers_csv].[signup_date (Month Index)].[All]" allUniqueName="[messy_customers_csv].[signup_date (Month Index)].[All]" dimensionUniqueName="[messy_customers_csv]" displayFolder="" count="2" memberValueDatatype="20" unbalanced="0" hidden="1"/>
    <cacheHierarchy uniqueName="[messy_orders_csv].[order_date (Month Index)]" caption="order_date (Month Index)" attribute="1" defaultMemberUniqueName="[messy_orders_csv].[order_date (Month Index)].[All]" allUniqueName="[messy_orders_csv].[order_date (Month Index)].[All]" dimensionUniqueName="[messy_orders_csv]" displayFolder="" count="2" memberValueDatatype="20" unbalanced="0" hidden="1"/>
    <cacheHierarchy uniqueName="[Measures].[__XL_Count messy_order_items_csv]" caption="__XL_Count messy_order_items_csv" measure="1" displayFolder="" measureGroup="messy_order_items_csv" count="0" hidden="1"/>
    <cacheHierarchy uniqueName="[Measures].[__XL_Count messy_orders_csv]" caption="__XL_Count messy_orders_csv" measure="1" displayFolder="" measureGroup="messy_orders_csv" count="0" hidden="1"/>
    <cacheHierarchy uniqueName="[Measures].[__XL_Count messy_products_csv]" caption="__XL_Count messy_products_csv" measure="1" displayFolder="" measureGroup="messy_products_csv" count="0" hidden="1"/>
    <cacheHierarchy uniqueName="[Measures].[__XL_Count messy_customers_csv]" caption="__XL_Count messy_customers_csv" measure="1" displayFolder="" measureGroup="messy_customers_csv" count="0" hidden="1"/>
    <cacheHierarchy uniqueName="[Measures].[__No measures defined]" caption="__No measures defined" measure="1" displayFolder="" count="0" hidden="1"/>
    <cacheHierarchy uniqueName="[Measures].[Count of order_id]" caption="Count of order_id" measure="1" displayFolder="" measureGroup="messy_orders_csv" count="0" hidden="1">
      <extLst>
        <ext xmlns:x15="http://schemas.microsoft.com/office/spreadsheetml/2010/11/main" uri="{B97F6D7D-B522-45F9-BDA1-12C45D357490}">
          <x15:cacheHierarchy aggregatedColumn="13"/>
        </ext>
      </extLst>
    </cacheHierarchy>
    <cacheHierarchy uniqueName="[Measures].[Sum of total_amount]" caption="Sum of total_amount" measure="1" displayFolder="" measureGroup="messy_order_items_csv" count="0" oneField="1" hidden="1">
      <fieldsUsage count="1">
        <fieldUsage x="0"/>
      </fieldsUsage>
      <extLst>
        <ext xmlns:x15="http://schemas.microsoft.com/office/spreadsheetml/2010/11/main" uri="{B97F6D7D-B522-45F9-BDA1-12C45D357490}">
          <x15:cacheHierarchy aggregatedColumn="12"/>
        </ext>
      </extLst>
    </cacheHierarchy>
    <cacheHierarchy uniqueName="[Measures].[Count of product_id]" caption="Count of product_id" measure="1" displayFolder="" measureGroup="messy_products_csv" count="0" hidden="1">
      <extLst>
        <ext xmlns:x15="http://schemas.microsoft.com/office/spreadsheetml/2010/11/main" uri="{B97F6D7D-B522-45F9-BDA1-12C45D357490}">
          <x15:cacheHierarchy aggregatedColumn="20"/>
        </ext>
      </extLst>
    </cacheHierarchy>
    <cacheHierarchy uniqueName="[Measures].[Count of customer_id]" caption="Count of customer_id" measure="1" displayFolder="" measureGroup="messy_customers_csv" count="0" hidden="1">
      <extLst>
        <ext xmlns:x15="http://schemas.microsoft.com/office/spreadsheetml/2010/11/main" uri="{B97F6D7D-B522-45F9-BDA1-12C45D357490}">
          <x15:cacheHierarchy aggregatedColumn="0"/>
        </ext>
      </extLst>
    </cacheHierarchy>
    <cacheHierarchy uniqueName="[Measures].[Count of product_name]" caption="Count of product_name" measure="1" displayFolder="" measureGroup="messy_products_csv" count="0" hidden="1">
      <extLst>
        <ext xmlns:x15="http://schemas.microsoft.com/office/spreadsheetml/2010/11/main" uri="{B97F6D7D-B522-45F9-BDA1-12C45D357490}">
          <x15:cacheHierarchy aggregatedColumn="21"/>
        </ext>
      </extLst>
    </cacheHierarchy>
    <cacheHierarchy uniqueName="[Measures].[Count of order_id 2]" caption="Count of order_id 2" measure="1" displayFolder="" measureGroup="messy_order_items_csv" count="0" hidden="1">
      <extLst>
        <ext xmlns:x15="http://schemas.microsoft.com/office/spreadsheetml/2010/11/main" uri="{B97F6D7D-B522-45F9-BDA1-12C45D357490}">
          <x15:cacheHierarchy aggregatedColumn="8"/>
        </ext>
      </extLst>
    </cacheHierarchy>
    <cacheHierarchy uniqueName="[Measures].[Sum of quantity]" caption="Sum of quantity" measure="1" displayFolder="" measureGroup="messy_order_items_csv" count="0" hidden="1">
      <extLst>
        <ext xmlns:x15="http://schemas.microsoft.com/office/spreadsheetml/2010/11/main" uri="{B97F6D7D-B522-45F9-BDA1-12C45D357490}">
          <x15:cacheHierarchy aggregatedColumn="10"/>
        </ext>
      </extLst>
    </cacheHierarchy>
  </cacheHierarchies>
  <kpis count="0"/>
  <dimensions count="5">
    <dimension measure="1" name="Measures" uniqueName="[Measures]" caption="Measures"/>
    <dimension name="messy_customers_csv" uniqueName="[messy_customers_csv]" caption="messy_customers_csv"/>
    <dimension name="messy_order_items_csv" uniqueName="[messy_order_items_csv]" caption="messy_order_items_csv"/>
    <dimension name="messy_orders_csv" uniqueName="[messy_orders_csv]" caption="messy_orders_csv"/>
    <dimension name="messy_products_csv" uniqueName="[messy_products_csv]" caption="messy_products_csv"/>
  </dimensions>
  <measureGroups count="4">
    <measureGroup name="messy_customers_csv" caption="messy_customers_csv"/>
    <measureGroup name="messy_order_items_csv" caption="messy_order_items_csv"/>
    <measureGroup name="messy_orders_csv" caption="messy_orders_csv"/>
    <measureGroup name="messy_products_csv" caption="messy_products_csv"/>
  </measureGroups>
  <maps count="8">
    <map measureGroup="0" dimension="1"/>
    <map measureGroup="1" dimension="1"/>
    <map measureGroup="1" dimension="2"/>
    <map measureGroup="1" dimension="3"/>
    <map measureGroup="1" dimension="4"/>
    <map measureGroup="2" dimension="1"/>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ish kumar" refreshedDate="46155.781868865743" backgroundQuery="1" createdVersion="8" refreshedVersion="8" minRefreshableVersion="3" recordCount="0" supportSubquery="1" supportAdvancedDrill="1" xr:uid="{762122D1-E8DD-470A-BA45-B5F03B103C09}">
  <cacheSource type="external" connectionId="6"/>
  <cacheFields count="2">
    <cacheField name="[messy_products_csv].[category].[category]" caption="category" numFmtId="0" hierarchy="22" level="1">
      <sharedItems count="4">
        <s v="Accessory"/>
        <s v="Laptop"/>
        <s v="Smart Phone"/>
        <s v="Tablet"/>
      </sharedItems>
    </cacheField>
    <cacheField name="[Measures].[Count of product_name]" caption="Count of product_name" numFmtId="0" hierarchy="35" level="32767"/>
  </cacheFields>
  <cacheHierarchies count="38">
    <cacheHierarchy uniqueName="[messy_customers_csv].[customer_id]" caption="customer_id" attribute="1" defaultMemberUniqueName="[messy_customers_csv].[customer_id].[All]" allUniqueName="[messy_customers_csv].[customer_id].[All]" dimensionUniqueName="[messy_customers_csv]" displayFolder="" count="0" memberValueDatatype="130" unbalanced="0"/>
    <cacheHierarchy uniqueName="[messy_customers_csv].[customer_name]" caption="customer_name" attribute="1" defaultMemberUniqueName="[messy_customers_csv].[customer_name].[All]" allUniqueName="[messy_customers_csv].[customer_name].[All]" dimensionUniqueName="[messy_customers_csv]" displayFolder="" count="0" memberValueDatatype="130" unbalanced="0"/>
    <cacheHierarchy uniqueName="[messy_customers_csv].[city]" caption="city" attribute="1" defaultMemberUniqueName="[messy_customers_csv].[city].[All]" allUniqueName="[messy_customers_csv].[city].[All]" dimensionUniqueName="[messy_customers_csv]" displayFolder="" count="2" memberValueDatatype="130" unbalanced="0"/>
    <cacheHierarchy uniqueName="[messy_customers_csv].[signup_date]" caption="signup_date" attribute="1" time="1" defaultMemberUniqueName="[messy_customers_csv].[signup_date].[All]" allUniqueName="[messy_customers_csv].[signup_date].[All]" dimensionUniqueName="[messy_customers_csv]" displayFolder="" count="0" memberValueDatatype="7" unbalanced="0"/>
    <cacheHierarchy uniqueName="[messy_customers_csv].[signup_date (Year)]" caption="signup_date (Year)" attribute="1" defaultMemberUniqueName="[messy_customers_csv].[signup_date (Year)].[All]" allUniqueName="[messy_customers_csv].[signup_date (Year)].[All]" dimensionUniqueName="[messy_customers_csv]" displayFolder="" count="2" memberValueDatatype="130" unbalanced="0"/>
    <cacheHierarchy uniqueName="[messy_customers_csv].[signup_date (Quarter)]" caption="signup_date (Quarter)" attribute="1" defaultMemberUniqueName="[messy_customers_csv].[signup_date (Quarter)].[All]" allUniqueName="[messy_customers_csv].[signup_date (Quarter)].[All]" dimensionUniqueName="[messy_customers_csv]" displayFolder="" count="0" memberValueDatatype="130" unbalanced="0"/>
    <cacheHierarchy uniqueName="[messy_customers_csv].[signup_date (Month)]" caption="signup_date (Month)" attribute="1" defaultMemberUniqueName="[messy_customers_csv].[signup_date (Month)].[All]" allUniqueName="[messy_customers_csv].[signup_date (Month)].[All]" dimensionUniqueName="[messy_customers_csv]" displayFolder="" count="0" memberValueDatatype="130" unbalanced="0"/>
    <cacheHierarchy uniqueName="[messy_order_items_csv].[order_item_id]" caption="order_item_id" attribute="1" defaultMemberUniqueName="[messy_order_items_csv].[order_item_id].[All]" allUniqueName="[messy_order_items_csv].[order_item_id].[All]" dimensionUniqueName="[messy_order_items_csv]" displayFolder="" count="0" memberValueDatatype="20" unbalanced="0"/>
    <cacheHierarchy uniqueName="[messy_order_items_csv].[order_id]" caption="order_id" attribute="1" defaultMemberUniqueName="[messy_order_items_csv].[order_id].[All]" allUniqueName="[messy_order_items_csv].[order_id].[All]" dimensionUniqueName="[messy_order_items_csv]" displayFolder="" count="0" memberValueDatatype="130" unbalanced="0"/>
    <cacheHierarchy uniqueName="[messy_order_items_csv].[product_id]" caption="product_id" attribute="1" defaultMemberUniqueName="[messy_order_items_csv].[product_id].[All]" allUniqueName="[messy_order_items_csv].[product_id].[All]" dimensionUniqueName="[messy_order_items_csv]" displayFolder="" count="0" memberValueDatatype="130" unbalanced="0"/>
    <cacheHierarchy uniqueName="[messy_order_items_csv].[quantity]" caption="quantity" attribute="1" defaultMemberUniqueName="[messy_order_items_csv].[quantity].[All]" allUniqueName="[messy_order_items_csv].[quantity].[All]" dimensionUniqueName="[messy_order_items_csv]" displayFolder="" count="0" memberValueDatatype="20" unbalanced="0"/>
    <cacheHierarchy uniqueName="[messy_order_items_csv].[unit_price]" caption="unit_price" attribute="1" defaultMemberUniqueName="[messy_order_items_csv].[unit_price].[All]" allUniqueName="[messy_order_items_csv].[unit_price].[All]" dimensionUniqueName="[messy_order_items_csv]" displayFolder="" count="0" memberValueDatatype="20" unbalanced="0"/>
    <cacheHierarchy uniqueName="[messy_order_items_csv].[total_amount]" caption="total_amount" attribute="1" defaultMemberUniqueName="[messy_order_items_csv].[total_amount].[All]" allUniqueName="[messy_order_items_csv].[total_amount].[All]" dimensionUniqueName="[messy_order_items_csv]" displayFolder="" count="0" memberValueDatatype="20" unbalanced="0"/>
    <cacheHierarchy uniqueName="[messy_orders_csv].[order_id]" caption="order_id" attribute="1" defaultMemberUniqueName="[messy_orders_csv].[order_id].[All]" allUniqueName="[messy_orders_csv].[order_id].[All]" dimensionUniqueName="[messy_orders_csv]" displayFolder="" count="0" memberValueDatatype="130" unbalanced="0"/>
    <cacheHierarchy uniqueName="[messy_orders_csv].[customer_id]" caption="customer_id" attribute="1" defaultMemberUniqueName="[messy_orders_csv].[customer_id].[All]" allUniqueName="[messy_orders_csv].[customer_id].[All]" dimensionUniqueName="[messy_orders_csv]" displayFolder="" count="0" memberValueDatatype="130" unbalanced="0"/>
    <cacheHierarchy uniqueName="[messy_orders_csv].[order_date]" caption="order_date" attribute="1" time="1" defaultMemberUniqueName="[messy_orders_csv].[order_date].[All]" allUniqueName="[messy_orders_csv].[order_date].[All]" dimensionUniqueName="[messy_orders_csv]" displayFolder="" count="0" memberValueDatatype="7" unbalanced="0"/>
    <cacheHierarchy uniqueName="[messy_orders_csv].[payment_method]" caption="payment_method" attribute="1" defaultMemberUniqueName="[messy_orders_csv].[payment_method].[All]" allUniqueName="[messy_orders_csv].[payment_method].[All]" dimensionUniqueName="[messy_orders_csv]" displayFolder="" count="0" memberValueDatatype="130" unbalanced="0"/>
    <cacheHierarchy uniqueName="[messy_orders_csv].[order_date (Year)]" caption="order_date (Year)" attribute="1" defaultMemberUniqueName="[messy_orders_csv].[order_date (Year)].[All]" allUniqueName="[messy_orders_csv].[order_date (Year)].[All]" dimensionUniqueName="[messy_orders_csv]" displayFolder="" count="2" memberValueDatatype="130" unbalanced="0"/>
    <cacheHierarchy uniqueName="[messy_orders_csv].[order_date (Quarter)]" caption="order_date (Quarter)" attribute="1" defaultMemberUniqueName="[messy_orders_csv].[order_date (Quarter)].[All]" allUniqueName="[messy_orders_csv].[order_date (Quarter)].[All]" dimensionUniqueName="[messy_orders_csv]" displayFolder="" count="0" memberValueDatatype="130" unbalanced="0"/>
    <cacheHierarchy uniqueName="[messy_orders_csv].[order_date (Month)]" caption="order_date (Month)" attribute="1" defaultMemberUniqueName="[messy_orders_csv].[order_date (Month)].[All]" allUniqueName="[messy_orders_csv].[order_date (Month)].[All]" dimensionUniqueName="[messy_orders_csv]" displayFolder="" count="0" memberValueDatatype="130" unbalanced="0"/>
    <cacheHierarchy uniqueName="[messy_products_csv].[product_id]" caption="product_id" attribute="1" defaultMemberUniqueName="[messy_products_csv].[product_id].[All]" allUniqueName="[messy_products_csv].[product_id].[All]" dimensionUniqueName="[messy_products_csv]" displayFolder="" count="0" memberValueDatatype="130" unbalanced="0"/>
    <cacheHierarchy uniqueName="[messy_products_csv].[product_name]" caption="product_name" attribute="1" defaultMemberUniqueName="[messy_products_csv].[product_name].[All]" allUniqueName="[messy_products_csv].[product_name].[All]" dimensionUniqueName="[messy_products_csv]" displayFolder="" count="0" memberValueDatatype="130" unbalanced="0"/>
    <cacheHierarchy uniqueName="[messy_products_csv].[category]" caption="category" attribute="1" defaultMemberUniqueName="[messy_products_csv].[category].[All]" allUniqueName="[messy_products_csv].[category].[All]" dimensionUniqueName="[messy_products_csv]" displayFolder="" count="2" memberValueDatatype="130" unbalanced="0">
      <fieldsUsage count="2">
        <fieldUsage x="-1"/>
        <fieldUsage x="0"/>
      </fieldsUsage>
    </cacheHierarchy>
    <cacheHierarchy uniqueName="[messy_products_csv].[base_price]" caption="base_price" attribute="1" defaultMemberUniqueName="[messy_products_csv].[base_price].[All]" allUniqueName="[messy_products_csv].[base_price].[All]" dimensionUniqueName="[messy_products_csv]" displayFolder="" count="0" memberValueDatatype="20" unbalanced="0"/>
    <cacheHierarchy uniqueName="[messy_customers_csv].[signup_date (Month Index)]" caption="signup_date (Month Index)" attribute="1" defaultMemberUniqueName="[messy_customers_csv].[signup_date (Month Index)].[All]" allUniqueName="[messy_customers_csv].[signup_date (Month Index)].[All]" dimensionUniqueName="[messy_customers_csv]" displayFolder="" count="0" memberValueDatatype="20" unbalanced="0" hidden="1"/>
    <cacheHierarchy uniqueName="[messy_orders_csv].[order_date (Month Index)]" caption="order_date (Month Index)" attribute="1" defaultMemberUniqueName="[messy_orders_csv].[order_date (Month Index)].[All]" allUniqueName="[messy_orders_csv].[order_date (Month Index)].[All]" dimensionUniqueName="[messy_orders_csv]" displayFolder="" count="0" memberValueDatatype="20" unbalanced="0" hidden="1"/>
    <cacheHierarchy uniqueName="[Measures].[__XL_Count messy_order_items_csv]" caption="__XL_Count messy_order_items_csv" measure="1" displayFolder="" measureGroup="messy_order_items_csv" count="0" hidden="1"/>
    <cacheHierarchy uniqueName="[Measures].[__XL_Count messy_orders_csv]" caption="__XL_Count messy_orders_csv" measure="1" displayFolder="" measureGroup="messy_orders_csv" count="0" hidden="1"/>
    <cacheHierarchy uniqueName="[Measures].[__XL_Count messy_products_csv]" caption="__XL_Count messy_products_csv" measure="1" displayFolder="" measureGroup="messy_products_csv" count="0" hidden="1"/>
    <cacheHierarchy uniqueName="[Measures].[__XL_Count messy_customers_csv]" caption="__XL_Count messy_customers_csv" measure="1" displayFolder="" measureGroup="messy_customers_csv" count="0" hidden="1"/>
    <cacheHierarchy uniqueName="[Measures].[__No measures defined]" caption="__No measures defined" measure="1" displayFolder="" count="0" hidden="1"/>
    <cacheHierarchy uniqueName="[Measures].[Count of order_id]" caption="Count of order_id" measure="1" displayFolder="" measureGroup="messy_orders_csv" count="0" hidden="1">
      <extLst>
        <ext xmlns:x15="http://schemas.microsoft.com/office/spreadsheetml/2010/11/main" uri="{B97F6D7D-B522-45F9-BDA1-12C45D357490}">
          <x15:cacheHierarchy aggregatedColumn="13"/>
        </ext>
      </extLst>
    </cacheHierarchy>
    <cacheHierarchy uniqueName="[Measures].[Sum of total_amount]" caption="Sum of total_amount" measure="1" displayFolder="" measureGroup="messy_order_items_csv" count="0" hidden="1">
      <extLst>
        <ext xmlns:x15="http://schemas.microsoft.com/office/spreadsheetml/2010/11/main" uri="{B97F6D7D-B522-45F9-BDA1-12C45D357490}">
          <x15:cacheHierarchy aggregatedColumn="12"/>
        </ext>
      </extLst>
    </cacheHierarchy>
    <cacheHierarchy uniqueName="[Measures].[Count of product_id]" caption="Count of product_id" measure="1" displayFolder="" measureGroup="messy_products_csv" count="0" hidden="1">
      <extLst>
        <ext xmlns:x15="http://schemas.microsoft.com/office/spreadsheetml/2010/11/main" uri="{B97F6D7D-B522-45F9-BDA1-12C45D357490}">
          <x15:cacheHierarchy aggregatedColumn="20"/>
        </ext>
      </extLst>
    </cacheHierarchy>
    <cacheHierarchy uniqueName="[Measures].[Count of customer_id]" caption="Count of customer_id" measure="1" displayFolder="" measureGroup="messy_customers_csv" count="0" hidden="1">
      <extLst>
        <ext xmlns:x15="http://schemas.microsoft.com/office/spreadsheetml/2010/11/main" uri="{B97F6D7D-B522-45F9-BDA1-12C45D357490}">
          <x15:cacheHierarchy aggregatedColumn="0"/>
        </ext>
      </extLst>
    </cacheHierarchy>
    <cacheHierarchy uniqueName="[Measures].[Count of product_name]" caption="Count of product_name" measure="1" displayFolder="" measureGroup="messy_products_csv" count="0" oneField="1" hidden="1">
      <fieldsUsage count="1">
        <fieldUsage x="1"/>
      </fieldsUsage>
      <extLst>
        <ext xmlns:x15="http://schemas.microsoft.com/office/spreadsheetml/2010/11/main" uri="{B97F6D7D-B522-45F9-BDA1-12C45D357490}">
          <x15:cacheHierarchy aggregatedColumn="21"/>
        </ext>
      </extLst>
    </cacheHierarchy>
    <cacheHierarchy uniqueName="[Measures].[Count of order_id 2]" caption="Count of order_id 2" measure="1" displayFolder="" measureGroup="messy_order_items_csv" count="0" hidden="1">
      <extLst>
        <ext xmlns:x15="http://schemas.microsoft.com/office/spreadsheetml/2010/11/main" uri="{B97F6D7D-B522-45F9-BDA1-12C45D357490}">
          <x15:cacheHierarchy aggregatedColumn="8"/>
        </ext>
      </extLst>
    </cacheHierarchy>
    <cacheHierarchy uniqueName="[Measures].[Sum of quantity]" caption="Sum of quantity" measure="1" displayFolder="" measureGroup="messy_order_items_csv" count="0" hidden="1">
      <extLst>
        <ext xmlns:x15="http://schemas.microsoft.com/office/spreadsheetml/2010/11/main" uri="{B97F6D7D-B522-45F9-BDA1-12C45D357490}">
          <x15:cacheHierarchy aggregatedColumn="10"/>
        </ext>
      </extLst>
    </cacheHierarchy>
  </cacheHierarchies>
  <kpis count="0"/>
  <dimensions count="5">
    <dimension measure="1" name="Measures" uniqueName="[Measures]" caption="Measures"/>
    <dimension name="messy_customers_csv" uniqueName="[messy_customers_csv]" caption="messy_customers_csv"/>
    <dimension name="messy_order_items_csv" uniqueName="[messy_order_items_csv]" caption="messy_order_items_csv"/>
    <dimension name="messy_orders_csv" uniqueName="[messy_orders_csv]" caption="messy_orders_csv"/>
    <dimension name="messy_products_csv" uniqueName="[messy_products_csv]" caption="messy_products_csv"/>
  </dimensions>
  <measureGroups count="4">
    <measureGroup name="messy_customers_csv" caption="messy_customers_csv"/>
    <measureGroup name="messy_order_items_csv" caption="messy_order_items_csv"/>
    <measureGroup name="messy_orders_csv" caption="messy_orders_csv"/>
    <measureGroup name="messy_products_csv" caption="messy_products_csv"/>
  </measureGroups>
  <maps count="8">
    <map measureGroup="0" dimension="1"/>
    <map measureGroup="1" dimension="1"/>
    <map measureGroup="1" dimension="2"/>
    <map measureGroup="1" dimension="3"/>
    <map measureGroup="1" dimension="4"/>
    <map measureGroup="2" dimension="1"/>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ish kumar" refreshedDate="46155.781869907405" backgroundQuery="1" createdVersion="8" refreshedVersion="8" minRefreshableVersion="3" recordCount="0" supportSubquery="1" supportAdvancedDrill="1" xr:uid="{C2279C73-B663-4F8A-B040-069789FAB4B2}">
  <cacheSource type="external" connectionId="6"/>
  <cacheFields count="1">
    <cacheField name="[messy_products_csv].[category].[category]" caption="category" numFmtId="0" hierarchy="22" level="1">
      <sharedItems count="4">
        <s v="Accessory"/>
        <s v="Laptop"/>
        <s v="Smart Phone"/>
        <s v="Tablet"/>
      </sharedItems>
    </cacheField>
  </cacheFields>
  <cacheHierarchies count="38">
    <cacheHierarchy uniqueName="[messy_customers_csv].[customer_id]" caption="customer_id" attribute="1" defaultMemberUniqueName="[messy_customers_csv].[customer_id].[All]" allUniqueName="[messy_customers_csv].[customer_id].[All]" dimensionUniqueName="[messy_customers_csv]" displayFolder="" count="0" memberValueDatatype="130" unbalanced="0"/>
    <cacheHierarchy uniqueName="[messy_customers_csv].[customer_name]" caption="customer_name" attribute="1" defaultMemberUniqueName="[messy_customers_csv].[customer_name].[All]" allUniqueName="[messy_customers_csv].[customer_name].[All]" dimensionUniqueName="[messy_customers_csv]" displayFolder="" count="0" memberValueDatatype="130" unbalanced="0"/>
    <cacheHierarchy uniqueName="[messy_customers_csv].[city]" caption="city" attribute="1" defaultMemberUniqueName="[messy_customers_csv].[city].[All]" allUniqueName="[messy_customers_csv].[city].[All]" dimensionUniqueName="[messy_customers_csv]" displayFolder="" count="2" memberValueDatatype="130" unbalanced="0"/>
    <cacheHierarchy uniqueName="[messy_customers_csv].[signup_date]" caption="signup_date" attribute="1" time="1" defaultMemberUniqueName="[messy_customers_csv].[signup_date].[All]" allUniqueName="[messy_customers_csv].[signup_date].[All]" dimensionUniqueName="[messy_customers_csv]" displayFolder="" count="0" memberValueDatatype="7" unbalanced="0"/>
    <cacheHierarchy uniqueName="[messy_customers_csv].[signup_date (Year)]" caption="signup_date (Year)" attribute="1" defaultMemberUniqueName="[messy_customers_csv].[signup_date (Year)].[All]" allUniqueName="[messy_customers_csv].[signup_date (Year)].[All]" dimensionUniqueName="[messy_customers_csv]" displayFolder="" count="2" memberValueDatatype="130" unbalanced="0"/>
    <cacheHierarchy uniqueName="[messy_customers_csv].[signup_date (Quarter)]" caption="signup_date (Quarter)" attribute="1" defaultMemberUniqueName="[messy_customers_csv].[signup_date (Quarter)].[All]" allUniqueName="[messy_customers_csv].[signup_date (Quarter)].[All]" dimensionUniqueName="[messy_customers_csv]" displayFolder="" count="0" memberValueDatatype="130" unbalanced="0"/>
    <cacheHierarchy uniqueName="[messy_customers_csv].[signup_date (Month)]" caption="signup_date (Month)" attribute="1" defaultMemberUniqueName="[messy_customers_csv].[signup_date (Month)].[All]" allUniqueName="[messy_customers_csv].[signup_date (Month)].[All]" dimensionUniqueName="[messy_customers_csv]" displayFolder="" count="0" memberValueDatatype="130" unbalanced="0"/>
    <cacheHierarchy uniqueName="[messy_order_items_csv].[order_item_id]" caption="order_item_id" attribute="1" defaultMemberUniqueName="[messy_order_items_csv].[order_item_id].[All]" allUniqueName="[messy_order_items_csv].[order_item_id].[All]" dimensionUniqueName="[messy_order_items_csv]" displayFolder="" count="0" memberValueDatatype="20" unbalanced="0"/>
    <cacheHierarchy uniqueName="[messy_order_items_csv].[order_id]" caption="order_id" attribute="1" defaultMemberUniqueName="[messy_order_items_csv].[order_id].[All]" allUniqueName="[messy_order_items_csv].[order_id].[All]" dimensionUniqueName="[messy_order_items_csv]" displayFolder="" count="0" memberValueDatatype="130" unbalanced="0"/>
    <cacheHierarchy uniqueName="[messy_order_items_csv].[product_id]" caption="product_id" attribute="1" defaultMemberUniqueName="[messy_order_items_csv].[product_id].[All]" allUniqueName="[messy_order_items_csv].[product_id].[All]" dimensionUniqueName="[messy_order_items_csv]" displayFolder="" count="0" memberValueDatatype="130" unbalanced="0"/>
    <cacheHierarchy uniqueName="[messy_order_items_csv].[quantity]" caption="quantity" attribute="1" defaultMemberUniqueName="[messy_order_items_csv].[quantity].[All]" allUniqueName="[messy_order_items_csv].[quantity].[All]" dimensionUniqueName="[messy_order_items_csv]" displayFolder="" count="0" memberValueDatatype="20" unbalanced="0"/>
    <cacheHierarchy uniqueName="[messy_order_items_csv].[unit_price]" caption="unit_price" attribute="1" defaultMemberUniqueName="[messy_order_items_csv].[unit_price].[All]" allUniqueName="[messy_order_items_csv].[unit_price].[All]" dimensionUniqueName="[messy_order_items_csv]" displayFolder="" count="0" memberValueDatatype="20" unbalanced="0"/>
    <cacheHierarchy uniqueName="[messy_order_items_csv].[total_amount]" caption="total_amount" attribute="1" defaultMemberUniqueName="[messy_order_items_csv].[total_amount].[All]" allUniqueName="[messy_order_items_csv].[total_amount].[All]" dimensionUniqueName="[messy_order_items_csv]" displayFolder="" count="0" memberValueDatatype="20" unbalanced="0"/>
    <cacheHierarchy uniqueName="[messy_orders_csv].[order_id]" caption="order_id" attribute="1" defaultMemberUniqueName="[messy_orders_csv].[order_id].[All]" allUniqueName="[messy_orders_csv].[order_id].[All]" dimensionUniqueName="[messy_orders_csv]" displayFolder="" count="0" memberValueDatatype="130" unbalanced="0"/>
    <cacheHierarchy uniqueName="[messy_orders_csv].[customer_id]" caption="customer_id" attribute="1" defaultMemberUniqueName="[messy_orders_csv].[customer_id].[All]" allUniqueName="[messy_orders_csv].[customer_id].[All]" dimensionUniqueName="[messy_orders_csv]" displayFolder="" count="0" memberValueDatatype="130" unbalanced="0"/>
    <cacheHierarchy uniqueName="[messy_orders_csv].[order_date]" caption="order_date" attribute="1" time="1" defaultMemberUniqueName="[messy_orders_csv].[order_date].[All]" allUniqueName="[messy_orders_csv].[order_date].[All]" dimensionUniqueName="[messy_orders_csv]" displayFolder="" count="0" memberValueDatatype="7" unbalanced="0"/>
    <cacheHierarchy uniqueName="[messy_orders_csv].[payment_method]" caption="payment_method" attribute="1" defaultMemberUniqueName="[messy_orders_csv].[payment_method].[All]" allUniqueName="[messy_orders_csv].[payment_method].[All]" dimensionUniqueName="[messy_orders_csv]" displayFolder="" count="0" memberValueDatatype="130" unbalanced="0"/>
    <cacheHierarchy uniqueName="[messy_orders_csv].[order_date (Year)]" caption="order_date (Year)" attribute="1" defaultMemberUniqueName="[messy_orders_csv].[order_date (Year)].[All]" allUniqueName="[messy_orders_csv].[order_date (Year)].[All]" dimensionUniqueName="[messy_orders_csv]" displayFolder="" count="2" memberValueDatatype="130" unbalanced="0"/>
    <cacheHierarchy uniqueName="[messy_orders_csv].[order_date (Quarter)]" caption="order_date (Quarter)" attribute="1" defaultMemberUniqueName="[messy_orders_csv].[order_date (Quarter)].[All]" allUniqueName="[messy_orders_csv].[order_date (Quarter)].[All]" dimensionUniqueName="[messy_orders_csv]" displayFolder="" count="0" memberValueDatatype="130" unbalanced="0"/>
    <cacheHierarchy uniqueName="[messy_orders_csv].[order_date (Month)]" caption="order_date (Month)" attribute="1" defaultMemberUniqueName="[messy_orders_csv].[order_date (Month)].[All]" allUniqueName="[messy_orders_csv].[order_date (Month)].[All]" dimensionUniqueName="[messy_orders_csv]" displayFolder="" count="0" memberValueDatatype="130" unbalanced="0"/>
    <cacheHierarchy uniqueName="[messy_products_csv].[product_id]" caption="product_id" attribute="1" defaultMemberUniqueName="[messy_products_csv].[product_id].[All]" allUniqueName="[messy_products_csv].[product_id].[All]" dimensionUniqueName="[messy_products_csv]" displayFolder="" count="0" memberValueDatatype="130" unbalanced="0"/>
    <cacheHierarchy uniqueName="[messy_products_csv].[product_name]" caption="product_name" attribute="1" defaultMemberUniqueName="[messy_products_csv].[product_name].[All]" allUniqueName="[messy_products_csv].[product_name].[All]" dimensionUniqueName="[messy_products_csv]" displayFolder="" count="0" memberValueDatatype="130" unbalanced="0"/>
    <cacheHierarchy uniqueName="[messy_products_csv].[category]" caption="category" attribute="1" defaultMemberUniqueName="[messy_products_csv].[category].[All]" allUniqueName="[messy_products_csv].[category].[All]" dimensionUniqueName="[messy_products_csv]" displayFolder="" count="2" memberValueDatatype="130" unbalanced="0">
      <fieldsUsage count="2">
        <fieldUsage x="-1"/>
        <fieldUsage x="0"/>
      </fieldsUsage>
    </cacheHierarchy>
    <cacheHierarchy uniqueName="[messy_products_csv].[base_price]" caption="base_price" attribute="1" defaultMemberUniqueName="[messy_products_csv].[base_price].[All]" allUniqueName="[messy_products_csv].[base_price].[All]" dimensionUniqueName="[messy_products_csv]" displayFolder="" count="0" memberValueDatatype="20" unbalanced="0"/>
    <cacheHierarchy uniqueName="[messy_customers_csv].[signup_date (Month Index)]" caption="signup_date (Month Index)" attribute="1" defaultMemberUniqueName="[messy_customers_csv].[signup_date (Month Index)].[All]" allUniqueName="[messy_customers_csv].[signup_date (Month Index)].[All]" dimensionUniqueName="[messy_customers_csv]" displayFolder="" count="0" memberValueDatatype="20" unbalanced="0" hidden="1"/>
    <cacheHierarchy uniqueName="[messy_orders_csv].[order_date (Month Index)]" caption="order_date (Month Index)" attribute="1" defaultMemberUniqueName="[messy_orders_csv].[order_date (Month Index)].[All]" allUniqueName="[messy_orders_csv].[order_date (Month Index)].[All]" dimensionUniqueName="[messy_orders_csv]" displayFolder="" count="0" memberValueDatatype="20" unbalanced="0" hidden="1"/>
    <cacheHierarchy uniqueName="[Measures].[__XL_Count messy_order_items_csv]" caption="__XL_Count messy_order_items_csv" measure="1" displayFolder="" measureGroup="messy_order_items_csv" count="0" hidden="1"/>
    <cacheHierarchy uniqueName="[Measures].[__XL_Count messy_orders_csv]" caption="__XL_Count messy_orders_csv" measure="1" displayFolder="" measureGroup="messy_orders_csv" count="0" hidden="1"/>
    <cacheHierarchy uniqueName="[Measures].[__XL_Count messy_products_csv]" caption="__XL_Count messy_products_csv" measure="1" displayFolder="" measureGroup="messy_products_csv" count="0" hidden="1"/>
    <cacheHierarchy uniqueName="[Measures].[__XL_Count messy_customers_csv]" caption="__XL_Count messy_customers_csv" measure="1" displayFolder="" measureGroup="messy_customers_csv" count="0" hidden="1"/>
    <cacheHierarchy uniqueName="[Measures].[__No measures defined]" caption="__No measures defined" measure="1" displayFolder="" count="0" hidden="1"/>
    <cacheHierarchy uniqueName="[Measures].[Count of order_id]" caption="Count of order_id" measure="1" displayFolder="" measureGroup="messy_orders_csv" count="0" hidden="1">
      <extLst>
        <ext xmlns:x15="http://schemas.microsoft.com/office/spreadsheetml/2010/11/main" uri="{B97F6D7D-B522-45F9-BDA1-12C45D357490}">
          <x15:cacheHierarchy aggregatedColumn="13"/>
        </ext>
      </extLst>
    </cacheHierarchy>
    <cacheHierarchy uniqueName="[Measures].[Sum of total_amount]" caption="Sum of total_amount" measure="1" displayFolder="" measureGroup="messy_order_items_csv" count="0" hidden="1">
      <extLst>
        <ext xmlns:x15="http://schemas.microsoft.com/office/spreadsheetml/2010/11/main" uri="{B97F6D7D-B522-45F9-BDA1-12C45D357490}">
          <x15:cacheHierarchy aggregatedColumn="12"/>
        </ext>
      </extLst>
    </cacheHierarchy>
    <cacheHierarchy uniqueName="[Measures].[Count of product_id]" caption="Count of product_id" measure="1" displayFolder="" measureGroup="messy_products_csv" count="0" hidden="1">
      <extLst>
        <ext xmlns:x15="http://schemas.microsoft.com/office/spreadsheetml/2010/11/main" uri="{B97F6D7D-B522-45F9-BDA1-12C45D357490}">
          <x15:cacheHierarchy aggregatedColumn="20"/>
        </ext>
      </extLst>
    </cacheHierarchy>
    <cacheHierarchy uniqueName="[Measures].[Count of customer_id]" caption="Count of customer_id" measure="1" displayFolder="" measureGroup="messy_customers_csv" count="0" hidden="1">
      <extLst>
        <ext xmlns:x15="http://schemas.microsoft.com/office/spreadsheetml/2010/11/main" uri="{B97F6D7D-B522-45F9-BDA1-12C45D357490}">
          <x15:cacheHierarchy aggregatedColumn="0"/>
        </ext>
      </extLst>
    </cacheHierarchy>
    <cacheHierarchy uniqueName="[Measures].[Count of product_name]" caption="Count of product_name" measure="1" displayFolder="" measureGroup="messy_products_csv" count="0" hidden="1">
      <extLst>
        <ext xmlns:x15="http://schemas.microsoft.com/office/spreadsheetml/2010/11/main" uri="{B97F6D7D-B522-45F9-BDA1-12C45D357490}">
          <x15:cacheHierarchy aggregatedColumn="21"/>
        </ext>
      </extLst>
    </cacheHierarchy>
    <cacheHierarchy uniqueName="[Measures].[Count of order_id 2]" caption="Count of order_id 2" measure="1" displayFolder="" measureGroup="messy_order_items_csv" count="0" hidden="1">
      <extLst>
        <ext xmlns:x15="http://schemas.microsoft.com/office/spreadsheetml/2010/11/main" uri="{B97F6D7D-B522-45F9-BDA1-12C45D357490}">
          <x15:cacheHierarchy aggregatedColumn="8"/>
        </ext>
      </extLst>
    </cacheHierarchy>
    <cacheHierarchy uniqueName="[Measures].[Sum of quantity]" caption="Sum of quantity" measure="1" displayFolder="" measureGroup="messy_order_items_csv" count="0" hidden="1">
      <extLst>
        <ext xmlns:x15="http://schemas.microsoft.com/office/spreadsheetml/2010/11/main" uri="{B97F6D7D-B522-45F9-BDA1-12C45D357490}">
          <x15:cacheHierarchy aggregatedColumn="10"/>
        </ext>
      </extLst>
    </cacheHierarchy>
  </cacheHierarchies>
  <kpis count="0"/>
  <dimensions count="5">
    <dimension measure="1" name="Measures" uniqueName="[Measures]" caption="Measures"/>
    <dimension name="messy_customers_csv" uniqueName="[messy_customers_csv]" caption="messy_customers_csv"/>
    <dimension name="messy_order_items_csv" uniqueName="[messy_order_items_csv]" caption="messy_order_items_csv"/>
    <dimension name="messy_orders_csv" uniqueName="[messy_orders_csv]" caption="messy_orders_csv"/>
    <dimension name="messy_products_csv" uniqueName="[messy_products_csv]" caption="messy_products_csv"/>
  </dimensions>
  <measureGroups count="4">
    <measureGroup name="messy_customers_csv" caption="messy_customers_csv"/>
    <measureGroup name="messy_order_items_csv" caption="messy_order_items_csv"/>
    <measureGroup name="messy_orders_csv" caption="messy_orders_csv"/>
    <measureGroup name="messy_products_csv" caption="messy_products_csv"/>
  </measureGroups>
  <maps count="8">
    <map measureGroup="0" dimension="1"/>
    <map measureGroup="1" dimension="1"/>
    <map measureGroup="1" dimension="2"/>
    <map measureGroup="1" dimension="3"/>
    <map measureGroup="1" dimension="4"/>
    <map measureGroup="2" dimension="1"/>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ish kumar" refreshedDate="46155.781869907405" backgroundQuery="1" createdVersion="8" refreshedVersion="8" minRefreshableVersion="3" recordCount="0" supportSubquery="1" supportAdvancedDrill="1" xr:uid="{C38B0762-8F75-474A-B8F0-FA039B0375FD}">
  <cacheSource type="external" connectionId="6"/>
  <cacheFields count="0"/>
  <cacheHierarchies count="38">
    <cacheHierarchy uniqueName="[messy_customers_csv].[customer_id]" caption="customer_id" attribute="1" defaultMemberUniqueName="[messy_customers_csv].[customer_id].[All]" allUniqueName="[messy_customers_csv].[customer_id].[All]" dimensionUniqueName="[messy_customers_csv]" displayFolder="" count="0" memberValueDatatype="130" unbalanced="0"/>
    <cacheHierarchy uniqueName="[messy_customers_csv].[customer_name]" caption="customer_name" attribute="1" defaultMemberUniqueName="[messy_customers_csv].[customer_name].[All]" allUniqueName="[messy_customers_csv].[customer_name].[All]" dimensionUniqueName="[messy_customers_csv]" displayFolder="" count="0" memberValueDatatype="130" unbalanced="0"/>
    <cacheHierarchy uniqueName="[messy_customers_csv].[city]" caption="city" attribute="1" defaultMemberUniqueName="[messy_customers_csv].[city].[All]" allUniqueName="[messy_customers_csv].[city].[All]" dimensionUniqueName="[messy_customers_csv]" displayFolder="" count="2" memberValueDatatype="130" unbalanced="0"/>
    <cacheHierarchy uniqueName="[messy_customers_csv].[signup_date]" caption="signup_date" attribute="1" time="1" defaultMemberUniqueName="[messy_customers_csv].[signup_date].[All]" allUniqueName="[messy_customers_csv].[signup_date].[All]" dimensionUniqueName="[messy_customers_csv]" displayFolder="" count="0" memberValueDatatype="7" unbalanced="0"/>
    <cacheHierarchy uniqueName="[messy_customers_csv].[signup_date (Year)]" caption="signup_date (Year)" attribute="1" defaultMemberUniqueName="[messy_customers_csv].[signup_date (Year)].[All]" allUniqueName="[messy_customers_csv].[signup_date (Year)].[All]" dimensionUniqueName="[messy_customers_csv]" displayFolder="" count="2" memberValueDatatype="130" unbalanced="0"/>
    <cacheHierarchy uniqueName="[messy_customers_csv].[signup_date (Quarter)]" caption="signup_date (Quarter)" attribute="1" defaultMemberUniqueName="[messy_customers_csv].[signup_date (Quarter)].[All]" allUniqueName="[messy_customers_csv].[signup_date (Quarter)].[All]" dimensionUniqueName="[messy_customers_csv]" displayFolder="" count="0" memberValueDatatype="130" unbalanced="0"/>
    <cacheHierarchy uniqueName="[messy_customers_csv].[signup_date (Month)]" caption="signup_date (Month)" attribute="1" defaultMemberUniqueName="[messy_customers_csv].[signup_date (Month)].[All]" allUniqueName="[messy_customers_csv].[signup_date (Month)].[All]" dimensionUniqueName="[messy_customers_csv]" displayFolder="" count="0" memberValueDatatype="130" unbalanced="0"/>
    <cacheHierarchy uniqueName="[messy_order_items_csv].[order_item_id]" caption="order_item_id" attribute="1" defaultMemberUniqueName="[messy_order_items_csv].[order_item_id].[All]" allUniqueName="[messy_order_items_csv].[order_item_id].[All]" dimensionUniqueName="[messy_order_items_csv]" displayFolder="" count="0" memberValueDatatype="20" unbalanced="0"/>
    <cacheHierarchy uniqueName="[messy_order_items_csv].[order_id]" caption="order_id" attribute="1" defaultMemberUniqueName="[messy_order_items_csv].[order_id].[All]" allUniqueName="[messy_order_items_csv].[order_id].[All]" dimensionUniqueName="[messy_order_items_csv]" displayFolder="" count="0" memberValueDatatype="130" unbalanced="0"/>
    <cacheHierarchy uniqueName="[messy_order_items_csv].[product_id]" caption="product_id" attribute="1" defaultMemberUniqueName="[messy_order_items_csv].[product_id].[All]" allUniqueName="[messy_order_items_csv].[product_id].[All]" dimensionUniqueName="[messy_order_items_csv]" displayFolder="" count="0" memberValueDatatype="130" unbalanced="0"/>
    <cacheHierarchy uniqueName="[messy_order_items_csv].[quantity]" caption="quantity" attribute="1" defaultMemberUniqueName="[messy_order_items_csv].[quantity].[All]" allUniqueName="[messy_order_items_csv].[quantity].[All]" dimensionUniqueName="[messy_order_items_csv]" displayFolder="" count="0" memberValueDatatype="20" unbalanced="0"/>
    <cacheHierarchy uniqueName="[messy_order_items_csv].[unit_price]" caption="unit_price" attribute="1" defaultMemberUniqueName="[messy_order_items_csv].[unit_price].[All]" allUniqueName="[messy_order_items_csv].[unit_price].[All]" dimensionUniqueName="[messy_order_items_csv]" displayFolder="" count="0" memberValueDatatype="20" unbalanced="0"/>
    <cacheHierarchy uniqueName="[messy_order_items_csv].[total_amount]" caption="total_amount" attribute="1" defaultMemberUniqueName="[messy_order_items_csv].[total_amount].[All]" allUniqueName="[messy_order_items_csv].[total_amount].[All]" dimensionUniqueName="[messy_order_items_csv]" displayFolder="" count="0" memberValueDatatype="20" unbalanced="0"/>
    <cacheHierarchy uniqueName="[messy_orders_csv].[order_id]" caption="order_id" attribute="1" defaultMemberUniqueName="[messy_orders_csv].[order_id].[All]" allUniqueName="[messy_orders_csv].[order_id].[All]" dimensionUniqueName="[messy_orders_csv]" displayFolder="" count="0" memberValueDatatype="130" unbalanced="0"/>
    <cacheHierarchy uniqueName="[messy_orders_csv].[customer_id]" caption="customer_id" attribute="1" defaultMemberUniqueName="[messy_orders_csv].[customer_id].[All]" allUniqueName="[messy_orders_csv].[customer_id].[All]" dimensionUniqueName="[messy_orders_csv]" displayFolder="" count="0" memberValueDatatype="130" unbalanced="0"/>
    <cacheHierarchy uniqueName="[messy_orders_csv].[order_date]" caption="order_date" attribute="1" time="1" defaultMemberUniqueName="[messy_orders_csv].[order_date].[All]" allUniqueName="[messy_orders_csv].[order_date].[All]" dimensionUniqueName="[messy_orders_csv]" displayFolder="" count="0" memberValueDatatype="7" unbalanced="0"/>
    <cacheHierarchy uniqueName="[messy_orders_csv].[payment_method]" caption="payment_method" attribute="1" defaultMemberUniqueName="[messy_orders_csv].[payment_method].[All]" allUniqueName="[messy_orders_csv].[payment_method].[All]" dimensionUniqueName="[messy_orders_csv]" displayFolder="" count="0" memberValueDatatype="130" unbalanced="0"/>
    <cacheHierarchy uniqueName="[messy_orders_csv].[order_date (Year)]" caption="order_date (Year)" attribute="1" defaultMemberUniqueName="[messy_orders_csv].[order_date (Year)].[All]" allUniqueName="[messy_orders_csv].[order_date (Year)].[All]" dimensionUniqueName="[messy_orders_csv]" displayFolder="" count="2" memberValueDatatype="130" unbalanced="0"/>
    <cacheHierarchy uniqueName="[messy_orders_csv].[order_date (Quarter)]" caption="order_date (Quarter)" attribute="1" defaultMemberUniqueName="[messy_orders_csv].[order_date (Quarter)].[All]" allUniqueName="[messy_orders_csv].[order_date (Quarter)].[All]" dimensionUniqueName="[messy_orders_csv]" displayFolder="" count="0" memberValueDatatype="130" unbalanced="0"/>
    <cacheHierarchy uniqueName="[messy_orders_csv].[order_date (Month)]" caption="order_date (Month)" attribute="1" defaultMemberUniqueName="[messy_orders_csv].[order_date (Month)].[All]" allUniqueName="[messy_orders_csv].[order_date (Month)].[All]" dimensionUniqueName="[messy_orders_csv]" displayFolder="" count="0" memberValueDatatype="130" unbalanced="0"/>
    <cacheHierarchy uniqueName="[messy_products_csv].[product_id]" caption="product_id" attribute="1" defaultMemberUniqueName="[messy_products_csv].[product_id].[All]" allUniqueName="[messy_products_csv].[product_id].[All]" dimensionUniqueName="[messy_products_csv]" displayFolder="" count="0" memberValueDatatype="130" unbalanced="0"/>
    <cacheHierarchy uniqueName="[messy_products_csv].[product_name]" caption="product_name" attribute="1" defaultMemberUniqueName="[messy_products_csv].[product_name].[All]" allUniqueName="[messy_products_csv].[product_name].[All]" dimensionUniqueName="[messy_products_csv]" displayFolder="" count="0" memberValueDatatype="130" unbalanced="0"/>
    <cacheHierarchy uniqueName="[messy_products_csv].[category]" caption="category" attribute="1" defaultMemberUniqueName="[messy_products_csv].[category].[All]" allUniqueName="[messy_products_csv].[category].[All]" dimensionUniqueName="[messy_products_csv]" displayFolder="" count="2" memberValueDatatype="130" unbalanced="0"/>
    <cacheHierarchy uniqueName="[messy_products_csv].[base_price]" caption="base_price" attribute="1" defaultMemberUniqueName="[messy_products_csv].[base_price].[All]" allUniqueName="[messy_products_csv].[base_price].[All]" dimensionUniqueName="[messy_products_csv]" displayFolder="" count="0" memberValueDatatype="20" unbalanced="0"/>
    <cacheHierarchy uniqueName="[messy_customers_csv].[signup_date (Month Index)]" caption="signup_date (Month Index)" attribute="1" defaultMemberUniqueName="[messy_customers_csv].[signup_date (Month Index)].[All]" allUniqueName="[messy_customers_csv].[signup_date (Month Index)].[All]" dimensionUniqueName="[messy_customers_csv]" displayFolder="" count="0" memberValueDatatype="20" unbalanced="0" hidden="1"/>
    <cacheHierarchy uniqueName="[messy_orders_csv].[order_date (Month Index)]" caption="order_date (Month Index)" attribute="1" defaultMemberUniqueName="[messy_orders_csv].[order_date (Month Index)].[All]" allUniqueName="[messy_orders_csv].[order_date (Month Index)].[All]" dimensionUniqueName="[messy_orders_csv]" displayFolder="" count="0" memberValueDatatype="20" unbalanced="0" hidden="1"/>
    <cacheHierarchy uniqueName="[Measures].[__XL_Count messy_order_items_csv]" caption="__XL_Count messy_order_items_csv" measure="1" displayFolder="" measureGroup="messy_order_items_csv" count="0" hidden="1"/>
    <cacheHierarchy uniqueName="[Measures].[__XL_Count messy_orders_csv]" caption="__XL_Count messy_orders_csv" measure="1" displayFolder="" measureGroup="messy_orders_csv" count="0" hidden="1"/>
    <cacheHierarchy uniqueName="[Measures].[__XL_Count messy_products_csv]" caption="__XL_Count messy_products_csv" measure="1" displayFolder="" measureGroup="messy_products_csv" count="0" hidden="1"/>
    <cacheHierarchy uniqueName="[Measures].[__XL_Count messy_customers_csv]" caption="__XL_Count messy_customers_csv" measure="1" displayFolder="" measureGroup="messy_customers_csv" count="0" hidden="1"/>
    <cacheHierarchy uniqueName="[Measures].[__No measures defined]" caption="__No measures defined" measure="1" displayFolder="" count="0" hidden="1"/>
    <cacheHierarchy uniqueName="[Measures].[Count of order_id]" caption="Count of order_id" measure="1" displayFolder="" measureGroup="messy_orders_csv" count="0" hidden="1">
      <extLst>
        <ext xmlns:x15="http://schemas.microsoft.com/office/spreadsheetml/2010/11/main" uri="{B97F6D7D-B522-45F9-BDA1-12C45D357490}">
          <x15:cacheHierarchy aggregatedColumn="13"/>
        </ext>
      </extLst>
    </cacheHierarchy>
    <cacheHierarchy uniqueName="[Measures].[Sum of total_amount]" caption="Sum of total_amount" measure="1" displayFolder="" measureGroup="messy_order_items_csv" count="0" hidden="1">
      <extLst>
        <ext xmlns:x15="http://schemas.microsoft.com/office/spreadsheetml/2010/11/main" uri="{B97F6D7D-B522-45F9-BDA1-12C45D357490}">
          <x15:cacheHierarchy aggregatedColumn="12"/>
        </ext>
      </extLst>
    </cacheHierarchy>
    <cacheHierarchy uniqueName="[Measures].[Count of product_id]" caption="Count of product_id" measure="1" displayFolder="" measureGroup="messy_products_csv" count="0" hidden="1">
      <extLst>
        <ext xmlns:x15="http://schemas.microsoft.com/office/spreadsheetml/2010/11/main" uri="{B97F6D7D-B522-45F9-BDA1-12C45D357490}">
          <x15:cacheHierarchy aggregatedColumn="20"/>
        </ext>
      </extLst>
    </cacheHierarchy>
    <cacheHierarchy uniqueName="[Measures].[Count of customer_id]" caption="Count of customer_id" measure="1" displayFolder="" measureGroup="messy_customers_csv" count="0" hidden="1">
      <extLst>
        <ext xmlns:x15="http://schemas.microsoft.com/office/spreadsheetml/2010/11/main" uri="{B97F6D7D-B522-45F9-BDA1-12C45D357490}">
          <x15:cacheHierarchy aggregatedColumn="0"/>
        </ext>
      </extLst>
    </cacheHierarchy>
    <cacheHierarchy uniqueName="[Measures].[Count of product_name]" caption="Count of product_name" measure="1" displayFolder="" measureGroup="messy_products_csv" count="0" hidden="1">
      <extLst>
        <ext xmlns:x15="http://schemas.microsoft.com/office/spreadsheetml/2010/11/main" uri="{B97F6D7D-B522-45F9-BDA1-12C45D357490}">
          <x15:cacheHierarchy aggregatedColumn="21"/>
        </ext>
      </extLst>
    </cacheHierarchy>
    <cacheHierarchy uniqueName="[Measures].[Count of order_id 2]" caption="Count of order_id 2" measure="1" displayFolder="" measureGroup="messy_order_items_csv" count="0" hidden="1">
      <extLst>
        <ext xmlns:x15="http://schemas.microsoft.com/office/spreadsheetml/2010/11/main" uri="{B97F6D7D-B522-45F9-BDA1-12C45D357490}">
          <x15:cacheHierarchy aggregatedColumn="8"/>
        </ext>
      </extLst>
    </cacheHierarchy>
    <cacheHierarchy uniqueName="[Measures].[Sum of quantity]" caption="Sum of quantity" measure="1" displayFolder="" measureGroup="messy_order_items_csv" count="0" hidden="1">
      <extLst>
        <ext xmlns:x15="http://schemas.microsoft.com/office/spreadsheetml/2010/11/main" uri="{B97F6D7D-B522-45F9-BDA1-12C45D357490}">
          <x15:cacheHierarchy aggregatedColumn="10"/>
        </ext>
      </extLst>
    </cacheHierarchy>
  </cacheHierarchies>
  <kpis count="0"/>
  <dimensions count="5">
    <dimension measure="1" name="Measures" uniqueName="[Measures]" caption="Measures"/>
    <dimension name="messy_customers_csv" uniqueName="[messy_customers_csv]" caption="messy_customers_csv"/>
    <dimension name="messy_order_items_csv" uniqueName="[messy_order_items_csv]" caption="messy_order_items_csv"/>
    <dimension name="messy_orders_csv" uniqueName="[messy_orders_csv]" caption="messy_orders_csv"/>
    <dimension name="messy_products_csv" uniqueName="[messy_products_csv]" caption="messy_products_csv"/>
  </dimensions>
  <measureGroups count="4">
    <measureGroup name="messy_customers_csv" caption="messy_customers_csv"/>
    <measureGroup name="messy_order_items_csv" caption="messy_order_items_csv"/>
    <measureGroup name="messy_orders_csv" caption="messy_orders_csv"/>
    <measureGroup name="messy_products_csv" caption="messy_products_csv"/>
  </measureGroups>
  <maps count="8">
    <map measureGroup="0" dimension="1"/>
    <map measureGroup="1" dimension="1"/>
    <map measureGroup="1" dimension="2"/>
    <map measureGroup="1" dimension="3"/>
    <map measureGroup="1" dimension="4"/>
    <map measureGroup="2" dimension="1"/>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ish kumar" refreshedDate="46155.783053935185" backgroundQuery="1" createdVersion="8" refreshedVersion="8" minRefreshableVersion="3" recordCount="0" supportSubquery="1" supportAdvancedDrill="1" xr:uid="{C6946329-2A7D-4215-A238-44A094FF496A}">
  <cacheSource type="external" connectionId="6"/>
  <cacheFields count="3">
    <cacheField name="[messy_products_csv].[product_name].[product_name]" caption="product_name" numFmtId="0" hierarchy="21" level="1">
      <sharedItems count="5">
        <s v="Dell Inspiron"/>
        <s v="Laptop Bag"/>
        <s v="Samsung Tab"/>
        <s v="Wireless Mouse"/>
        <s v="Xiaomi Redmi"/>
      </sharedItems>
    </cacheField>
    <cacheField name="[Measures].[Sum of total_amount]" caption="Sum of total_amount" numFmtId="0" hierarchy="32" level="32767"/>
    <cacheField name="[messy_customers_csv].[customer_id].[customer_id]" caption="customer_id" numFmtId="0" level="1">
      <sharedItems count="5">
        <s v="C0137"/>
        <s v="C0142"/>
        <s v="C0218"/>
        <s v="C0313"/>
        <s v="C0474"/>
      </sharedItems>
    </cacheField>
  </cacheFields>
  <cacheHierarchies count="38">
    <cacheHierarchy uniqueName="[messy_customers_csv].[customer_id]" caption="customer_id" attribute="1" defaultMemberUniqueName="[messy_customers_csv].[customer_id].[All]" allUniqueName="[messy_customers_csv].[customer_id].[All]" dimensionUniqueName="[messy_customers_csv]" displayFolder="" count="2" memberValueDatatype="130" unbalanced="0">
      <fieldsUsage count="2">
        <fieldUsage x="-1"/>
        <fieldUsage x="2"/>
      </fieldsUsage>
    </cacheHierarchy>
    <cacheHierarchy uniqueName="[messy_customers_csv].[customer_name]" caption="customer_name" attribute="1" defaultMemberUniqueName="[messy_customers_csv].[customer_name].[All]" allUniqueName="[messy_customers_csv].[customer_name].[All]" dimensionUniqueName="[messy_customers_csv]" displayFolder="" count="0" memberValueDatatype="130" unbalanced="0"/>
    <cacheHierarchy uniqueName="[messy_customers_csv].[city]" caption="city" attribute="1" defaultMemberUniqueName="[messy_customers_csv].[city].[All]" allUniqueName="[messy_customers_csv].[city].[All]" dimensionUniqueName="[messy_customers_csv]" displayFolder="" count="2" memberValueDatatype="130" unbalanced="0"/>
    <cacheHierarchy uniqueName="[messy_customers_csv].[signup_date]" caption="signup_date" attribute="1" time="1" defaultMemberUniqueName="[messy_customers_csv].[signup_date].[All]" allUniqueName="[messy_customers_csv].[signup_date].[All]" dimensionUniqueName="[messy_customers_csv]" displayFolder="" count="0" memberValueDatatype="7" unbalanced="0"/>
    <cacheHierarchy uniqueName="[messy_customers_csv].[signup_date (Year)]" caption="signup_date (Year)" attribute="1" defaultMemberUniqueName="[messy_customers_csv].[signup_date (Year)].[All]" allUniqueName="[messy_customers_csv].[signup_date (Year)].[All]" dimensionUniqueName="[messy_customers_csv]" displayFolder="" count="2" memberValueDatatype="130" unbalanced="0"/>
    <cacheHierarchy uniqueName="[messy_customers_csv].[signup_date (Quarter)]" caption="signup_date (Quarter)" attribute="1" defaultMemberUniqueName="[messy_customers_csv].[signup_date (Quarter)].[All]" allUniqueName="[messy_customers_csv].[signup_date (Quarter)].[All]" dimensionUniqueName="[messy_customers_csv]" displayFolder="" count="0" memberValueDatatype="130" unbalanced="0"/>
    <cacheHierarchy uniqueName="[messy_customers_csv].[signup_date (Month)]" caption="signup_date (Month)" attribute="1" defaultMemberUniqueName="[messy_customers_csv].[signup_date (Month)].[All]" allUniqueName="[messy_customers_csv].[signup_date (Month)].[All]" dimensionUniqueName="[messy_customers_csv]" displayFolder="" count="0" memberValueDatatype="130" unbalanced="0"/>
    <cacheHierarchy uniqueName="[messy_order_items_csv].[order_item_id]" caption="order_item_id" attribute="1" defaultMemberUniqueName="[messy_order_items_csv].[order_item_id].[All]" allUniqueName="[messy_order_items_csv].[order_item_id].[All]" dimensionUniqueName="[messy_order_items_csv]" displayFolder="" count="0" memberValueDatatype="20" unbalanced="0"/>
    <cacheHierarchy uniqueName="[messy_order_items_csv].[order_id]" caption="order_id" attribute="1" defaultMemberUniqueName="[messy_order_items_csv].[order_id].[All]" allUniqueName="[messy_order_items_csv].[order_id].[All]" dimensionUniqueName="[messy_order_items_csv]" displayFolder="" count="0" memberValueDatatype="130" unbalanced="0"/>
    <cacheHierarchy uniqueName="[messy_order_items_csv].[product_id]" caption="product_id" attribute="1" defaultMemberUniqueName="[messy_order_items_csv].[product_id].[All]" allUniqueName="[messy_order_items_csv].[product_id].[All]" dimensionUniqueName="[messy_order_items_csv]" displayFolder="" count="0" memberValueDatatype="130" unbalanced="0"/>
    <cacheHierarchy uniqueName="[messy_order_items_csv].[quantity]" caption="quantity" attribute="1" defaultMemberUniqueName="[messy_order_items_csv].[quantity].[All]" allUniqueName="[messy_order_items_csv].[quantity].[All]" dimensionUniqueName="[messy_order_items_csv]" displayFolder="" count="0" memberValueDatatype="20" unbalanced="0"/>
    <cacheHierarchy uniqueName="[messy_order_items_csv].[unit_price]" caption="unit_price" attribute="1" defaultMemberUniqueName="[messy_order_items_csv].[unit_price].[All]" allUniqueName="[messy_order_items_csv].[unit_price].[All]" dimensionUniqueName="[messy_order_items_csv]" displayFolder="" count="0" memberValueDatatype="20" unbalanced="0"/>
    <cacheHierarchy uniqueName="[messy_order_items_csv].[total_amount]" caption="total_amount" attribute="1" defaultMemberUniqueName="[messy_order_items_csv].[total_amount].[All]" allUniqueName="[messy_order_items_csv].[total_amount].[All]" dimensionUniqueName="[messy_order_items_csv]" displayFolder="" count="0" memberValueDatatype="20" unbalanced="0"/>
    <cacheHierarchy uniqueName="[messy_orders_csv].[order_id]" caption="order_id" attribute="1" defaultMemberUniqueName="[messy_orders_csv].[order_id].[All]" allUniqueName="[messy_orders_csv].[order_id].[All]" dimensionUniqueName="[messy_orders_csv]" displayFolder="" count="0" memberValueDatatype="130" unbalanced="0"/>
    <cacheHierarchy uniqueName="[messy_orders_csv].[customer_id]" caption="customer_id" attribute="1" defaultMemberUniqueName="[messy_orders_csv].[customer_id].[All]" allUniqueName="[messy_orders_csv].[customer_id].[All]" dimensionUniqueName="[messy_orders_csv]" displayFolder="" count="0" memberValueDatatype="130" unbalanced="0"/>
    <cacheHierarchy uniqueName="[messy_orders_csv].[order_date]" caption="order_date" attribute="1" time="1" defaultMemberUniqueName="[messy_orders_csv].[order_date].[All]" allUniqueName="[messy_orders_csv].[order_date].[All]" dimensionUniqueName="[messy_orders_csv]" displayFolder="" count="0" memberValueDatatype="7" unbalanced="0"/>
    <cacheHierarchy uniqueName="[messy_orders_csv].[payment_method]" caption="payment_method" attribute="1" defaultMemberUniqueName="[messy_orders_csv].[payment_method].[All]" allUniqueName="[messy_orders_csv].[payment_method].[All]" dimensionUniqueName="[messy_orders_csv]" displayFolder="" count="2" memberValueDatatype="130" unbalanced="0"/>
    <cacheHierarchy uniqueName="[messy_orders_csv].[order_date (Year)]" caption="order_date (Year)" attribute="1" defaultMemberUniqueName="[messy_orders_csv].[order_date (Year)].[All]" allUniqueName="[messy_orders_csv].[order_date (Year)].[All]" dimensionUniqueName="[messy_orders_csv]" displayFolder="" count="2" memberValueDatatype="130" unbalanced="0"/>
    <cacheHierarchy uniqueName="[messy_orders_csv].[order_date (Quarter)]" caption="order_date (Quarter)" attribute="1" defaultMemberUniqueName="[messy_orders_csv].[order_date (Quarter)].[All]" allUniqueName="[messy_orders_csv].[order_date (Quarter)].[All]" dimensionUniqueName="[messy_orders_csv]" displayFolder="" count="0" memberValueDatatype="130" unbalanced="0"/>
    <cacheHierarchy uniqueName="[messy_orders_csv].[order_date (Month)]" caption="order_date (Month)" attribute="1" defaultMemberUniqueName="[messy_orders_csv].[order_date (Month)].[All]" allUniqueName="[messy_orders_csv].[order_date (Month)].[All]" dimensionUniqueName="[messy_orders_csv]" displayFolder="" count="0" memberValueDatatype="130" unbalanced="0"/>
    <cacheHierarchy uniqueName="[messy_products_csv].[product_id]" caption="product_id" attribute="1" defaultMemberUniqueName="[messy_products_csv].[product_id].[All]" allUniqueName="[messy_products_csv].[product_id].[All]" dimensionUniqueName="[messy_products_csv]" displayFolder="" count="0" memberValueDatatype="130" unbalanced="0"/>
    <cacheHierarchy uniqueName="[messy_products_csv].[product_name]" caption="product_name" attribute="1" defaultMemberUniqueName="[messy_products_csv].[product_name].[All]" allUniqueName="[messy_products_csv].[product_name].[All]" dimensionUniqueName="[messy_products_csv]" displayFolder="" count="2" memberValueDatatype="130" unbalanced="0">
      <fieldsUsage count="2">
        <fieldUsage x="-1"/>
        <fieldUsage x="0"/>
      </fieldsUsage>
    </cacheHierarchy>
    <cacheHierarchy uniqueName="[messy_products_csv].[category]" caption="category" attribute="1" defaultMemberUniqueName="[messy_products_csv].[category].[All]" allUniqueName="[messy_products_csv].[category].[All]" dimensionUniqueName="[messy_products_csv]" displayFolder="" count="2" memberValueDatatype="130" unbalanced="0"/>
    <cacheHierarchy uniqueName="[messy_products_csv].[base_price]" caption="base_price" attribute="1" defaultMemberUniqueName="[messy_products_csv].[base_price].[All]" allUniqueName="[messy_products_csv].[base_price].[All]" dimensionUniqueName="[messy_products_csv]" displayFolder="" count="0" memberValueDatatype="20" unbalanced="0"/>
    <cacheHierarchy uniqueName="[messy_customers_csv].[signup_date (Month Index)]" caption="signup_date (Month Index)" attribute="1" defaultMemberUniqueName="[messy_customers_csv].[signup_date (Month Index)].[All]" allUniqueName="[messy_customers_csv].[signup_date (Month Index)].[All]" dimensionUniqueName="[messy_customers_csv]" displayFolder="" count="0" memberValueDatatype="20" unbalanced="0" hidden="1"/>
    <cacheHierarchy uniqueName="[messy_orders_csv].[order_date (Month Index)]" caption="order_date (Month Index)" attribute="1" defaultMemberUniqueName="[messy_orders_csv].[order_date (Month Index)].[All]" allUniqueName="[messy_orders_csv].[order_date (Month Index)].[All]" dimensionUniqueName="[messy_orders_csv]" displayFolder="" count="0" memberValueDatatype="20" unbalanced="0" hidden="1"/>
    <cacheHierarchy uniqueName="[Measures].[__XL_Count messy_order_items_csv]" caption="__XL_Count messy_order_items_csv" measure="1" displayFolder="" measureGroup="messy_order_items_csv" count="0" hidden="1"/>
    <cacheHierarchy uniqueName="[Measures].[__XL_Count messy_orders_csv]" caption="__XL_Count messy_orders_csv" measure="1" displayFolder="" measureGroup="messy_orders_csv" count="0" hidden="1"/>
    <cacheHierarchy uniqueName="[Measures].[__XL_Count messy_products_csv]" caption="__XL_Count messy_products_csv" measure="1" displayFolder="" measureGroup="messy_products_csv" count="0" hidden="1"/>
    <cacheHierarchy uniqueName="[Measures].[__XL_Count messy_customers_csv]" caption="__XL_Count messy_customers_csv" measure="1" displayFolder="" measureGroup="messy_customers_csv" count="0" hidden="1"/>
    <cacheHierarchy uniqueName="[Measures].[__No measures defined]" caption="__No measures defined" measure="1" displayFolder="" count="0" hidden="1"/>
    <cacheHierarchy uniqueName="[Measures].[Count of order_id]" caption="Count of order_id" measure="1" displayFolder="" measureGroup="messy_orders_csv" count="0" hidden="1">
      <extLst>
        <ext xmlns:x15="http://schemas.microsoft.com/office/spreadsheetml/2010/11/main" uri="{B97F6D7D-B522-45F9-BDA1-12C45D357490}">
          <x15:cacheHierarchy aggregatedColumn="13"/>
        </ext>
      </extLst>
    </cacheHierarchy>
    <cacheHierarchy uniqueName="[Measures].[Sum of total_amount]" caption="Sum of total_amount" measure="1" displayFolder="" measureGroup="messy_order_items_csv" count="0" oneField="1" hidden="1">
      <fieldsUsage count="1">
        <fieldUsage x="1"/>
      </fieldsUsage>
      <extLst>
        <ext xmlns:x15="http://schemas.microsoft.com/office/spreadsheetml/2010/11/main" uri="{B97F6D7D-B522-45F9-BDA1-12C45D357490}">
          <x15:cacheHierarchy aggregatedColumn="12"/>
        </ext>
      </extLst>
    </cacheHierarchy>
    <cacheHierarchy uniqueName="[Measures].[Count of product_id]" caption="Count of product_id" measure="1" displayFolder="" measureGroup="messy_products_csv" count="0" hidden="1">
      <extLst>
        <ext xmlns:x15="http://schemas.microsoft.com/office/spreadsheetml/2010/11/main" uri="{B97F6D7D-B522-45F9-BDA1-12C45D357490}">
          <x15:cacheHierarchy aggregatedColumn="20"/>
        </ext>
      </extLst>
    </cacheHierarchy>
    <cacheHierarchy uniqueName="[Measures].[Count of customer_id]" caption="Count of customer_id" measure="1" displayFolder="" measureGroup="messy_customers_csv" count="0" hidden="1">
      <extLst>
        <ext xmlns:x15="http://schemas.microsoft.com/office/spreadsheetml/2010/11/main" uri="{B97F6D7D-B522-45F9-BDA1-12C45D357490}">
          <x15:cacheHierarchy aggregatedColumn="0"/>
        </ext>
      </extLst>
    </cacheHierarchy>
    <cacheHierarchy uniqueName="[Measures].[Count of product_name]" caption="Count of product_name" measure="1" displayFolder="" measureGroup="messy_products_csv" count="0" hidden="1">
      <extLst>
        <ext xmlns:x15="http://schemas.microsoft.com/office/spreadsheetml/2010/11/main" uri="{B97F6D7D-B522-45F9-BDA1-12C45D357490}">
          <x15:cacheHierarchy aggregatedColumn="21"/>
        </ext>
      </extLst>
    </cacheHierarchy>
    <cacheHierarchy uniqueName="[Measures].[Count of order_id 2]" caption="Count of order_id 2" measure="1" displayFolder="" measureGroup="messy_order_items_csv" count="0" hidden="1">
      <extLst>
        <ext xmlns:x15="http://schemas.microsoft.com/office/spreadsheetml/2010/11/main" uri="{B97F6D7D-B522-45F9-BDA1-12C45D357490}">
          <x15:cacheHierarchy aggregatedColumn="8"/>
        </ext>
      </extLst>
    </cacheHierarchy>
    <cacheHierarchy uniqueName="[Measures].[Sum of quantity]" caption="Sum of quantity" measure="1" displayFolder="" measureGroup="messy_order_items_csv" count="0" hidden="1">
      <extLst>
        <ext xmlns:x15="http://schemas.microsoft.com/office/spreadsheetml/2010/11/main" uri="{B97F6D7D-B522-45F9-BDA1-12C45D357490}">
          <x15:cacheHierarchy aggregatedColumn="10"/>
        </ext>
      </extLst>
    </cacheHierarchy>
  </cacheHierarchies>
  <kpis count="0"/>
  <dimensions count="5">
    <dimension measure="1" name="Measures" uniqueName="[Measures]" caption="Measures"/>
    <dimension name="messy_customers_csv" uniqueName="[messy_customers_csv]" caption="messy_customers_csv"/>
    <dimension name="messy_order_items_csv" uniqueName="[messy_order_items_csv]" caption="messy_order_items_csv"/>
    <dimension name="messy_orders_csv" uniqueName="[messy_orders_csv]" caption="messy_orders_csv"/>
    <dimension name="messy_products_csv" uniqueName="[messy_products_csv]" caption="messy_products_csv"/>
  </dimensions>
  <measureGroups count="4">
    <measureGroup name="messy_customers_csv" caption="messy_customers_csv"/>
    <measureGroup name="messy_order_items_csv" caption="messy_order_items_csv"/>
    <measureGroup name="messy_orders_csv" caption="messy_orders_csv"/>
    <measureGroup name="messy_products_csv" caption="messy_products_csv"/>
  </measureGroups>
  <maps count="8">
    <map measureGroup="0" dimension="1"/>
    <map measureGroup="1" dimension="1"/>
    <map measureGroup="1" dimension="2"/>
    <map measureGroup="1" dimension="3"/>
    <map measureGroup="1" dimension="4"/>
    <map measureGroup="2" dimension="1"/>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ish kumar" refreshedDate="46156.78115127315" backgroundQuery="1" createdVersion="8" refreshedVersion="8" minRefreshableVersion="3" recordCount="0" supportSubquery="1" supportAdvancedDrill="1" xr:uid="{E05F1890-03EF-4DE5-99A9-ABCC93E97DC6}">
  <cacheSource type="external" connectionId="6"/>
  <cacheFields count="4">
    <cacheField name="[messy_products_csv].[product_name].[product_name]" caption="product_name" numFmtId="0" hierarchy="21" level="1">
      <sharedItems count="5">
        <s v="Dell Inspiron"/>
        <s v="Laptop Bag"/>
        <s v="Samsung Tab"/>
        <s v="Wireless Mouse"/>
        <s v="Xiaomi Redmi"/>
      </sharedItems>
    </cacheField>
    <cacheField name="[Measures].[Sum of total_amount]" caption="Sum of total_amount" numFmtId="0" hierarchy="32" level="32767"/>
    <cacheField name="[messy_customers_csv].[customer_id].[customer_id]" caption="customer_id" numFmtId="0" level="1">
      <sharedItems count="5">
        <s v="C0137"/>
        <s v="C0142"/>
        <s v="C0218"/>
        <s v="C0313"/>
        <s v="C0474"/>
      </sharedItems>
    </cacheField>
    <cacheField name="[messy_orders_csv].[order_date (Month)].[order_date (Month)]" caption="order_date (Month)" numFmtId="0" hierarchy="19" level="1">
      <sharedItems count="12">
        <s v="Jan"/>
        <s v="Feb"/>
        <s v="Mar"/>
        <s v="Apr"/>
        <s v="May"/>
        <s v="Jun"/>
        <s v="Jul"/>
        <s v="Aug"/>
        <s v="Sep"/>
        <s v="Oct"/>
        <s v="Nov"/>
        <s v="Dec"/>
      </sharedItems>
    </cacheField>
  </cacheFields>
  <cacheHierarchies count="38">
    <cacheHierarchy uniqueName="[messy_customers_csv].[customer_id]" caption="customer_id" attribute="1" defaultMemberUniqueName="[messy_customers_csv].[customer_id].[All]" allUniqueName="[messy_customers_csv].[customer_id].[All]" dimensionUniqueName="[messy_customers_csv]" displayFolder="" count="2" memberValueDatatype="130" unbalanced="0">
      <fieldsUsage count="2">
        <fieldUsage x="-1"/>
        <fieldUsage x="2"/>
      </fieldsUsage>
    </cacheHierarchy>
    <cacheHierarchy uniqueName="[messy_customers_csv].[customer_name]" caption="customer_name" attribute="1" defaultMemberUniqueName="[messy_customers_csv].[customer_name].[All]" allUniqueName="[messy_customers_csv].[customer_name].[All]" dimensionUniqueName="[messy_customers_csv]" displayFolder="" count="0" memberValueDatatype="130" unbalanced="0"/>
    <cacheHierarchy uniqueName="[messy_customers_csv].[city]" caption="city" attribute="1" defaultMemberUniqueName="[messy_customers_csv].[city].[All]" allUniqueName="[messy_customers_csv].[city].[All]" dimensionUniqueName="[messy_customers_csv]" displayFolder="" count="2" memberValueDatatype="130" unbalanced="0"/>
    <cacheHierarchy uniqueName="[messy_customers_csv].[signup_date]" caption="signup_date" attribute="1" time="1" defaultMemberUniqueName="[messy_customers_csv].[signup_date].[All]" allUniqueName="[messy_customers_csv].[signup_date].[All]" dimensionUniqueName="[messy_customers_csv]" displayFolder="" count="0" memberValueDatatype="7" unbalanced="0"/>
    <cacheHierarchy uniqueName="[messy_customers_csv].[signup_date (Year)]" caption="signup_date (Year)" attribute="1" defaultMemberUniqueName="[messy_customers_csv].[signup_date (Year)].[All]" allUniqueName="[messy_customers_csv].[signup_date (Year)].[All]" dimensionUniqueName="[messy_customers_csv]" displayFolder="" count="2" memberValueDatatype="130" unbalanced="0"/>
    <cacheHierarchy uniqueName="[messy_customers_csv].[signup_date (Quarter)]" caption="signup_date (Quarter)" attribute="1" defaultMemberUniqueName="[messy_customers_csv].[signup_date (Quarter)].[All]" allUniqueName="[messy_customers_csv].[signup_date (Quarter)].[All]" dimensionUniqueName="[messy_customers_csv]" displayFolder="" count="0" memberValueDatatype="130" unbalanced="0"/>
    <cacheHierarchy uniqueName="[messy_customers_csv].[signup_date (Month)]" caption="signup_date (Month)" attribute="1" defaultMemberUniqueName="[messy_customers_csv].[signup_date (Month)].[All]" allUniqueName="[messy_customers_csv].[signup_date (Month)].[All]" dimensionUniqueName="[messy_customers_csv]" displayFolder="" count="0" memberValueDatatype="130" unbalanced="0"/>
    <cacheHierarchy uniqueName="[messy_order_items_csv].[order_item_id]" caption="order_item_id" attribute="1" defaultMemberUniqueName="[messy_order_items_csv].[order_item_id].[All]" allUniqueName="[messy_order_items_csv].[order_item_id].[All]" dimensionUniqueName="[messy_order_items_csv]" displayFolder="" count="0" memberValueDatatype="20" unbalanced="0"/>
    <cacheHierarchy uniqueName="[messy_order_items_csv].[order_id]" caption="order_id" attribute="1" defaultMemberUniqueName="[messy_order_items_csv].[order_id].[All]" allUniqueName="[messy_order_items_csv].[order_id].[All]" dimensionUniqueName="[messy_order_items_csv]" displayFolder="" count="0" memberValueDatatype="130" unbalanced="0"/>
    <cacheHierarchy uniqueName="[messy_order_items_csv].[product_id]" caption="product_id" attribute="1" defaultMemberUniqueName="[messy_order_items_csv].[product_id].[All]" allUniqueName="[messy_order_items_csv].[product_id].[All]" dimensionUniqueName="[messy_order_items_csv]" displayFolder="" count="0" memberValueDatatype="130" unbalanced="0"/>
    <cacheHierarchy uniqueName="[messy_order_items_csv].[quantity]" caption="quantity" attribute="1" defaultMemberUniqueName="[messy_order_items_csv].[quantity].[All]" allUniqueName="[messy_order_items_csv].[quantity].[All]" dimensionUniqueName="[messy_order_items_csv]" displayFolder="" count="0" memberValueDatatype="20" unbalanced="0"/>
    <cacheHierarchy uniqueName="[messy_order_items_csv].[unit_price]" caption="unit_price" attribute="1" defaultMemberUniqueName="[messy_order_items_csv].[unit_price].[All]" allUniqueName="[messy_order_items_csv].[unit_price].[All]" dimensionUniqueName="[messy_order_items_csv]" displayFolder="" count="0" memberValueDatatype="20" unbalanced="0"/>
    <cacheHierarchy uniqueName="[messy_order_items_csv].[total_amount]" caption="total_amount" attribute="1" defaultMemberUniqueName="[messy_order_items_csv].[total_amount].[All]" allUniqueName="[messy_order_items_csv].[total_amount].[All]" dimensionUniqueName="[messy_order_items_csv]" displayFolder="" count="0" memberValueDatatype="20" unbalanced="0"/>
    <cacheHierarchy uniqueName="[messy_orders_csv].[order_id]" caption="order_id" attribute="1" defaultMemberUniqueName="[messy_orders_csv].[order_id].[All]" allUniqueName="[messy_orders_csv].[order_id].[All]" dimensionUniqueName="[messy_orders_csv]" displayFolder="" count="0" memberValueDatatype="130" unbalanced="0"/>
    <cacheHierarchy uniqueName="[messy_orders_csv].[customer_id]" caption="customer_id" attribute="1" defaultMemberUniqueName="[messy_orders_csv].[customer_id].[All]" allUniqueName="[messy_orders_csv].[customer_id].[All]" dimensionUniqueName="[messy_orders_csv]" displayFolder="" count="0" memberValueDatatype="130" unbalanced="0"/>
    <cacheHierarchy uniqueName="[messy_orders_csv].[order_date]" caption="order_date" attribute="1" time="1" defaultMemberUniqueName="[messy_orders_csv].[order_date].[All]" allUniqueName="[messy_orders_csv].[order_date].[All]" dimensionUniqueName="[messy_orders_csv]" displayFolder="" count="0" memberValueDatatype="7" unbalanced="0"/>
    <cacheHierarchy uniqueName="[messy_orders_csv].[payment_method]" caption="payment_method" attribute="1" defaultMemberUniqueName="[messy_orders_csv].[payment_method].[All]" allUniqueName="[messy_orders_csv].[payment_method].[All]" dimensionUniqueName="[messy_orders_csv]" displayFolder="" count="2" memberValueDatatype="130" unbalanced="0"/>
    <cacheHierarchy uniqueName="[messy_orders_csv].[order_date (Year)]" caption="order_date (Year)" attribute="1" defaultMemberUniqueName="[messy_orders_csv].[order_date (Year)].[All]" allUniqueName="[messy_orders_csv].[order_date (Year)].[All]" dimensionUniqueName="[messy_orders_csv]" displayFolder="" count="2" memberValueDatatype="130" unbalanced="0"/>
    <cacheHierarchy uniqueName="[messy_orders_csv].[order_date (Quarter)]" caption="order_date (Quarter)" attribute="1" defaultMemberUniqueName="[messy_orders_csv].[order_date (Quarter)].[All]" allUniqueName="[messy_orders_csv].[order_date (Quarter)].[All]" dimensionUniqueName="[messy_orders_csv]" displayFolder="" count="0" memberValueDatatype="130" unbalanced="0"/>
    <cacheHierarchy uniqueName="[messy_orders_csv].[order_date (Month)]" caption="order_date (Month)" attribute="1" defaultMemberUniqueName="[messy_orders_csv].[order_date (Month)].[All]" allUniqueName="[messy_orders_csv].[order_date (Month)].[All]" dimensionUniqueName="[messy_orders_csv]" displayFolder="" count="2" memberValueDatatype="130" unbalanced="0">
      <fieldsUsage count="2">
        <fieldUsage x="-1"/>
        <fieldUsage x="3"/>
      </fieldsUsage>
    </cacheHierarchy>
    <cacheHierarchy uniqueName="[messy_products_csv].[product_id]" caption="product_id" attribute="1" defaultMemberUniqueName="[messy_products_csv].[product_id].[All]" allUniqueName="[messy_products_csv].[product_id].[All]" dimensionUniqueName="[messy_products_csv]" displayFolder="" count="0" memberValueDatatype="130" unbalanced="0"/>
    <cacheHierarchy uniqueName="[messy_products_csv].[product_name]" caption="product_name" attribute="1" defaultMemberUniqueName="[messy_products_csv].[product_name].[All]" allUniqueName="[messy_products_csv].[product_name].[All]" dimensionUniqueName="[messy_products_csv]" displayFolder="" count="2" memberValueDatatype="130" unbalanced="0">
      <fieldsUsage count="2">
        <fieldUsage x="-1"/>
        <fieldUsage x="0"/>
      </fieldsUsage>
    </cacheHierarchy>
    <cacheHierarchy uniqueName="[messy_products_csv].[category]" caption="category" attribute="1" defaultMemberUniqueName="[messy_products_csv].[category].[All]" allUniqueName="[messy_products_csv].[category].[All]" dimensionUniqueName="[messy_products_csv]" displayFolder="" count="2" memberValueDatatype="130" unbalanced="0"/>
    <cacheHierarchy uniqueName="[messy_products_csv].[base_price]" caption="base_price" attribute="1" defaultMemberUniqueName="[messy_products_csv].[base_price].[All]" allUniqueName="[messy_products_csv].[base_price].[All]" dimensionUniqueName="[messy_products_csv]" displayFolder="" count="0" memberValueDatatype="20" unbalanced="0"/>
    <cacheHierarchy uniqueName="[messy_customers_csv].[signup_date (Month Index)]" caption="signup_date (Month Index)" attribute="1" defaultMemberUniqueName="[messy_customers_csv].[signup_date (Month Index)].[All]" allUniqueName="[messy_customers_csv].[signup_date (Month Index)].[All]" dimensionUniqueName="[messy_customers_csv]" displayFolder="" count="0" memberValueDatatype="20" unbalanced="0" hidden="1"/>
    <cacheHierarchy uniqueName="[messy_orders_csv].[order_date (Month Index)]" caption="order_date (Month Index)" attribute="1" defaultMemberUniqueName="[messy_orders_csv].[order_date (Month Index)].[All]" allUniqueName="[messy_orders_csv].[order_date (Month Index)].[All]" dimensionUniqueName="[messy_orders_csv]" displayFolder="" count="0" memberValueDatatype="20" unbalanced="0" hidden="1"/>
    <cacheHierarchy uniqueName="[Measures].[__XL_Count messy_order_items_csv]" caption="__XL_Count messy_order_items_csv" measure="1" displayFolder="" measureGroup="messy_order_items_csv" count="0" hidden="1"/>
    <cacheHierarchy uniqueName="[Measures].[__XL_Count messy_orders_csv]" caption="__XL_Count messy_orders_csv" measure="1" displayFolder="" measureGroup="messy_orders_csv" count="0" hidden="1"/>
    <cacheHierarchy uniqueName="[Measures].[__XL_Count messy_products_csv]" caption="__XL_Count messy_products_csv" measure="1" displayFolder="" measureGroup="messy_products_csv" count="0" hidden="1"/>
    <cacheHierarchy uniqueName="[Measures].[__XL_Count messy_customers_csv]" caption="__XL_Count messy_customers_csv" measure="1" displayFolder="" measureGroup="messy_customers_csv" count="0" hidden="1"/>
    <cacheHierarchy uniqueName="[Measures].[__No measures defined]" caption="__No measures defined" measure="1" displayFolder="" count="0" hidden="1"/>
    <cacheHierarchy uniqueName="[Measures].[Count of order_id]" caption="Count of order_id" measure="1" displayFolder="" measureGroup="messy_orders_csv" count="0" hidden="1">
      <extLst>
        <ext xmlns:x15="http://schemas.microsoft.com/office/spreadsheetml/2010/11/main" uri="{B97F6D7D-B522-45F9-BDA1-12C45D357490}">
          <x15:cacheHierarchy aggregatedColumn="13"/>
        </ext>
      </extLst>
    </cacheHierarchy>
    <cacheHierarchy uniqueName="[Measures].[Sum of total_amount]" caption="Sum of total_amount" measure="1" displayFolder="" measureGroup="messy_order_items_csv" count="0" oneField="1" hidden="1">
      <fieldsUsage count="1">
        <fieldUsage x="1"/>
      </fieldsUsage>
      <extLst>
        <ext xmlns:x15="http://schemas.microsoft.com/office/spreadsheetml/2010/11/main" uri="{B97F6D7D-B522-45F9-BDA1-12C45D357490}">
          <x15:cacheHierarchy aggregatedColumn="12"/>
        </ext>
      </extLst>
    </cacheHierarchy>
    <cacheHierarchy uniqueName="[Measures].[Count of product_id]" caption="Count of product_id" measure="1" displayFolder="" measureGroup="messy_products_csv" count="0" hidden="1">
      <extLst>
        <ext xmlns:x15="http://schemas.microsoft.com/office/spreadsheetml/2010/11/main" uri="{B97F6D7D-B522-45F9-BDA1-12C45D357490}">
          <x15:cacheHierarchy aggregatedColumn="20"/>
        </ext>
      </extLst>
    </cacheHierarchy>
    <cacheHierarchy uniqueName="[Measures].[Count of customer_id]" caption="Count of customer_id" measure="1" displayFolder="" measureGroup="messy_customers_csv" count="0" hidden="1">
      <extLst>
        <ext xmlns:x15="http://schemas.microsoft.com/office/spreadsheetml/2010/11/main" uri="{B97F6D7D-B522-45F9-BDA1-12C45D357490}">
          <x15:cacheHierarchy aggregatedColumn="0"/>
        </ext>
      </extLst>
    </cacheHierarchy>
    <cacheHierarchy uniqueName="[Measures].[Count of product_name]" caption="Count of product_name" measure="1" displayFolder="" measureGroup="messy_products_csv" count="0" hidden="1">
      <extLst>
        <ext xmlns:x15="http://schemas.microsoft.com/office/spreadsheetml/2010/11/main" uri="{B97F6D7D-B522-45F9-BDA1-12C45D357490}">
          <x15:cacheHierarchy aggregatedColumn="21"/>
        </ext>
      </extLst>
    </cacheHierarchy>
    <cacheHierarchy uniqueName="[Measures].[Count of order_id 2]" caption="Count of order_id 2" measure="1" displayFolder="" measureGroup="messy_order_items_csv" count="0" hidden="1">
      <extLst>
        <ext xmlns:x15="http://schemas.microsoft.com/office/spreadsheetml/2010/11/main" uri="{B97F6D7D-B522-45F9-BDA1-12C45D357490}">
          <x15:cacheHierarchy aggregatedColumn="8"/>
        </ext>
      </extLst>
    </cacheHierarchy>
    <cacheHierarchy uniqueName="[Measures].[Sum of quantity]" caption="Sum of quantity" measure="1" displayFolder="" measureGroup="messy_order_items_csv" count="0" hidden="1">
      <extLst>
        <ext xmlns:x15="http://schemas.microsoft.com/office/spreadsheetml/2010/11/main" uri="{B97F6D7D-B522-45F9-BDA1-12C45D357490}">
          <x15:cacheHierarchy aggregatedColumn="10"/>
        </ext>
      </extLst>
    </cacheHierarchy>
  </cacheHierarchies>
  <kpis count="0"/>
  <dimensions count="5">
    <dimension measure="1" name="Measures" uniqueName="[Measures]" caption="Measures"/>
    <dimension name="messy_customers_csv" uniqueName="[messy_customers_csv]" caption="messy_customers_csv"/>
    <dimension name="messy_order_items_csv" uniqueName="[messy_order_items_csv]" caption="messy_order_items_csv"/>
    <dimension name="messy_orders_csv" uniqueName="[messy_orders_csv]" caption="messy_orders_csv"/>
    <dimension name="messy_products_csv" uniqueName="[messy_products_csv]" caption="messy_products_csv"/>
  </dimensions>
  <measureGroups count="4">
    <measureGroup name="messy_customers_csv" caption="messy_customers_csv"/>
    <measureGroup name="messy_order_items_csv" caption="messy_order_items_csv"/>
    <measureGroup name="messy_orders_csv" caption="messy_orders_csv"/>
    <measureGroup name="messy_products_csv" caption="messy_products_csv"/>
  </measureGroups>
  <maps count="8">
    <map measureGroup="0" dimension="1"/>
    <map measureGroup="1" dimension="1"/>
    <map measureGroup="1" dimension="2"/>
    <map measureGroup="1" dimension="3"/>
    <map measureGroup="1" dimension="4"/>
    <map measureGroup="2" dimension="1"/>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ish kumar" refreshedDate="46153.559649189818" backgroundQuery="1" createdVersion="3" refreshedVersion="8" minRefreshableVersion="3" recordCount="0" supportSubquery="1" supportAdvancedDrill="1" xr:uid="{F2AAC8EA-D8AF-4795-BE4E-CCE3D94360D5}">
  <cacheSource type="external" connectionId="6">
    <extLst>
      <ext xmlns:x14="http://schemas.microsoft.com/office/spreadsheetml/2009/9/main" uri="{F057638F-6D5F-4e77-A914-E7F072B9BCA8}">
        <x14:sourceConnection name="ThisWorkbookDataModel"/>
      </ext>
    </extLst>
  </cacheSource>
  <cacheFields count="0"/>
  <cacheHierarchies count="38">
    <cacheHierarchy uniqueName="[messy_customers_csv].[customer_id]" caption="customer_id" attribute="1" defaultMemberUniqueName="[messy_customers_csv].[customer_id].[All]" allUniqueName="[messy_customers_csv].[customer_id].[All]" dimensionUniqueName="[messy_customers_csv]" displayFolder="" count="0" memberValueDatatype="130" unbalanced="0"/>
    <cacheHierarchy uniqueName="[messy_customers_csv].[customer_name]" caption="customer_name" attribute="1" defaultMemberUniqueName="[messy_customers_csv].[customer_name].[All]" allUniqueName="[messy_customers_csv].[customer_name].[All]" dimensionUniqueName="[messy_customers_csv]" displayFolder="" count="0" memberValueDatatype="130" unbalanced="0"/>
    <cacheHierarchy uniqueName="[messy_customers_csv].[city]" caption="city" attribute="1" defaultMemberUniqueName="[messy_customers_csv].[city].[All]" allUniqueName="[messy_customers_csv].[city].[All]" dimensionUniqueName="[messy_customers_csv]" displayFolder="" count="2" memberValueDatatype="130" unbalanced="0"/>
    <cacheHierarchy uniqueName="[messy_customers_csv].[signup_date]" caption="signup_date" attribute="1" time="1" defaultMemberUniqueName="[messy_customers_csv].[signup_date].[All]" allUniqueName="[messy_customers_csv].[signup_date].[All]" dimensionUniqueName="[messy_customers_csv]" displayFolder="" count="0" memberValueDatatype="7" unbalanced="0"/>
    <cacheHierarchy uniqueName="[messy_customers_csv].[signup_date (Year)]" caption="signup_date (Year)" attribute="1" defaultMemberUniqueName="[messy_customers_csv].[signup_date (Year)].[All]" allUniqueName="[messy_customers_csv].[signup_date (Year)].[All]" dimensionUniqueName="[messy_customers_csv]" displayFolder="" count="0" memberValueDatatype="130" unbalanced="0"/>
    <cacheHierarchy uniqueName="[messy_customers_csv].[signup_date (Quarter)]" caption="signup_date (Quarter)" attribute="1" defaultMemberUniqueName="[messy_customers_csv].[signup_date (Quarter)].[All]" allUniqueName="[messy_customers_csv].[signup_date (Quarter)].[All]" dimensionUniqueName="[messy_customers_csv]" displayFolder="" count="0" memberValueDatatype="130" unbalanced="0"/>
    <cacheHierarchy uniqueName="[messy_customers_csv].[signup_date (Month)]" caption="signup_date (Month)" attribute="1" defaultMemberUniqueName="[messy_customers_csv].[signup_date (Month)].[All]" allUniqueName="[messy_customers_csv].[signup_date (Month)].[All]" dimensionUniqueName="[messy_customers_csv]" displayFolder="" count="0" memberValueDatatype="130" unbalanced="0"/>
    <cacheHierarchy uniqueName="[messy_order_items_csv].[order_item_id]" caption="order_item_id" attribute="1" defaultMemberUniqueName="[messy_order_items_csv].[order_item_id].[All]" allUniqueName="[messy_order_items_csv].[order_item_id].[All]" dimensionUniqueName="[messy_order_items_csv]" displayFolder="" count="0" memberValueDatatype="20" unbalanced="0"/>
    <cacheHierarchy uniqueName="[messy_order_items_csv].[order_id]" caption="order_id" attribute="1" defaultMemberUniqueName="[messy_order_items_csv].[order_id].[All]" allUniqueName="[messy_order_items_csv].[order_id].[All]" dimensionUniqueName="[messy_order_items_csv]" displayFolder="" count="0" memberValueDatatype="130" unbalanced="0"/>
    <cacheHierarchy uniqueName="[messy_order_items_csv].[product_id]" caption="product_id" attribute="1" defaultMemberUniqueName="[messy_order_items_csv].[product_id].[All]" allUniqueName="[messy_order_items_csv].[product_id].[All]" dimensionUniqueName="[messy_order_items_csv]" displayFolder="" count="0" memberValueDatatype="130" unbalanced="0"/>
    <cacheHierarchy uniqueName="[messy_order_items_csv].[quantity]" caption="quantity" attribute="1" defaultMemberUniqueName="[messy_order_items_csv].[quantity].[All]" allUniqueName="[messy_order_items_csv].[quantity].[All]" dimensionUniqueName="[messy_order_items_csv]" displayFolder="" count="0" memberValueDatatype="20" unbalanced="0"/>
    <cacheHierarchy uniqueName="[messy_order_items_csv].[unit_price]" caption="unit_price" attribute="1" defaultMemberUniqueName="[messy_order_items_csv].[unit_price].[All]" allUniqueName="[messy_order_items_csv].[unit_price].[All]" dimensionUniqueName="[messy_order_items_csv]" displayFolder="" count="0" memberValueDatatype="20" unbalanced="0"/>
    <cacheHierarchy uniqueName="[messy_order_items_csv].[total_amount]" caption="total_amount" attribute="1" defaultMemberUniqueName="[messy_order_items_csv].[total_amount].[All]" allUniqueName="[messy_order_items_csv].[total_amount].[All]" dimensionUniqueName="[messy_order_items_csv]" displayFolder="" count="0" memberValueDatatype="20" unbalanced="0"/>
    <cacheHierarchy uniqueName="[messy_orders_csv].[order_id]" caption="order_id" attribute="1" defaultMemberUniqueName="[messy_orders_csv].[order_id].[All]" allUniqueName="[messy_orders_csv].[order_id].[All]" dimensionUniqueName="[messy_orders_csv]" displayFolder="" count="0" memberValueDatatype="130" unbalanced="0"/>
    <cacheHierarchy uniqueName="[messy_orders_csv].[customer_id]" caption="customer_id" attribute="1" defaultMemberUniqueName="[messy_orders_csv].[customer_id].[All]" allUniqueName="[messy_orders_csv].[customer_id].[All]" dimensionUniqueName="[messy_orders_csv]" displayFolder="" count="0" memberValueDatatype="130" unbalanced="0"/>
    <cacheHierarchy uniqueName="[messy_orders_csv].[order_date]" caption="order_date" attribute="1" time="1" defaultMemberUniqueName="[messy_orders_csv].[order_date].[All]" allUniqueName="[messy_orders_csv].[order_date].[All]" dimensionUniqueName="[messy_orders_csv]" displayFolder="" count="0" memberValueDatatype="7" unbalanced="0"/>
    <cacheHierarchy uniqueName="[messy_orders_csv].[payment_method]" caption="payment_method" attribute="1" defaultMemberUniqueName="[messy_orders_csv].[payment_method].[All]" allUniqueName="[messy_orders_csv].[payment_method].[All]" dimensionUniqueName="[messy_orders_csv]" displayFolder="" count="2" memberValueDatatype="130" unbalanced="0"/>
    <cacheHierarchy uniqueName="[messy_orders_csv].[order_date (Year)]" caption="order_date (Year)" attribute="1" defaultMemberUniqueName="[messy_orders_csv].[order_date (Year)].[All]" allUniqueName="[messy_orders_csv].[order_date (Year)].[All]" dimensionUniqueName="[messy_orders_csv]" displayFolder="" count="2" memberValueDatatype="130" unbalanced="0"/>
    <cacheHierarchy uniqueName="[messy_orders_csv].[order_date (Quarter)]" caption="order_date (Quarter)" attribute="1" defaultMemberUniqueName="[messy_orders_csv].[order_date (Quarter)].[All]" allUniqueName="[messy_orders_csv].[order_date (Quarter)].[All]" dimensionUniqueName="[messy_orders_csv]" displayFolder="" count="0" memberValueDatatype="130" unbalanced="0"/>
    <cacheHierarchy uniqueName="[messy_orders_csv].[order_date (Month)]" caption="order_date (Month)" attribute="1" defaultMemberUniqueName="[messy_orders_csv].[order_date (Month)].[All]" allUniqueName="[messy_orders_csv].[order_date (Month)].[All]" dimensionUniqueName="[messy_orders_csv]" displayFolder="" count="0" memberValueDatatype="130" unbalanced="0"/>
    <cacheHierarchy uniqueName="[messy_products_csv].[product_id]" caption="product_id" attribute="1" defaultMemberUniqueName="[messy_products_csv].[product_id].[All]" allUniqueName="[messy_products_csv].[product_id].[All]" dimensionUniqueName="[messy_products_csv]" displayFolder="" count="0" memberValueDatatype="130" unbalanced="0"/>
    <cacheHierarchy uniqueName="[messy_products_csv].[product_name]" caption="product_name" attribute="1" defaultMemberUniqueName="[messy_products_csv].[product_name].[All]" allUniqueName="[messy_products_csv].[product_name].[All]" dimensionUniqueName="[messy_products_csv]" displayFolder="" count="0" memberValueDatatype="130" unbalanced="0"/>
    <cacheHierarchy uniqueName="[messy_products_csv].[category]" caption="category" attribute="1" defaultMemberUniqueName="[messy_products_csv].[category].[All]" allUniqueName="[messy_products_csv].[category].[All]" dimensionUniqueName="[messy_products_csv]" displayFolder="" count="2" memberValueDatatype="130" unbalanced="0"/>
    <cacheHierarchy uniqueName="[messy_products_csv].[base_price]" caption="base_price" attribute="1" defaultMemberUniqueName="[messy_products_csv].[base_price].[All]" allUniqueName="[messy_products_csv].[base_price].[All]" dimensionUniqueName="[messy_products_csv]" displayFolder="" count="0" memberValueDatatype="20" unbalanced="0"/>
    <cacheHierarchy uniqueName="[messy_customers_csv].[signup_date (Month Index)]" caption="signup_date (Month Index)" attribute="1" defaultMemberUniqueName="[messy_customers_csv].[signup_date (Month Index)].[All]" allUniqueName="[messy_customers_csv].[signup_date (Month Index)].[All]" dimensionUniqueName="[messy_customers_csv]" displayFolder="" count="0" memberValueDatatype="20" unbalanced="0" hidden="1"/>
    <cacheHierarchy uniqueName="[messy_orders_csv].[order_date (Month Index)]" caption="order_date (Month Index)" attribute="1" defaultMemberUniqueName="[messy_orders_csv].[order_date (Month Index)].[All]" allUniqueName="[messy_orders_csv].[order_date (Month Index)].[All]" dimensionUniqueName="[messy_orders_csv]" displayFolder="" count="0" memberValueDatatype="20" unbalanced="0" hidden="1"/>
    <cacheHierarchy uniqueName="[Measures].[__XL_Count messy_order_items_csv]" caption="__XL_Count messy_order_items_csv" measure="1" displayFolder="" measureGroup="messy_order_items_csv" count="0" hidden="1"/>
    <cacheHierarchy uniqueName="[Measures].[__XL_Count messy_orders_csv]" caption="__XL_Count messy_orders_csv" measure="1" displayFolder="" measureGroup="messy_orders_csv" count="0" hidden="1"/>
    <cacheHierarchy uniqueName="[Measures].[__XL_Count messy_products_csv]" caption="__XL_Count messy_products_csv" measure="1" displayFolder="" measureGroup="messy_products_csv" count="0" hidden="1"/>
    <cacheHierarchy uniqueName="[Measures].[__XL_Count messy_customers_csv]" caption="__XL_Count messy_customers_csv" measure="1" displayFolder="" measureGroup="messy_customers_csv" count="0" hidden="1"/>
    <cacheHierarchy uniqueName="[Measures].[__No measures defined]" caption="__No measures defined" measure="1" displayFolder="" count="0" hidden="1"/>
    <cacheHierarchy uniqueName="[Measures].[Count of order_id]" caption="Count of order_id" measure="1" displayFolder="" measureGroup="messy_orders_csv" count="0" hidden="1">
      <extLst>
        <ext xmlns:x15="http://schemas.microsoft.com/office/spreadsheetml/2010/11/main" uri="{B97F6D7D-B522-45F9-BDA1-12C45D357490}">
          <x15:cacheHierarchy aggregatedColumn="13"/>
        </ext>
      </extLst>
    </cacheHierarchy>
    <cacheHierarchy uniqueName="[Measures].[Sum of total_amount]" caption="Sum of total_amount" measure="1" displayFolder="" measureGroup="messy_order_items_csv" count="0" hidden="1">
      <extLst>
        <ext xmlns:x15="http://schemas.microsoft.com/office/spreadsheetml/2010/11/main" uri="{B97F6D7D-B522-45F9-BDA1-12C45D357490}">
          <x15:cacheHierarchy aggregatedColumn="12"/>
        </ext>
      </extLst>
    </cacheHierarchy>
    <cacheHierarchy uniqueName="[Measures].[Count of product_id]" caption="Count of product_id" measure="1" displayFolder="" measureGroup="messy_products_csv" count="0" hidden="1">
      <extLst>
        <ext xmlns:x15="http://schemas.microsoft.com/office/spreadsheetml/2010/11/main" uri="{B97F6D7D-B522-45F9-BDA1-12C45D357490}">
          <x15:cacheHierarchy aggregatedColumn="20"/>
        </ext>
      </extLst>
    </cacheHierarchy>
    <cacheHierarchy uniqueName="[Measures].[Count of customer_id]" caption="Count of customer_id" measure="1" displayFolder="" measureGroup="messy_customers_csv" count="0" hidden="1">
      <extLst>
        <ext xmlns:x15="http://schemas.microsoft.com/office/spreadsheetml/2010/11/main" uri="{B97F6D7D-B522-45F9-BDA1-12C45D357490}">
          <x15:cacheHierarchy aggregatedColumn="0"/>
        </ext>
      </extLst>
    </cacheHierarchy>
    <cacheHierarchy uniqueName="[Measures].[Count of product_name]" caption="Count of product_name" measure="1" displayFolder="" measureGroup="messy_products_csv" count="0" hidden="1">
      <extLst>
        <ext xmlns:x15="http://schemas.microsoft.com/office/spreadsheetml/2010/11/main" uri="{B97F6D7D-B522-45F9-BDA1-12C45D357490}">
          <x15:cacheHierarchy aggregatedColumn="21"/>
        </ext>
      </extLst>
    </cacheHierarchy>
    <cacheHierarchy uniqueName="[Measures].[Count of order_id 2]" caption="Count of order_id 2" measure="1" displayFolder="" measureGroup="messy_order_items_csv" count="0" hidden="1">
      <extLst>
        <ext xmlns:x15="http://schemas.microsoft.com/office/spreadsheetml/2010/11/main" uri="{B97F6D7D-B522-45F9-BDA1-12C45D357490}">
          <x15:cacheHierarchy aggregatedColumn="8"/>
        </ext>
      </extLst>
    </cacheHierarchy>
    <cacheHierarchy uniqueName="[Measures].[Sum of quantity]" caption="Sum of quantity" measure="1" displayFolder="" measureGroup="messy_order_items_csv" count="0" hidden="1">
      <extLst>
        <ext xmlns:x15="http://schemas.microsoft.com/office/spreadsheetml/2010/11/main" uri="{B97F6D7D-B522-45F9-BDA1-12C45D357490}">
          <x15:cacheHierarchy aggregatedColumn="10"/>
        </ext>
      </extLst>
    </cacheHierarchy>
  </cacheHierarchies>
  <kpis count="0"/>
  <extLst>
    <ext xmlns:x14="http://schemas.microsoft.com/office/spreadsheetml/2009/9/main" uri="{725AE2AE-9491-48be-B2B4-4EB974FC3084}">
      <x14:pivotCacheDefinition slicerData="1" pivotCacheId="187147816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AECD504-5BCF-4870-AB3A-C7E0062BB30C}" name="PivotTable14" cacheId="14" applyNumberFormats="0" applyBorderFormats="0" applyFontFormats="0" applyPatternFormats="0" applyAlignmentFormats="0" applyWidthHeightFormats="1" dataCaption="Values" tag="4bf92d7a-9066-4f4f-b65d-c45d6cff4abc" updatedVersion="8" minRefreshableVersion="3" useAutoFormatting="1" subtotalHiddenItems="1" itemPrintTitles="1" createdVersion="8" indent="0" outline="1" outlineData="1" multipleFieldFilters="0" chartFormat="9">
  <location ref="J26:L43" firstHeaderRow="1" firstDataRow="1" firstDataCol="0"/>
  <pivotHierarchies count="38">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ssy_customers_csv]"/>
        <x15:activeTabTopLevelEntity name="[messy_orders_csv]"/>
        <x15:activeTabTopLevelEntity name="[messy_products_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DBF1B82-0CFB-4D49-9339-7B1F06F7F572}" name="PivotTable10" cacheId="3" applyNumberFormats="0" applyBorderFormats="0" applyFontFormats="0" applyPatternFormats="0" applyAlignmentFormats="0" applyWidthHeightFormats="1" dataCaption="Values" tag="141bd931-2887-41c5-a0cd-04795c91a858" updatedVersion="8" minRefreshableVersion="3" useAutoFormatting="1" subtotalHiddenItems="1" itemPrintTitles="1" createdVersion="8" indent="0" outline="1" outlineData="1" multipleFieldFilters="0" chartFormat="24">
  <location ref="I14:J20" firstHeaderRow="1" firstDataRow="1" firstDataCol="1"/>
  <pivotFields count="3">
    <pivotField axis="axisRow" allDrilled="1" subtotalTop="0" showAll="0" measureFilter="1" sortType="a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2"/>
    </i>
    <i>
      <x v="4"/>
    </i>
    <i>
      <x/>
    </i>
    <i>
      <x v="1"/>
    </i>
    <i>
      <x v="3"/>
    </i>
    <i t="grand">
      <x/>
    </i>
  </rowItems>
  <colItems count="1">
    <i/>
  </colItems>
  <dataFields count="1">
    <dataField name="Sum of quantity" fld="1" baseField="0" baseItem="0"/>
  </dataFields>
  <chartFormats count="3">
    <chartFormat chart="17" format="2" series="1">
      <pivotArea type="data" outline="0" fieldPosition="0">
        <references count="1">
          <reference field="4294967294" count="1" selected="0">
            <x v="0"/>
          </reference>
        </references>
      </pivotArea>
    </chartFormat>
    <chartFormat chart="17" format="4">
      <pivotArea type="data" outline="0" fieldPosition="0">
        <references count="2">
          <reference field="4294967294" count="1" selected="0">
            <x v="0"/>
          </reference>
          <reference field="0" count="1" selected="0">
            <x v="5"/>
          </reference>
        </references>
      </pivotArea>
    </chartFormat>
    <chartFormat chart="17" format="5">
      <pivotArea type="data" outline="0" fieldPosition="0">
        <references count="2">
          <reference field="4294967294" count="1" selected="0">
            <x v="0"/>
          </reference>
          <reference field="0" count="1" selected="0">
            <x v="6"/>
          </reference>
        </references>
      </pivotArea>
    </chartFormat>
  </chartFormats>
  <pivotHierarchies count="38">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7">
      <autoFilter ref="A1">
        <filterColumn colId="0">
          <top10 val="5" filterVal="5"/>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ssy_customers_csv]"/>
        <x15:activeTabTopLevelEntity name="[messy_orders_csv]"/>
        <x15:activeTabTopLevelEntity name="[messy_products_csv]"/>
        <x15:activeTabTopLevelEntity name="[messy_order_items_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A1C5B1C-E734-43AD-86AE-7164CBFB9385}" name="PivotTable13" cacheId="6" applyNumberFormats="0" applyBorderFormats="0" applyFontFormats="0" applyPatternFormats="0" applyAlignmentFormats="0" applyWidthHeightFormats="1" dataCaption="Values" tag="2a2a9723-a17c-45a4-82b9-10eb8f29f454" updatedVersion="8" minRefreshableVersion="3" useAutoFormatting="1" subtotalHiddenItems="1" itemPrintTitles="1" createdVersion="8" indent="0" outline="1" outlineData="1" multipleFieldFilters="0" chartFormat="17">
  <location ref="C31:D36" firstHeaderRow="1" firstDataRow="1" firstDataCol="1"/>
  <pivotFields count="2">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5">
    <i>
      <x v="2"/>
    </i>
    <i>
      <x/>
    </i>
    <i>
      <x v="3"/>
    </i>
    <i>
      <x v="1"/>
    </i>
    <i t="grand">
      <x/>
    </i>
  </rowItems>
  <colItems count="1">
    <i/>
  </colItems>
  <dataFields count="1">
    <dataField name="Sum of total_amount" fld="1" baseField="0" baseItem="0"/>
  </dataField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0" count="1" selected="0">
            <x v="2"/>
          </reference>
        </references>
      </pivotArea>
    </chartFormat>
    <chartFormat chart="3" format="8">
      <pivotArea type="data" outline="0" fieldPosition="0">
        <references count="2">
          <reference field="4294967294" count="1" selected="0">
            <x v="0"/>
          </reference>
          <reference field="0" count="1" selected="0">
            <x v="0"/>
          </reference>
        </references>
      </pivotArea>
    </chartFormat>
    <chartFormat chart="3" format="9">
      <pivotArea type="data" outline="0" fieldPosition="0">
        <references count="2">
          <reference field="4294967294" count="1" selected="0">
            <x v="0"/>
          </reference>
          <reference field="0" count="1" selected="0">
            <x v="3"/>
          </reference>
        </references>
      </pivotArea>
    </chartFormat>
    <chartFormat chart="3" format="10">
      <pivotArea type="data" outline="0" fieldPosition="0">
        <references count="2">
          <reference field="4294967294" count="1" selected="0">
            <x v="0"/>
          </reference>
          <reference field="0" count="1" selected="0">
            <x v="1"/>
          </reference>
        </references>
      </pivotArea>
    </chartFormat>
  </chartFormats>
  <pivotHierarchies count="38">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ssy_customers_csv]"/>
        <x15:activeTabTopLevelEntity name="[messy_orders_csv]"/>
        <x15:activeTabTopLevelEntity name="[messy_products_csv]"/>
        <x15:activeTabTopLevelEntity name="[messy_order_items_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864985B-87F3-4B1A-A2F3-A882A8F0A404}" name="PivotTable5" cacheId="10" applyNumberFormats="0" applyBorderFormats="0" applyFontFormats="0" applyPatternFormats="0" applyAlignmentFormats="0" applyWidthHeightFormats="1" dataCaption="Values" tag="b2cf4f2e-3a59-4ccb-93de-882c614d8f58" updatedVersion="8" minRefreshableVersion="3" useAutoFormatting="1" subtotalHiddenItems="1" itemPrintTitles="1" createdVersion="8" indent="0" outline="1" outlineData="1" multipleFieldFilters="0">
  <location ref="C6:D12" firstHeaderRow="1" firstDataRow="1" firstDataCol="1"/>
  <pivotFields count="3">
    <pivotField axis="axisRow" allDrilled="1" subtotalTop="0" showAll="0" defaultSubtotal="0" defaultAttributeDrillState="1">
      <items count="5">
        <item x="2"/>
        <item x="0"/>
        <item x="1"/>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total_amount" fld="1" baseField="0" baseItem="0"/>
  </dataFields>
  <pivotHierarchies count="38">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ssy_customers_csv]"/>
        <x15:activeTabTopLevelEntity name="[messy_orders_csv]"/>
        <x15:activeTabTopLevelEntity name="[messy_order_items_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72CDD11-817D-4645-9C85-1103CB0EAD80}" name="PivotTable1" cacheId="2" applyNumberFormats="0" applyBorderFormats="0" applyFontFormats="0" applyPatternFormats="0" applyAlignmentFormats="0" applyWidthHeightFormats="1" dataCaption="Values" tag="ece20c37-2272-4e1c-9e6d-3e141cd533fc" updatedVersion="8" minRefreshableVersion="3" useAutoFormatting="1" subtotalHiddenItems="1" itemPrintTitles="1" createdVersion="8" indent="0" outline="1" outlineData="1" multipleFieldFilters="0">
  <location ref="A20:A2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order_id" fld="0" subtotal="count" baseField="0" baseItem="0"/>
  </dataFields>
  <pivotHierarchies count="38">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ssy_customers_csv]"/>
        <x15:activeTabTopLevelEntity name="[messy_orders_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F1EEB1B-7A52-4CAC-842E-AB99DB763E68}" name="PivotTable4" cacheId="9" applyNumberFormats="0" applyBorderFormats="0" applyFontFormats="0" applyPatternFormats="0" applyAlignmentFormats="0" applyWidthHeightFormats="1" dataCaption="Values" tag="16d24b64-f5b0-4a40-b3af-4cfa68facb4f" updatedVersion="8" minRefreshableVersion="3" useAutoFormatting="1" subtotalHiddenItems="1" itemPrintTitles="1" createdVersion="8" indent="0" outline="1" outlineData="1" multipleFieldFilters="0">
  <location ref="A6:A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product_id" fld="0" subtotal="count" baseField="0" baseItem="0"/>
  </dataFields>
  <pivotHierarchies count="38">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ssy_customers_csv]"/>
        <x15:activeTabTopLevelEntity name="[messy_orders_csv]"/>
        <x15:activeTabTopLevelEntity name="[messy_products_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ACB3016-586E-4251-B160-AAA05982A9DD}" name="PivotTable9" cacheId="12" applyNumberFormats="0" applyBorderFormats="0" applyFontFormats="0" applyPatternFormats="0" applyAlignmentFormats="0" applyWidthHeightFormats="1" dataCaption="Values" tag="4bf92d7a-9066-4f4f-b65d-c45d6cff4abc" updatedVersion="8" minRefreshableVersion="3" useAutoFormatting="1" subtotalHiddenItems="1" itemPrintTitles="1" createdVersion="8" indent="0" outline="1" outlineData="1" multipleFieldFilters="0" chartFormat="9">
  <location ref="F19:G24" firstHeaderRow="1" firstDataRow="1" firstDataCol="1"/>
  <pivotFields count="2">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5">
    <i>
      <x v="2"/>
    </i>
    <i>
      <x/>
    </i>
    <i>
      <x v="3"/>
    </i>
    <i>
      <x v="1"/>
    </i>
    <i t="grand">
      <x/>
    </i>
  </rowItems>
  <colItems count="1">
    <i/>
  </colItems>
  <dataFields count="1">
    <dataField name="Count of product_name" fld="1" subtotal="count" baseField="0" baseItem="0"/>
  </dataFields>
  <pivotHierarchies count="38">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ssy_customers_csv]"/>
        <x15:activeTabTopLevelEntity name="[messy_orders_csv]"/>
        <x15:activeTabTopLevelEntity name="[messy_products_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61F7CE7-1713-4830-A557-7A659C1DAD27}" name="PivotTable2" cacheId="7" applyNumberFormats="0" applyBorderFormats="0" applyFontFormats="0" applyPatternFormats="0" applyAlignmentFormats="0" applyWidthHeightFormats="1" dataCaption="Values" tag="ece20c37-2272-4e1c-9e6d-3e141cd533fc" updatedVersion="8" minRefreshableVersion="3" useAutoFormatting="1" subtotalHiddenItems="1" itemPrintTitles="1" createdVersion="8" indent="0" outline="1" outlineData="1" multipleFieldFilters="0">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order_id" fld="0" subtotal="count" baseField="0" baseItem="0"/>
  </dataFields>
  <pivotHierarchies count="38">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ssy_customers_csv]"/>
        <x15:activeTabTopLevelEntity name="[messy_orders_csv]"/>
        <x15:activeTabTopLevelEntity name="[messy_products_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580ACEC-2C6C-48C9-B934-C3BAF63061BC}" name="PivotTable7" cacheId="13" applyNumberFormats="0" applyBorderFormats="0" applyFontFormats="0" applyPatternFormats="0" applyAlignmentFormats="0" applyWidthHeightFormats="1" dataCaption="Values" tag="4bf92d7a-9066-4f4f-b65d-c45d6cff4abc" updatedVersion="8" minRefreshableVersion="3" useAutoFormatting="1" subtotalHiddenItems="1" itemPrintTitles="1" createdVersion="8" indent="0" outline="1" outlineData="1" multipleFieldFilters="0" chartFormat="9">
  <location ref="F9:F14" firstHeaderRow="1" firstDataRow="1" firstDataCol="1"/>
  <pivotFields count="1">
    <pivotField axis="axisRow" allDrilled="1" subtotalTop="0" showAll="0" defaultSubtotal="0" defaultAttributeDrillState="1">
      <items count="4">
        <item x="0"/>
        <item x="1"/>
        <item x="2"/>
        <item x="3"/>
      </items>
    </pivotField>
  </pivotFields>
  <rowFields count="1">
    <field x="0"/>
  </rowFields>
  <rowItems count="5">
    <i>
      <x/>
    </i>
    <i>
      <x v="1"/>
    </i>
    <i>
      <x v="2"/>
    </i>
    <i>
      <x v="3"/>
    </i>
    <i t="grand">
      <x/>
    </i>
  </rowItems>
  <pivotHierarchies count="38">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ssy_customers_csv]"/>
        <x15:activeTabTopLevelEntity name="[messy_orders_csv]"/>
        <x15:activeTabTopLevelEntity name="[messy_products_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724832C-D140-4196-A78D-836E8F6392C9}" name="PivotTable12" cacheId="5" applyNumberFormats="0" applyBorderFormats="0" applyFontFormats="0" applyPatternFormats="0" applyAlignmentFormats="0" applyWidthHeightFormats="1" dataCaption="Values" tag="ca42bf74-200e-4446-8e01-ac067ff3a448" updatedVersion="8" minRefreshableVersion="3" useAutoFormatting="1" subtotalHiddenItems="1" itemPrintTitles="1" createdVersion="8" indent="0" outline="1" outlineData="1" multipleFieldFilters="0" chartFormat="8">
  <location ref="G28:H34" firstHeaderRow="1" firstDataRow="1" firstDataCol="1"/>
  <pivotFields count="3">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2"/>
    </i>
    <i>
      <x v="4"/>
    </i>
    <i>
      <x/>
    </i>
    <i>
      <x v="3"/>
    </i>
    <i>
      <x v="1"/>
    </i>
    <i t="grand">
      <x/>
    </i>
  </rowItems>
  <colItems count="1">
    <i/>
  </colItems>
  <dataFields count="1">
    <dataField name="Sum of total_amount"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38">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2">
      <autoFilter ref="A1">
        <filterColumn colId="0">
          <top10 val="5" filterVal="5"/>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ssy_customers_csv]"/>
        <x15:activeTabTopLevelEntity name="[messy_orders_csv]"/>
        <x15:activeTabTopLevelEntity name="[messy_products_csv]"/>
        <x15:activeTabTopLevelEntity name="[messy_order_items_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98F3DF0-DFD2-4289-A5EC-7E842E2214E7}" name="PivotTable15" cacheId="15" applyNumberFormats="0" applyBorderFormats="0" applyFontFormats="0" applyPatternFormats="0" applyAlignmentFormats="0" applyWidthHeightFormats="1" dataCaption="Values" tag="ca42bf74-200e-4446-8e01-ac067ff3a448" updatedVersion="8" minRefreshableVersion="3" useAutoFormatting="1" subtotalHiddenItems="1" itemPrintTitles="1" createdVersion="8" indent="0" outline="1" outlineData="1" multipleFieldFilters="0" chartFormat="12">
  <location ref="G37:H43" firstHeaderRow="1" firstDataRow="1" firstDataCol="1"/>
  <pivotFields count="3">
    <pivotField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measureFilter="1" sortType="descending" defaultSubtotal="0" defaultAttributeDrillState="1">
      <items count="5">
        <item x="4"/>
        <item x="3"/>
        <item x="2"/>
        <item x="1"/>
        <item x="0"/>
      </items>
    </pivotField>
  </pivotFields>
  <rowFields count="1">
    <field x="2"/>
  </rowFields>
  <rowItems count="6">
    <i>
      <x/>
    </i>
    <i>
      <x v="1"/>
    </i>
    <i>
      <x v="2"/>
    </i>
    <i>
      <x v="3"/>
    </i>
    <i>
      <x v="4"/>
    </i>
    <i t="grand">
      <x/>
    </i>
  </rowItems>
  <colItems count="1">
    <i/>
  </colItems>
  <dataFields count="1">
    <dataField name="Sum of total_amount" fld="1" baseField="0" baseItem="0"/>
  </dataFields>
  <chartFormats count="3">
    <chartFormat chart="3"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Hierarchies count="38">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1" iMeasureHier="32">
      <autoFilter ref="A1">
        <filterColumn colId="0">
          <top10 val="5" filterVal="5"/>
        </filterColumn>
      </autoFilter>
    </filter>
    <filter fld="2" type="count" id="2" iMeasureHier="32">
      <autoFilter ref="A1">
        <filterColumn colId="0">
          <top10 val="5" filterVal="5"/>
        </filterColumn>
      </autoFilter>
    </filter>
  </filters>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ssy_customers_csv]"/>
        <x15:activeTabTopLevelEntity name="[messy_orders_csv]"/>
        <x15:activeTabTopLevelEntity name="[messy_products_csv]"/>
        <x15:activeTabTopLevelEntity name="[messy_order_items_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14A0619-EC36-4F0E-B256-38ADBB834C62}" name="PivotTable3" cacheId="8" applyNumberFormats="0" applyBorderFormats="0" applyFontFormats="0" applyPatternFormats="0" applyAlignmentFormats="0" applyWidthHeightFormats="1" dataCaption="Values" tag="5cc8f7c6-6d38-4c00-8b17-ca21c3d57945" updatedVersion="8" minRefreshableVersion="3" useAutoFormatting="1" subtotalHiddenItems="1" itemPrintTitles="1" createdVersion="8" indent="0" outline="1" outlineData="1" multipleFieldFilters="0">
  <location ref="C3:C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total_amount" fld="0" baseField="0" baseItem="0"/>
  </dataFields>
  <pivotHierarchies count="38">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ssy_customers_csv]"/>
        <x15:activeTabTopLevelEntity name="[messy_orders_csv]"/>
        <x15:activeTabTopLevelEntity name="[messy_order_items_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8F125FF-F3ED-48D5-9F38-EC44BDACBA0B}" name="PivotTable6" cacheId="11" applyNumberFormats="0" applyBorderFormats="0" applyFontFormats="0" applyPatternFormats="0" applyAlignmentFormats="0" applyWidthHeightFormats="1" dataCaption="Values" tag="d3ff8707-4b8e-4f86-a8cd-b2444f084d3e" updatedVersion="8" minRefreshableVersion="3" useAutoFormatting="1" subtotalHiddenItems="1" itemPrintTitles="1" createdVersion="8" indent="0" outline="1" outlineData="1" multipleFieldFilters="0">
  <location ref="A9:B17" firstHeaderRow="1" firstDataRow="1" firstDataCol="1"/>
  <pivotFields count="3">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Sum of total_amount" fld="0" baseField="0" baseItem="0"/>
  </dataFields>
  <pivotHierarchies count="38">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ssy_customers_csv]"/>
        <x15:activeTabTopLevelEntity name="[messy_orders_csv]"/>
        <x15:activeTabTopLevelEntity name="[messy_order_items_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61AFC43-37F1-4579-98C2-B6DEE3C4BC14}" name="PivotTable11" cacheId="4" applyNumberFormats="0" applyBorderFormats="0" applyFontFormats="0" applyPatternFormats="0" applyAlignmentFormats="0" applyWidthHeightFormats="1" dataCaption="Values" tag="ece20c37-2272-4e1c-9e6d-3e141cd533fc" updatedVersion="8" minRefreshableVersion="3" useAutoFormatting="1" subtotalHiddenItems="1" itemPrintTitles="1" createdVersion="8" indent="0" outline="1" outlineData="1" multipleFieldFilters="0">
  <location ref="B42:B4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customer_id" fld="0" subtotal="count" baseField="0" baseItem="0"/>
  </dataFields>
  <pivotHierarchies count="38">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ssy_customers_csv]"/>
        <x15:activeTabTopLevelEntity name="[messy_orders_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BEE71DC-D947-4FBA-9273-892EAC328DE0}" name="PivotTable16" cacheId="16" applyNumberFormats="0" applyBorderFormats="0" applyFontFormats="0" applyPatternFormats="0" applyAlignmentFormats="0" applyWidthHeightFormats="1" dataCaption="Values" tag="ca42bf74-200e-4446-8e01-ac067ff3a448" updatedVersion="8" minRefreshableVersion="3" useAutoFormatting="1" subtotalHiddenItems="1" itemPrintTitles="1" createdVersion="8" indent="0" outline="1" outlineData="1" multipleFieldFilters="0" chartFormat="16">
  <location ref="H47:I60" firstHeaderRow="1" firstDataRow="1" firstDataCol="1"/>
  <pivotFields count="4">
    <pivotField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measureFilter="1" sortType="descending" defaultSubtotal="0" defaultAttributeDrillState="1">
      <items count="5">
        <item x="4"/>
        <item x="3"/>
        <item x="2"/>
        <item x="1"/>
        <item x="0"/>
      </items>
    </pivotField>
    <pivotField axis="axisRow" allDrilled="1" subtotalTop="0" showAll="0" sortType="descending" defaultSubtotal="0" defaultAttributeDrillState="1">
      <items count="12">
        <item x="0"/>
        <item x="1"/>
        <item x="2"/>
        <item x="3"/>
        <item x="4"/>
        <item x="5"/>
        <item x="6"/>
        <item x="7"/>
        <item x="8"/>
        <item x="9"/>
        <item x="10"/>
        <item x="11"/>
      </items>
      <autoSortScope>
        <pivotArea dataOnly="0" outline="0" fieldPosition="0">
          <references count="1">
            <reference field="4294967294" count="1" selected="0">
              <x v="0"/>
            </reference>
          </references>
        </pivotArea>
      </autoSortScope>
    </pivotField>
  </pivotFields>
  <rowFields count="1">
    <field x="3"/>
  </rowFields>
  <rowItems count="13">
    <i>
      <x v="3"/>
    </i>
    <i>
      <x v="2"/>
    </i>
    <i>
      <x/>
    </i>
    <i>
      <x v="1"/>
    </i>
    <i>
      <x v="4"/>
    </i>
    <i>
      <x v="5"/>
    </i>
    <i>
      <x v="11"/>
    </i>
    <i>
      <x v="8"/>
    </i>
    <i>
      <x v="7"/>
    </i>
    <i>
      <x v="9"/>
    </i>
    <i>
      <x v="6"/>
    </i>
    <i>
      <x v="10"/>
    </i>
    <i t="grand">
      <x/>
    </i>
  </rowItems>
  <colItems count="1">
    <i/>
  </colItems>
  <dataFields count="1">
    <dataField name="Sum of total_amount" fld="1" baseField="0" baseItem="0"/>
  </dataFields>
  <chartFormats count="11">
    <chartFormat chart="3"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5" format="3">
      <pivotArea type="data" outline="0" fieldPosition="0">
        <references count="2">
          <reference field="4294967294" count="1" selected="0">
            <x v="0"/>
          </reference>
          <reference field="3" count="1" selected="0">
            <x v="1"/>
          </reference>
        </references>
      </pivotArea>
    </chartFormat>
    <chartFormat chart="15" format="4">
      <pivotArea type="data" outline="0" fieldPosition="0">
        <references count="2">
          <reference field="4294967294" count="1" selected="0">
            <x v="0"/>
          </reference>
          <reference field="3" count="1" selected="0">
            <x v="5"/>
          </reference>
        </references>
      </pivotArea>
    </chartFormat>
    <chartFormat chart="15" format="5">
      <pivotArea type="data" outline="0" fieldPosition="0">
        <references count="2">
          <reference field="4294967294" count="1" selected="0">
            <x v="0"/>
          </reference>
          <reference field="3" count="1" selected="0">
            <x v="8"/>
          </reference>
        </references>
      </pivotArea>
    </chartFormat>
    <chartFormat chart="15" format="6">
      <pivotArea type="data" outline="0" fieldPosition="0">
        <references count="2">
          <reference field="4294967294" count="1" selected="0">
            <x v="0"/>
          </reference>
          <reference field="3" count="1" selected="0">
            <x v="9"/>
          </reference>
        </references>
      </pivotArea>
    </chartFormat>
    <chartFormat chart="15" format="7">
      <pivotArea type="data" outline="0" fieldPosition="0">
        <references count="2">
          <reference field="4294967294" count="1" selected="0">
            <x v="0"/>
          </reference>
          <reference field="3" count="1" selected="0">
            <x v="10"/>
          </reference>
        </references>
      </pivotArea>
    </chartFormat>
    <chartFormat chart="15" format="8">
      <pivotArea type="data" outline="0" fieldPosition="0">
        <references count="2">
          <reference field="4294967294" count="1" selected="0">
            <x v="0"/>
          </reference>
          <reference field="3" count="1" selected="0">
            <x v="0"/>
          </reference>
        </references>
      </pivotArea>
    </chartFormat>
  </chartFormats>
  <pivotHierarchies count="38">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1" iMeasureHier="32">
      <autoFilter ref="A1">
        <filterColumn colId="0">
          <top10 val="5" filterVal="5"/>
        </filterColumn>
      </autoFilter>
    </filter>
    <filter fld="2" type="count" id="2" iMeasureHier="32">
      <autoFilter ref="A1">
        <filterColumn colId="0">
          <top10 val="5" filterVal="5"/>
        </filterColumn>
      </autoFilter>
    </filter>
  </filters>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ssy_customers_csv]"/>
        <x15:activeTabTopLevelEntity name="[messy_orders_csv]"/>
        <x15:activeTabTopLevelEntity name="[messy_products_csv]"/>
        <x15:activeTabTopLevelEntity name="[messy_order_items_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AC628695-7CAA-4C29-917E-7F8437A4F999}" name="PivotTable15" cacheId="1" applyNumberFormats="0" applyBorderFormats="0" applyFontFormats="0" applyPatternFormats="0" applyAlignmentFormats="0" applyWidthHeightFormats="1" dataCaption="Values" tag="ece20c37-2272-4e1c-9e6d-3e141cd533fc" updatedVersion="8" minRefreshableVersion="3" useAutoFormatting="1" subtotalHiddenItems="1" itemPrintTitles="1" createdVersion="8" indent="0" outline="1" outlineData="1" multipleFieldFilters="0">
  <location ref="A24:A2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customer_id" fld="0" subtotal="count" baseField="0" baseItem="0"/>
  </dataFields>
  <pivotHierarchies count="38">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ssy_customers_csv]"/>
        <x15:activeTabTopLevelEntity name="[messy_orders_csv]"/>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5" connectionId="5" xr16:uid="{565B0308-E414-4DC2-A049-8461E5538F69}" autoFormatId="16" applyNumberFormats="0" applyBorderFormats="0" applyFontFormats="0" applyPatternFormats="0" applyAlignmentFormats="0" applyWidthHeightFormats="0">
  <queryTableRefresh nextId="5">
    <queryTableFields count="4">
      <queryTableField id="1" name="product_id" tableColumnId="1"/>
      <queryTableField id="2" name="product_name" tableColumnId="2"/>
      <queryTableField id="3" name="category" tableColumnId="3"/>
      <queryTableField id="4" name="base_price" tableColumnId="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4" connectionId="3" xr16:uid="{09BB2644-A3B7-4274-BCAB-B8E83755D3FC}" autoFormatId="16" applyNumberFormats="0" applyBorderFormats="0" applyFontFormats="0" applyPatternFormats="0" applyAlignmentFormats="0" applyWidthHeightFormats="0">
  <queryTableRefresh nextId="8" unboundColumnsRight="2">
    <queryTableFields count="6">
      <queryTableField id="1" name="order_item_id" tableColumnId="1"/>
      <queryTableField id="2" name="order_id" tableColumnId="2"/>
      <queryTableField id="3" name="product_id" tableColumnId="3"/>
      <queryTableField id="4" name="quantity" tableColumnId="4"/>
      <queryTableField id="6" dataBound="0" tableColumnId="6"/>
      <queryTableField id="7" dataBound="0" tableColumnId="7"/>
    </queryTableFields>
    <queryTableDeletedFields count="1">
      <deletedField name="unit_price"/>
    </queryTableDeleted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4" xr16:uid="{D74DA351-F7B2-4D47-B1BB-FDF9ABE8E58A}" autoFormatId="16" applyNumberFormats="0" applyBorderFormats="0" applyFontFormats="0" applyPatternFormats="0" applyAlignmentFormats="0" applyWidthHeightFormats="0">
  <queryTableRefresh nextId="6">
    <queryTableFields count="4">
      <queryTableField id="1" name="order_id" tableColumnId="1"/>
      <queryTableField id="2" name="customer_id" tableColumnId="2"/>
      <queryTableField id="5" dataBound="0" tableColumnId="5"/>
      <queryTableField id="4" name="payment_method" tableColumnId="4"/>
    </queryTableFields>
    <queryTableDeletedFields count="1">
      <deletedField name="order_date"/>
    </queryTableDeleted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2" xr16:uid="{8F2D6A9E-420D-4EB6-9516-B06D5E3E44B5}" autoFormatId="16" applyNumberFormats="0" applyBorderFormats="0" applyFontFormats="0" applyPatternFormats="0" applyAlignmentFormats="0" applyWidthHeightFormats="0">
  <queryTableRefresh nextId="5">
    <queryTableFields count="4">
      <queryTableField id="1" name="customer_id" tableColumnId="1"/>
      <queryTableField id="2" name="customer_name" tableColumnId="2"/>
      <queryTableField id="3" name="city" tableColumnId="3"/>
      <queryTableField id="4" name="signup_date" tableColumnId="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Year" xr10:uid="{F9F2260E-1508-496D-A6ED-F8C210AE6D21}" sourceName="[messy_orders_csv].[order_date (Year)]">
  <pivotTables>
    <pivotTable tabId="1" name="PivotTable15"/>
    <pivotTable tabId="7" name="PivotTable1"/>
    <pivotTable tabId="7" name="PivotTable10"/>
    <pivotTable tabId="7" name="PivotTable11"/>
    <pivotTable tabId="7" name="PivotTable12"/>
    <pivotTable tabId="7" name="PivotTable13"/>
    <pivotTable tabId="7" name="PivotTable2"/>
    <pivotTable tabId="7" name="PivotTable3"/>
    <pivotTable tabId="7" name="PivotTable4"/>
    <pivotTable tabId="7" name="PivotTable5"/>
    <pivotTable tabId="7" name="PivotTable6"/>
    <pivotTable tabId="7" name="PivotTable9"/>
    <pivotTable tabId="7" name="PivotTable7"/>
    <pivotTable tabId="7" name="PivotTable14"/>
    <pivotTable tabId="7" name="PivotTable15"/>
    <pivotTable tabId="7" name="PivotTable16"/>
  </pivotTables>
  <data>
    <olap pivotCacheId="1871478169">
      <levels count="2">
        <level uniqueName="[messy_orders_csv].[order_date (Year)].[(All)]" sourceCaption="(All)" count="0"/>
        <level uniqueName="[messy_orders_csv].[order_date (Year)].[order_date (Year)]" sourceCaption="order_date (Year)" count="2">
          <ranges>
            <range startItem="0">
              <i n="[messy_orders_csv].[order_date (Year)].&amp;[2024]" c="2024"/>
              <i n="[messy_orders_csv].[order_date (Year)].&amp;[2025]" c="2025"/>
            </range>
          </ranges>
        </level>
      </levels>
      <selections count="1">
        <selection n="[messy_orders_csv].[order_date (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E0AABD9E-F165-4412-B88C-C2595A5CE81D}" sourceName="[messy_customers_csv].[city]">
  <pivotTables>
    <pivotTable tabId="1" name="PivotTable15"/>
    <pivotTable tabId="7" name="PivotTable1"/>
    <pivotTable tabId="7" name="PivotTable10"/>
    <pivotTable tabId="7" name="PivotTable11"/>
    <pivotTable tabId="7" name="PivotTable12"/>
    <pivotTable tabId="7" name="PivotTable13"/>
    <pivotTable tabId="7" name="PivotTable2"/>
    <pivotTable tabId="7" name="PivotTable3"/>
    <pivotTable tabId="7" name="PivotTable4"/>
    <pivotTable tabId="7" name="PivotTable5"/>
    <pivotTable tabId="7" name="PivotTable6"/>
    <pivotTable tabId="7" name="PivotTable9"/>
    <pivotTable tabId="7" name="PivotTable7"/>
    <pivotTable tabId="7" name="PivotTable14"/>
    <pivotTable tabId="7" name="PivotTable15"/>
    <pivotTable tabId="7" name="PivotTable16"/>
  </pivotTables>
  <data>
    <olap pivotCacheId="1871478169">
      <levels count="2">
        <level uniqueName="[messy_customers_csv].[city].[(All)]" sourceCaption="(All)" count="0"/>
        <level uniqueName="[messy_customers_csv].[city].[city]" sourceCaption="city" count="7">
          <ranges>
            <range startItem="0">
              <i n="[messy_customers_csv].[city].&amp;[Bangalore]" c="Bangalore"/>
              <i n="[messy_customers_csv].[city].&amp;[Chennai]" c="Chennai"/>
              <i n="[messy_customers_csv].[city].&amp;[Delhi]" c="Delhi"/>
              <i n="[messy_customers_csv].[city].&amp;[Hyderabad]" c="Hyderabad"/>
              <i n="[messy_customers_csv].[city].&amp;[Kolkata]" c="Kolkata"/>
              <i n="[messy_customers_csv].[city].&amp;[Mumbai]" c="Mumbai"/>
              <i n="[messy_customers_csv].[city].&amp;[Pune]" c="Pune"/>
            </range>
          </ranges>
        </level>
      </levels>
      <selections count="1">
        <selection n="[messy_customers_csv].[cit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9CB27015-EB80-48BA-8B43-A05DAA76BF20}" sourceName="[messy_orders_csv].[payment_method]">
  <pivotTables>
    <pivotTable tabId="1" name="PivotTable15"/>
    <pivotTable tabId="7" name="PivotTable1"/>
    <pivotTable tabId="7" name="PivotTable10"/>
    <pivotTable tabId="7" name="PivotTable11"/>
    <pivotTable tabId="7" name="PivotTable12"/>
    <pivotTable tabId="7" name="PivotTable13"/>
    <pivotTable tabId="7" name="PivotTable2"/>
    <pivotTable tabId="7" name="PivotTable3"/>
    <pivotTable tabId="7" name="PivotTable4"/>
    <pivotTable tabId="7" name="PivotTable5"/>
    <pivotTable tabId="7" name="PivotTable6"/>
    <pivotTable tabId="7" name="PivotTable15"/>
    <pivotTable tabId="7" name="PivotTable16"/>
  </pivotTables>
  <data>
    <olap pivotCacheId="1871478169">
      <levels count="2">
        <level uniqueName="[messy_orders_csv].[payment_method].[(All)]" sourceCaption="(All)" count="0"/>
        <level uniqueName="[messy_orders_csv].[payment_method].[payment_method]" sourceCaption="payment_method" count="5">
          <ranges>
            <range startItem="0">
              <i n="[messy_orders_csv].[payment_method].&amp;[Cash]" c="Cash"/>
              <i n="[messy_orders_csv].[payment_method].&amp;[Credit Card]" c="Credit Card"/>
              <i n="[messy_orders_csv].[payment_method].&amp;[Debit Card]" c="Debit Card"/>
              <i n="[messy_orders_csv].[payment_method].&amp;[NA]" c="NA"/>
              <i n="[messy_orders_csv].[payment_method].&amp;[UPI]" c="UPI"/>
            </range>
          </ranges>
        </level>
      </levels>
      <selections count="1">
        <selection n="[messy_orders_csv].[payment_method].[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90C42C7-A3DE-4C9F-AE98-F86D7BD162C4}" sourceName="[messy_products_csv].[category]">
  <pivotTables>
    <pivotTable tabId="1" name="PivotTable15"/>
    <pivotTable tabId="7" name="PivotTable1"/>
    <pivotTable tabId="7" name="PivotTable10"/>
    <pivotTable tabId="7" name="PivotTable11"/>
    <pivotTable tabId="7" name="PivotTable12"/>
    <pivotTable tabId="7" name="PivotTable13"/>
    <pivotTable tabId="7" name="PivotTable2"/>
    <pivotTable tabId="7" name="PivotTable3"/>
    <pivotTable tabId="7" name="PivotTable4"/>
    <pivotTable tabId="7" name="PivotTable5"/>
    <pivotTable tabId="7" name="PivotTable6"/>
    <pivotTable tabId="7" name="PivotTable9"/>
    <pivotTable tabId="7" name="PivotTable7"/>
    <pivotTable tabId="7" name="PivotTable14"/>
    <pivotTable tabId="7" name="PivotTable15"/>
    <pivotTable tabId="7" name="PivotTable16"/>
  </pivotTables>
  <data>
    <olap pivotCacheId="1871478169">
      <levels count="2">
        <level uniqueName="[messy_products_csv].[category].[(All)]" sourceCaption="(All)" count="0"/>
        <level uniqueName="[messy_products_csv].[category].[category]" sourceCaption="category" count="4">
          <ranges>
            <range startItem="0">
              <i n="[messy_products_csv].[category].&amp;[Accessory]" c="Accessory"/>
              <i n="[messy_products_csv].[category].&amp;[Laptop]" c="Laptop"/>
              <i n="[messy_products_csv].[category].&amp;[Smart Phone]" c="Smart Phone"/>
              <i n="[messy_products_csv].[category].&amp;[Tablet]" c="Tablet"/>
            </range>
          </ranges>
        </level>
      </levels>
      <selections count="1">
        <selection n="[messy_products_csv].[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date (Year) 1" xr10:uid="{155A0F8F-62AA-4BB9-BA56-41FCBFFB0FD0}" cache="Slicer_order_date__Year" caption="order_date (Year)" level="1" style="SlicerStyleDark6" rowHeight="234950"/>
  <slicer name="city 1" xr10:uid="{8B4AAA6F-4F4A-4A8D-80C7-B5BCF4AFB9F2}" cache="Slicer_city" caption="city" columnCount="7" level="1" style="SlicerStyleDark6" rowHeight="216000"/>
  <slicer name="payment_method 1" xr10:uid="{806CB084-575B-4A74-8D4C-0D56F5AF9B9F}" cache="Slicer_payment_method" caption="payment_method" columnCount="3" level="1" style="SlicerStyleDark6" rowHeight="180000"/>
  <slicer name="category 1" xr10:uid="{52D3422D-D508-469A-AEAC-19F912BFD432}" cache="Slicer_category" caption="category" columnCount="2" level="1" style="SlicerStyleDark6" rowHeight="180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29D7073-9983-4933-BC5F-9A8C44DD32C8}" name="messy_products_csv" displayName="messy_products_csv" ref="A1:D81" tableType="queryTable" totalsRowShown="0">
  <autoFilter ref="A1:D81" xr:uid="{A29D7073-9983-4933-BC5F-9A8C44DD32C8}"/>
  <tableColumns count="4">
    <tableColumn id="1" xr3:uid="{242D6107-ECA3-46ED-B065-FA8AF2C053E4}" uniqueName="1" name="product_id" queryTableFieldId="1" dataDxfId="27"/>
    <tableColumn id="2" xr3:uid="{7C66FB84-A91D-4C9A-8942-F943970A01CA}" uniqueName="2" name="product_name" queryTableFieldId="2" dataDxfId="26"/>
    <tableColumn id="3" xr3:uid="{75624CEB-8FDD-4474-A2E5-B32C0ABD691B}" uniqueName="3" name="category" queryTableFieldId="3" dataDxfId="25"/>
    <tableColumn id="4" xr3:uid="{383F2979-12AE-4A0C-A54B-2CC6C0B80A31}" uniqueName="4" name="base_price" queryTableFieldId="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1F08392-BDC2-4A37-A394-E3204FF07D70}" name="messy_order_items_csv" displayName="messy_order_items_csv" ref="A1:F2051" tableType="queryTable" totalsRowShown="0">
  <autoFilter ref="A1:F2051" xr:uid="{91F08392-BDC2-4A37-A394-E3204FF07D70}"/>
  <tableColumns count="6">
    <tableColumn id="1" xr3:uid="{C4DF8517-9C62-48CC-9097-7EC5BA5B6AAF}" uniqueName="1" name="order_item_id" queryTableFieldId="1"/>
    <tableColumn id="2" xr3:uid="{9C5A6E98-E001-4BCC-A0EF-6B3A48296536}" uniqueName="2" name="order_id" queryTableFieldId="2" dataDxfId="24"/>
    <tableColumn id="3" xr3:uid="{2E45EEF4-0928-45BF-B820-1262FC6889AE}" uniqueName="3" name="product_id" queryTableFieldId="3" dataDxfId="23"/>
    <tableColumn id="4" xr3:uid="{7E95A2D2-893B-4135-BF18-C4D02283F23C}" uniqueName="4" name="quantity" queryTableFieldId="4"/>
    <tableColumn id="6" xr3:uid="{F61A49DA-6832-4727-8AB6-3B7EE7E5B910}" uniqueName="6" name="unit_price" queryTableFieldId="6"/>
    <tableColumn id="7" xr3:uid="{2B348F0E-9564-4B21-97A7-944916B2CF5D}" uniqueName="7" name="total_amount" queryTableFieldId="7" dataDxfId="22">
      <calculatedColumnFormula>messy_order_items_csv[[#This Row],[unit_price]]*messy_order_items_csv[[#This Row],[quantity]]</calculatedColumnFormula>
    </tableColumn>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71D687D-2409-4569-AB07-4CDA41C50D8C}" name="messy_orders_csv" displayName="messy_orders_csv" ref="A1:D1201" tableType="queryTable" totalsRowShown="0">
  <autoFilter ref="A1:D1201" xr:uid="{E71D687D-2409-4569-AB07-4CDA41C50D8C}"/>
  <tableColumns count="4">
    <tableColumn id="1" xr3:uid="{B6CA1BC3-0D2C-431C-A4BC-9B30CE5DD777}" uniqueName="1" name="order_id" queryTableFieldId="1" dataDxfId="21"/>
    <tableColumn id="2" xr3:uid="{E18C76AA-D367-443F-BDA4-8F87A4D026C9}" uniqueName="2" name="customer_id" queryTableFieldId="2" dataDxfId="20"/>
    <tableColumn id="5" xr3:uid="{A3C6F6A5-16C2-46CA-84CD-D35825E13E97}" uniqueName="5" name="order_date" queryTableFieldId="5" dataDxfId="19"/>
    <tableColumn id="4" xr3:uid="{8E3C499C-ABAF-4A0B-982B-5FFEE4549C73}" uniqueName="4" name="payment_method" queryTableFieldId="4" dataDxfId="18"/>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F1A115F-7BFF-4B84-96C7-9EBA4C1049AA}" name="messy_customers_csv" displayName="messy_customers_csv" ref="A1:D501" tableType="queryTable" totalsRowShown="0">
  <autoFilter ref="A1:D501" xr:uid="{CF1A115F-7BFF-4B84-96C7-9EBA4C1049AA}"/>
  <tableColumns count="4">
    <tableColumn id="1" xr3:uid="{07841E37-6C37-4CBB-B529-5067EA810F73}" uniqueName="1" name="customer_id" queryTableFieldId="1" dataDxfId="17"/>
    <tableColumn id="2" xr3:uid="{97DEE4C3-6C50-4C76-9D86-4CB6A997F89C}" uniqueName="2" name="customer_name" queryTableFieldId="2" dataDxfId="16"/>
    <tableColumn id="3" xr3:uid="{FE2AE078-C369-4FE1-88C2-8AB1C5DB8624}" uniqueName="3" name="city" queryTableFieldId="3" dataDxfId="15"/>
    <tableColumn id="4" xr3:uid="{E7D61E4E-45D3-494B-AF69-73ADC43941AD}" uniqueName="4" name="signup_date" queryTableFieldId="4" dataDxfId="14"/>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A7C58DD6-AE68-424C-B63B-B1943AE4EA81}" name="Table7" displayName="Table7" ref="M1:Q8" totalsRowShown="0">
  <autoFilter ref="M1:Q8" xr:uid="{A7C58DD6-AE68-424C-B63B-B1943AE4EA81}"/>
  <sortState xmlns:xlrd2="http://schemas.microsoft.com/office/spreadsheetml/2017/richdata2" ref="M2:Q8">
    <sortCondition descending="1" ref="Q1:Q8"/>
  </sortState>
  <tableColumns count="5">
    <tableColumn id="1" xr3:uid="{C56B42B9-40E4-4682-B429-D57B4FF58944}" name="country "/>
    <tableColumn id="2" xr3:uid="{CB4A7CA4-A195-437E-A118-37BB4CB18222}" name="stats"/>
    <tableColumn id="5" xr3:uid="{FE7D9610-8F51-4943-9F4D-5D817F98B7F4}" name="Column1"/>
    <tableColumn id="3" xr3:uid="{7CFD7E01-09B3-451A-88AE-6286EDF8156A}" name="states" dataDxfId="13"/>
    <tableColumn id="4" xr3:uid="{3553EB7F-2FDD-4D22-BABE-407DC8E808A8}" name="sales">
      <calculatedColumnFormula>GETPIVOTDATA("[Measures].[Sum of total_amount]",$A$9,"[messy_customers_csv].[city]","[messy_customers_csv].[city].&amp;["&amp;P2&amp;"]")</calculatedColumnFormula>
    </tableColumn>
  </tableColumns>
  <tableStyleInfo name="TableStyleLight8"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5BB9B2E-EC1B-4C4F-AE8C-D23D6489EC3E}" name="Table8" displayName="Table8" ref="M10:P17" totalsRowShown="0" tableBorderDxfId="12">
  <autoFilter ref="M10:P17" xr:uid="{05BB9B2E-EC1B-4C4F-AE8C-D23D6489EC3E}"/>
  <tableColumns count="4">
    <tableColumn id="1" xr3:uid="{C1ECD62C-2EF8-49AF-BDB7-35753052C1EC}" name="country " dataDxfId="11"/>
    <tableColumn id="2" xr3:uid="{D1F47991-1508-4C46-A2F5-4401E0A0E79D}" name="stats" dataDxfId="10"/>
    <tableColumn id="3" xr3:uid="{AA2FCB35-6B3F-4DC2-BFEE-95B6616AFC11}" name="country 2" dataDxfId="9"/>
    <tableColumn id="4" xr3:uid="{C4A55CAC-0EF8-4AE3-A0F7-D633A31B671A}" name="Column3">
      <calculatedColumnFormula>Q2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table" Target="../tables/table5.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drawing" Target="../drawings/drawing1.xml"/><Relationship Id="rId2" Type="http://schemas.openxmlformats.org/officeDocument/2006/relationships/pivotTable" Target="../pivotTables/pivotTable2.xml"/><Relationship Id="rId16" Type="http://schemas.openxmlformats.org/officeDocument/2006/relationships/printerSettings" Target="../printerSettings/printerSettings1.bin"/><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table" Target="../tables/table6.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16.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AA407C-EF04-4BC6-A243-7BFB7207ED71}">
  <dimension ref="A1:D81"/>
  <sheetViews>
    <sheetView topLeftCell="A53" workbookViewId="0">
      <selection sqref="A1:D81"/>
    </sheetView>
  </sheetViews>
  <sheetFormatPr defaultRowHeight="14.4" x14ac:dyDescent="0.3"/>
  <cols>
    <col min="1" max="1" width="12.44140625" bestFit="1" customWidth="1"/>
    <col min="2" max="2" width="15.77734375" bestFit="1" customWidth="1"/>
    <col min="3" max="3" width="11.21875" bestFit="1" customWidth="1"/>
    <col min="4" max="4" width="12.21875" bestFit="1" customWidth="1"/>
  </cols>
  <sheetData>
    <row r="1" spans="1:4" x14ac:dyDescent="0.3">
      <c r="A1" t="s">
        <v>2192</v>
      </c>
      <c r="B1" t="s">
        <v>2275</v>
      </c>
      <c r="C1" t="s">
        <v>2276</v>
      </c>
      <c r="D1" t="s">
        <v>2277</v>
      </c>
    </row>
    <row r="2" spans="1:4" x14ac:dyDescent="0.3">
      <c r="A2" t="s">
        <v>2268</v>
      </c>
      <c r="B2" t="s">
        <v>2278</v>
      </c>
      <c r="C2" t="s">
        <v>2279</v>
      </c>
      <c r="D2">
        <v>28151</v>
      </c>
    </row>
    <row r="3" spans="1:4" x14ac:dyDescent="0.3">
      <c r="A3" t="s">
        <v>2239</v>
      </c>
      <c r="B3" t="s">
        <v>2280</v>
      </c>
      <c r="C3" t="s">
        <v>2298</v>
      </c>
      <c r="D3">
        <v>68660</v>
      </c>
    </row>
    <row r="4" spans="1:4" x14ac:dyDescent="0.3">
      <c r="A4" t="s">
        <v>2251</v>
      </c>
      <c r="B4" t="s">
        <v>2281</v>
      </c>
      <c r="C4" t="s">
        <v>2286</v>
      </c>
    </row>
    <row r="5" spans="1:4" x14ac:dyDescent="0.3">
      <c r="A5" t="s">
        <v>2271</v>
      </c>
      <c r="B5" t="s">
        <v>2282</v>
      </c>
      <c r="C5" t="s">
        <v>2283</v>
      </c>
    </row>
    <row r="6" spans="1:4" x14ac:dyDescent="0.3">
      <c r="A6" t="s">
        <v>2215</v>
      </c>
      <c r="B6" t="s">
        <v>2284</v>
      </c>
      <c r="C6" t="s">
        <v>2279</v>
      </c>
    </row>
    <row r="7" spans="1:4" x14ac:dyDescent="0.3">
      <c r="A7" t="s">
        <v>2205</v>
      </c>
      <c r="B7" t="s">
        <v>2285</v>
      </c>
      <c r="C7" t="s">
        <v>2283</v>
      </c>
    </row>
    <row r="8" spans="1:4" x14ac:dyDescent="0.3">
      <c r="A8" t="s">
        <v>2197</v>
      </c>
      <c r="B8" t="s">
        <v>2281</v>
      </c>
      <c r="C8" t="s">
        <v>2286</v>
      </c>
    </row>
    <row r="9" spans="1:4" x14ac:dyDescent="0.3">
      <c r="A9" t="s">
        <v>2250</v>
      </c>
      <c r="B9" t="s">
        <v>2281</v>
      </c>
      <c r="C9" t="s">
        <v>2286</v>
      </c>
    </row>
    <row r="10" spans="1:4" x14ac:dyDescent="0.3">
      <c r="A10" t="s">
        <v>2265</v>
      </c>
      <c r="B10" t="s">
        <v>2287</v>
      </c>
      <c r="C10" t="s">
        <v>2279</v>
      </c>
      <c r="D10">
        <v>70582</v>
      </c>
    </row>
    <row r="11" spans="1:4" x14ac:dyDescent="0.3">
      <c r="A11" t="s">
        <v>2196</v>
      </c>
      <c r="B11" t="s">
        <v>2287</v>
      </c>
      <c r="C11" t="s">
        <v>2298</v>
      </c>
    </row>
    <row r="12" spans="1:4" x14ac:dyDescent="0.3">
      <c r="A12" t="s">
        <v>2260</v>
      </c>
      <c r="B12" t="s">
        <v>2278</v>
      </c>
      <c r="C12" t="s">
        <v>2286</v>
      </c>
    </row>
    <row r="13" spans="1:4" x14ac:dyDescent="0.3">
      <c r="A13" t="s">
        <v>2241</v>
      </c>
      <c r="B13" t="s">
        <v>2278</v>
      </c>
      <c r="C13" t="s">
        <v>2286</v>
      </c>
      <c r="D13">
        <v>27157</v>
      </c>
    </row>
    <row r="14" spans="1:4" x14ac:dyDescent="0.3">
      <c r="A14" t="s">
        <v>2258</v>
      </c>
      <c r="B14" t="s">
        <v>2288</v>
      </c>
      <c r="C14" t="s">
        <v>2298</v>
      </c>
      <c r="D14">
        <v>51735</v>
      </c>
    </row>
    <row r="15" spans="1:4" x14ac:dyDescent="0.3">
      <c r="A15" t="s">
        <v>2220</v>
      </c>
      <c r="B15" t="s">
        <v>2289</v>
      </c>
      <c r="C15" t="s">
        <v>2290</v>
      </c>
      <c r="D15">
        <v>5475</v>
      </c>
    </row>
    <row r="16" spans="1:4" x14ac:dyDescent="0.3">
      <c r="A16" t="s">
        <v>2203</v>
      </c>
      <c r="B16" t="s">
        <v>2285</v>
      </c>
      <c r="C16" t="s">
        <v>2298</v>
      </c>
      <c r="D16">
        <v>76755</v>
      </c>
    </row>
    <row r="17" spans="1:4" x14ac:dyDescent="0.3">
      <c r="A17" t="s">
        <v>2233</v>
      </c>
      <c r="B17" t="s">
        <v>2291</v>
      </c>
      <c r="C17" t="s">
        <v>2298</v>
      </c>
    </row>
    <row r="18" spans="1:4" x14ac:dyDescent="0.3">
      <c r="A18" t="s">
        <v>2230</v>
      </c>
      <c r="B18" t="s">
        <v>2292</v>
      </c>
      <c r="C18" t="s">
        <v>2298</v>
      </c>
    </row>
    <row r="19" spans="1:4" x14ac:dyDescent="0.3">
      <c r="A19" t="s">
        <v>2247</v>
      </c>
      <c r="B19" t="s">
        <v>2293</v>
      </c>
      <c r="C19" t="s">
        <v>2294</v>
      </c>
    </row>
    <row r="20" spans="1:4" x14ac:dyDescent="0.3">
      <c r="A20" t="s">
        <v>2261</v>
      </c>
      <c r="B20" t="s">
        <v>2288</v>
      </c>
      <c r="C20" t="s">
        <v>2298</v>
      </c>
    </row>
    <row r="21" spans="1:4" x14ac:dyDescent="0.3">
      <c r="A21" t="s">
        <v>2223</v>
      </c>
      <c r="B21" t="s">
        <v>2293</v>
      </c>
      <c r="C21" t="s">
        <v>2298</v>
      </c>
    </row>
    <row r="22" spans="1:4" x14ac:dyDescent="0.3">
      <c r="A22" t="s">
        <v>2224</v>
      </c>
      <c r="B22" t="s">
        <v>2285</v>
      </c>
      <c r="C22" t="s">
        <v>2294</v>
      </c>
    </row>
    <row r="23" spans="1:4" x14ac:dyDescent="0.3">
      <c r="A23" t="s">
        <v>2204</v>
      </c>
      <c r="B23" t="s">
        <v>2280</v>
      </c>
      <c r="C23" t="s">
        <v>2286</v>
      </c>
    </row>
    <row r="24" spans="1:4" x14ac:dyDescent="0.3">
      <c r="A24" t="s">
        <v>2200</v>
      </c>
      <c r="B24" t="s">
        <v>2282</v>
      </c>
      <c r="C24" t="s">
        <v>2279</v>
      </c>
    </row>
    <row r="25" spans="1:4" x14ac:dyDescent="0.3">
      <c r="A25" t="s">
        <v>2252</v>
      </c>
      <c r="B25" t="s">
        <v>2295</v>
      </c>
      <c r="C25" t="s">
        <v>2298</v>
      </c>
    </row>
    <row r="26" spans="1:4" x14ac:dyDescent="0.3">
      <c r="A26" t="s">
        <v>2226</v>
      </c>
      <c r="B26" t="s">
        <v>2293</v>
      </c>
      <c r="C26" t="s">
        <v>2294</v>
      </c>
      <c r="D26">
        <v>84776</v>
      </c>
    </row>
    <row r="27" spans="1:4" x14ac:dyDescent="0.3">
      <c r="A27" t="s">
        <v>2248</v>
      </c>
      <c r="B27" t="s">
        <v>2289</v>
      </c>
      <c r="C27" t="s">
        <v>2294</v>
      </c>
    </row>
    <row r="28" spans="1:4" x14ac:dyDescent="0.3">
      <c r="A28" t="s">
        <v>2231</v>
      </c>
      <c r="B28" t="s">
        <v>2291</v>
      </c>
      <c r="C28" t="s">
        <v>2298</v>
      </c>
      <c r="D28">
        <v>40595</v>
      </c>
    </row>
    <row r="29" spans="1:4" x14ac:dyDescent="0.3">
      <c r="A29" t="s">
        <v>2234</v>
      </c>
      <c r="B29" t="s">
        <v>2288</v>
      </c>
      <c r="C29" t="s">
        <v>2279</v>
      </c>
    </row>
    <row r="30" spans="1:4" x14ac:dyDescent="0.3">
      <c r="A30" t="s">
        <v>2244</v>
      </c>
      <c r="B30" t="s">
        <v>2288</v>
      </c>
      <c r="C30" t="s">
        <v>2286</v>
      </c>
    </row>
    <row r="31" spans="1:4" x14ac:dyDescent="0.3">
      <c r="A31" t="s">
        <v>2217</v>
      </c>
      <c r="B31" t="s">
        <v>2285</v>
      </c>
      <c r="C31" t="s">
        <v>2286</v>
      </c>
      <c r="D31">
        <v>44051</v>
      </c>
    </row>
    <row r="32" spans="1:4" x14ac:dyDescent="0.3">
      <c r="A32" t="s">
        <v>2273</v>
      </c>
      <c r="B32" t="s">
        <v>2280</v>
      </c>
      <c r="C32" t="s">
        <v>2286</v>
      </c>
    </row>
    <row r="33" spans="1:4" x14ac:dyDescent="0.3">
      <c r="A33" t="s">
        <v>2236</v>
      </c>
      <c r="B33" t="s">
        <v>2291</v>
      </c>
      <c r="C33" t="s">
        <v>2279</v>
      </c>
      <c r="D33">
        <v>6095</v>
      </c>
    </row>
    <row r="34" spans="1:4" x14ac:dyDescent="0.3">
      <c r="A34" t="s">
        <v>2195</v>
      </c>
      <c r="B34" t="s">
        <v>2296</v>
      </c>
      <c r="C34" t="s">
        <v>2294</v>
      </c>
      <c r="D34">
        <v>47453</v>
      </c>
    </row>
    <row r="35" spans="1:4" x14ac:dyDescent="0.3">
      <c r="A35" t="s">
        <v>2263</v>
      </c>
      <c r="B35" t="s">
        <v>2285</v>
      </c>
      <c r="C35" t="s">
        <v>2290</v>
      </c>
    </row>
    <row r="36" spans="1:4" x14ac:dyDescent="0.3">
      <c r="A36" t="s">
        <v>2238</v>
      </c>
      <c r="B36" t="s">
        <v>2285</v>
      </c>
      <c r="C36" t="s">
        <v>2294</v>
      </c>
      <c r="D36">
        <v>77306</v>
      </c>
    </row>
    <row r="37" spans="1:4" x14ac:dyDescent="0.3">
      <c r="A37" t="s">
        <v>2199</v>
      </c>
      <c r="B37" t="s">
        <v>2278</v>
      </c>
      <c r="C37" t="s">
        <v>2279</v>
      </c>
    </row>
    <row r="38" spans="1:4" x14ac:dyDescent="0.3">
      <c r="A38" t="s">
        <v>2246</v>
      </c>
      <c r="B38" t="s">
        <v>2287</v>
      </c>
      <c r="C38" t="s">
        <v>2290</v>
      </c>
      <c r="D38">
        <v>2571</v>
      </c>
    </row>
    <row r="39" spans="1:4" x14ac:dyDescent="0.3">
      <c r="A39" t="s">
        <v>2232</v>
      </c>
      <c r="B39" t="s">
        <v>2289</v>
      </c>
      <c r="C39" t="s">
        <v>2294</v>
      </c>
    </row>
    <row r="40" spans="1:4" x14ac:dyDescent="0.3">
      <c r="A40" t="s">
        <v>2253</v>
      </c>
      <c r="B40" t="s">
        <v>2289</v>
      </c>
      <c r="C40" t="s">
        <v>2286</v>
      </c>
      <c r="D40">
        <v>69520</v>
      </c>
    </row>
    <row r="41" spans="1:4" x14ac:dyDescent="0.3">
      <c r="A41" t="s">
        <v>2208</v>
      </c>
      <c r="B41" t="s">
        <v>2292</v>
      </c>
      <c r="C41" t="s">
        <v>2298</v>
      </c>
    </row>
    <row r="42" spans="1:4" x14ac:dyDescent="0.3">
      <c r="A42" t="s">
        <v>2257</v>
      </c>
      <c r="B42" t="s">
        <v>2285</v>
      </c>
      <c r="C42" t="s">
        <v>2298</v>
      </c>
    </row>
    <row r="43" spans="1:4" x14ac:dyDescent="0.3">
      <c r="A43" t="s">
        <v>2270</v>
      </c>
      <c r="B43" t="s">
        <v>2281</v>
      </c>
      <c r="C43" t="s">
        <v>2294</v>
      </c>
    </row>
    <row r="44" spans="1:4" x14ac:dyDescent="0.3">
      <c r="A44" t="s">
        <v>2235</v>
      </c>
      <c r="B44" t="s">
        <v>2297</v>
      </c>
      <c r="C44" t="s">
        <v>2286</v>
      </c>
    </row>
    <row r="45" spans="1:4" x14ac:dyDescent="0.3">
      <c r="A45" t="s">
        <v>2209</v>
      </c>
      <c r="B45" t="s">
        <v>2284</v>
      </c>
      <c r="C45" t="s">
        <v>2279</v>
      </c>
      <c r="D45">
        <v>13294</v>
      </c>
    </row>
    <row r="46" spans="1:4" x14ac:dyDescent="0.3">
      <c r="A46" t="s">
        <v>2198</v>
      </c>
      <c r="B46" t="s">
        <v>2282</v>
      </c>
      <c r="C46" t="s">
        <v>2290</v>
      </c>
    </row>
    <row r="47" spans="1:4" x14ac:dyDescent="0.3">
      <c r="A47" t="s">
        <v>2274</v>
      </c>
      <c r="B47" t="s">
        <v>2287</v>
      </c>
      <c r="C47" t="s">
        <v>2286</v>
      </c>
    </row>
    <row r="48" spans="1:4" x14ac:dyDescent="0.3">
      <c r="A48" t="s">
        <v>2216</v>
      </c>
      <c r="B48" t="s">
        <v>2284</v>
      </c>
      <c r="C48" t="s">
        <v>2298</v>
      </c>
    </row>
    <row r="49" spans="1:4" x14ac:dyDescent="0.3">
      <c r="A49" t="s">
        <v>2229</v>
      </c>
      <c r="B49" t="s">
        <v>2296</v>
      </c>
      <c r="C49" t="s">
        <v>2290</v>
      </c>
      <c r="D49">
        <v>47676</v>
      </c>
    </row>
    <row r="50" spans="1:4" x14ac:dyDescent="0.3">
      <c r="A50" t="s">
        <v>2237</v>
      </c>
      <c r="B50" t="s">
        <v>2296</v>
      </c>
      <c r="C50" t="s">
        <v>2298</v>
      </c>
      <c r="D50">
        <v>61022</v>
      </c>
    </row>
    <row r="51" spans="1:4" x14ac:dyDescent="0.3">
      <c r="A51" t="s">
        <v>2228</v>
      </c>
      <c r="B51" t="s">
        <v>2278</v>
      </c>
      <c r="C51" t="s">
        <v>2283</v>
      </c>
      <c r="D51">
        <v>59514</v>
      </c>
    </row>
    <row r="52" spans="1:4" x14ac:dyDescent="0.3">
      <c r="A52" t="s">
        <v>2262</v>
      </c>
      <c r="B52" t="s">
        <v>2292</v>
      </c>
      <c r="C52" t="s">
        <v>2298</v>
      </c>
      <c r="D52">
        <v>18522</v>
      </c>
    </row>
    <row r="53" spans="1:4" x14ac:dyDescent="0.3">
      <c r="A53" t="s">
        <v>2225</v>
      </c>
      <c r="B53" t="s">
        <v>2289</v>
      </c>
      <c r="C53" t="s">
        <v>2298</v>
      </c>
    </row>
    <row r="54" spans="1:4" x14ac:dyDescent="0.3">
      <c r="A54" t="s">
        <v>2219</v>
      </c>
      <c r="B54" t="s">
        <v>2287</v>
      </c>
      <c r="C54" t="s">
        <v>2286</v>
      </c>
    </row>
    <row r="55" spans="1:4" x14ac:dyDescent="0.3">
      <c r="A55" t="s">
        <v>2222</v>
      </c>
      <c r="B55" t="s">
        <v>2285</v>
      </c>
      <c r="C55" t="s">
        <v>2298</v>
      </c>
      <c r="D55">
        <v>34450</v>
      </c>
    </row>
    <row r="56" spans="1:4" x14ac:dyDescent="0.3">
      <c r="A56" t="s">
        <v>2264</v>
      </c>
      <c r="B56" t="s">
        <v>2292</v>
      </c>
      <c r="C56" t="s">
        <v>2286</v>
      </c>
    </row>
    <row r="57" spans="1:4" x14ac:dyDescent="0.3">
      <c r="A57" t="s">
        <v>2243</v>
      </c>
      <c r="B57" t="s">
        <v>2288</v>
      </c>
      <c r="C57" t="s">
        <v>2298</v>
      </c>
    </row>
    <row r="58" spans="1:4" x14ac:dyDescent="0.3">
      <c r="A58" t="s">
        <v>2254</v>
      </c>
      <c r="B58" t="s">
        <v>2278</v>
      </c>
      <c r="C58" t="s">
        <v>2294</v>
      </c>
      <c r="D58">
        <v>27615</v>
      </c>
    </row>
    <row r="59" spans="1:4" x14ac:dyDescent="0.3">
      <c r="A59" t="s">
        <v>2269</v>
      </c>
      <c r="B59" t="s">
        <v>2278</v>
      </c>
      <c r="C59" t="s">
        <v>2298</v>
      </c>
      <c r="D59">
        <v>41597</v>
      </c>
    </row>
    <row r="60" spans="1:4" x14ac:dyDescent="0.3">
      <c r="A60" t="s">
        <v>2242</v>
      </c>
      <c r="B60" t="s">
        <v>2284</v>
      </c>
      <c r="C60" t="s">
        <v>2286</v>
      </c>
    </row>
    <row r="61" spans="1:4" x14ac:dyDescent="0.3">
      <c r="A61" t="s">
        <v>2240</v>
      </c>
      <c r="B61" t="s">
        <v>2297</v>
      </c>
      <c r="C61" t="s">
        <v>2294</v>
      </c>
    </row>
    <row r="62" spans="1:4" x14ac:dyDescent="0.3">
      <c r="A62" t="s">
        <v>2267</v>
      </c>
      <c r="B62" t="s">
        <v>2282</v>
      </c>
      <c r="C62" t="s">
        <v>2279</v>
      </c>
    </row>
    <row r="63" spans="1:4" x14ac:dyDescent="0.3">
      <c r="A63" t="s">
        <v>2202</v>
      </c>
      <c r="B63" t="s">
        <v>2293</v>
      </c>
      <c r="C63" t="s">
        <v>2279</v>
      </c>
    </row>
    <row r="64" spans="1:4" x14ac:dyDescent="0.3">
      <c r="A64" t="s">
        <v>2221</v>
      </c>
      <c r="B64" t="s">
        <v>2296</v>
      </c>
      <c r="C64" t="s">
        <v>2286</v>
      </c>
    </row>
    <row r="65" spans="1:4" x14ac:dyDescent="0.3">
      <c r="A65" t="s">
        <v>2255</v>
      </c>
      <c r="B65" t="s">
        <v>2278</v>
      </c>
      <c r="C65" t="s">
        <v>2286</v>
      </c>
      <c r="D65">
        <v>81129</v>
      </c>
    </row>
    <row r="66" spans="1:4" x14ac:dyDescent="0.3">
      <c r="A66" t="s">
        <v>2212</v>
      </c>
      <c r="B66" t="s">
        <v>2293</v>
      </c>
      <c r="C66" t="s">
        <v>2298</v>
      </c>
      <c r="D66">
        <v>58364</v>
      </c>
    </row>
    <row r="67" spans="1:4" x14ac:dyDescent="0.3">
      <c r="A67" t="s">
        <v>2210</v>
      </c>
      <c r="B67" t="s">
        <v>2280</v>
      </c>
      <c r="C67" t="s">
        <v>2298</v>
      </c>
    </row>
    <row r="68" spans="1:4" x14ac:dyDescent="0.3">
      <c r="A68" t="s">
        <v>2214</v>
      </c>
      <c r="B68" t="s">
        <v>2297</v>
      </c>
      <c r="C68" t="s">
        <v>2298</v>
      </c>
    </row>
    <row r="69" spans="1:4" x14ac:dyDescent="0.3">
      <c r="A69" t="s">
        <v>2272</v>
      </c>
      <c r="B69" t="s">
        <v>2289</v>
      </c>
      <c r="C69" t="s">
        <v>2279</v>
      </c>
      <c r="D69">
        <v>43027</v>
      </c>
    </row>
    <row r="70" spans="1:4" x14ac:dyDescent="0.3">
      <c r="A70" t="s">
        <v>2213</v>
      </c>
      <c r="B70" t="s">
        <v>2297</v>
      </c>
      <c r="C70" t="s">
        <v>2294</v>
      </c>
    </row>
    <row r="71" spans="1:4" x14ac:dyDescent="0.3">
      <c r="A71" t="s">
        <v>2201</v>
      </c>
      <c r="B71" t="s">
        <v>2291</v>
      </c>
      <c r="C71" t="s">
        <v>2279</v>
      </c>
    </row>
    <row r="72" spans="1:4" x14ac:dyDescent="0.3">
      <c r="A72" t="s">
        <v>2218</v>
      </c>
      <c r="B72" t="s">
        <v>2287</v>
      </c>
      <c r="C72" t="s">
        <v>2279</v>
      </c>
      <c r="D72">
        <v>65274</v>
      </c>
    </row>
    <row r="73" spans="1:4" x14ac:dyDescent="0.3">
      <c r="A73" t="s">
        <v>2207</v>
      </c>
      <c r="B73" t="s">
        <v>2293</v>
      </c>
      <c r="C73" t="s">
        <v>2279</v>
      </c>
    </row>
    <row r="74" spans="1:4" x14ac:dyDescent="0.3">
      <c r="A74" t="s">
        <v>2266</v>
      </c>
      <c r="B74" t="s">
        <v>2282</v>
      </c>
      <c r="C74" t="s">
        <v>2286</v>
      </c>
      <c r="D74">
        <v>3393</v>
      </c>
    </row>
    <row r="75" spans="1:4" x14ac:dyDescent="0.3">
      <c r="A75" t="s">
        <v>2256</v>
      </c>
      <c r="B75" t="s">
        <v>2280</v>
      </c>
      <c r="C75" t="s">
        <v>2283</v>
      </c>
    </row>
    <row r="76" spans="1:4" x14ac:dyDescent="0.3">
      <c r="A76" t="s">
        <v>2259</v>
      </c>
      <c r="B76" t="s">
        <v>2287</v>
      </c>
      <c r="C76" t="s">
        <v>2298</v>
      </c>
    </row>
    <row r="77" spans="1:4" x14ac:dyDescent="0.3">
      <c r="A77" t="s">
        <v>2206</v>
      </c>
      <c r="B77" t="s">
        <v>2296</v>
      </c>
      <c r="C77" t="s">
        <v>2286</v>
      </c>
      <c r="D77">
        <v>15249</v>
      </c>
    </row>
    <row r="78" spans="1:4" x14ac:dyDescent="0.3">
      <c r="A78" t="s">
        <v>2227</v>
      </c>
      <c r="B78" t="s">
        <v>2296</v>
      </c>
      <c r="C78" t="s">
        <v>2298</v>
      </c>
    </row>
    <row r="79" spans="1:4" x14ac:dyDescent="0.3">
      <c r="A79" t="s">
        <v>2245</v>
      </c>
      <c r="B79" t="s">
        <v>2297</v>
      </c>
      <c r="C79" t="s">
        <v>2286</v>
      </c>
      <c r="D79">
        <v>70378</v>
      </c>
    </row>
    <row r="80" spans="1:4" x14ac:dyDescent="0.3">
      <c r="A80" t="s">
        <v>2249</v>
      </c>
      <c r="B80" t="s">
        <v>2284</v>
      </c>
      <c r="C80" t="s">
        <v>2283</v>
      </c>
    </row>
    <row r="81" spans="1:4" x14ac:dyDescent="0.3">
      <c r="A81" t="s">
        <v>2211</v>
      </c>
      <c r="B81" t="s">
        <v>2284</v>
      </c>
      <c r="C81" t="s">
        <v>2294</v>
      </c>
      <c r="D81">
        <v>82478</v>
      </c>
    </row>
  </sheetData>
  <conditionalFormatting sqref="A1:A81 A92:A1048576">
    <cfRule type="duplicateValues" dxfId="8" priority="1"/>
  </conditionalFormatting>
  <conditionalFormatting sqref="A6">
    <cfRule type="duplicateValues" dxfId="7" priority="3"/>
  </conditionalFormatting>
  <conditionalFormatting sqref="A20">
    <cfRule type="duplicateValues" dxfId="6" priority="2"/>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7F4FD-7D12-4F03-A43C-9ED39A74CD31}">
  <dimension ref="A1:I2051"/>
  <sheetViews>
    <sheetView topLeftCell="A2023" workbookViewId="0">
      <selection sqref="A1:F2051"/>
    </sheetView>
  </sheetViews>
  <sheetFormatPr defaultRowHeight="14.4" x14ac:dyDescent="0.3"/>
  <cols>
    <col min="1" max="1" width="15.109375" bestFit="1" customWidth="1"/>
    <col min="2" max="2" width="10.33203125" bestFit="1" customWidth="1"/>
    <col min="3" max="3" width="12.44140625" bestFit="1" customWidth="1"/>
    <col min="4" max="4" width="10.33203125" bestFit="1" customWidth="1"/>
    <col min="5" max="5" width="11.6640625" bestFit="1" customWidth="1"/>
    <col min="6" max="6" width="14.77734375" bestFit="1" customWidth="1"/>
  </cols>
  <sheetData>
    <row r="1" spans="1:9" x14ac:dyDescent="0.3">
      <c r="A1" t="s">
        <v>2191</v>
      </c>
      <c r="B1" t="s">
        <v>984</v>
      </c>
      <c r="C1" t="s">
        <v>2192</v>
      </c>
      <c r="D1" t="s">
        <v>2193</v>
      </c>
      <c r="E1" t="s">
        <v>2194</v>
      </c>
      <c r="F1" t="s">
        <v>2299</v>
      </c>
    </row>
    <row r="2" spans="1:9" x14ac:dyDescent="0.3">
      <c r="A2">
        <v>1</v>
      </c>
      <c r="B2" t="s">
        <v>1370</v>
      </c>
      <c r="C2" t="s">
        <v>2195</v>
      </c>
      <c r="D2">
        <v>2</v>
      </c>
      <c r="E2">
        <v>47453</v>
      </c>
      <c r="F2">
        <f>messy_order_items_csv[[#This Row],[unit_price]]*messy_order_items_csv[[#This Row],[quantity]]</f>
        <v>94906</v>
      </c>
      <c r="I2">
        <f>AVERAGE(messy_order_items_csv[unit_price])</f>
        <v>40992.391219512196</v>
      </c>
    </row>
    <row r="3" spans="1:9" x14ac:dyDescent="0.3">
      <c r="A3">
        <v>2</v>
      </c>
      <c r="B3" t="s">
        <v>1847</v>
      </c>
      <c r="C3" t="s">
        <v>2196</v>
      </c>
      <c r="D3">
        <v>1</v>
      </c>
      <c r="E3">
        <v>31497</v>
      </c>
      <c r="F3">
        <f>messy_order_items_csv[[#This Row],[unit_price]]*messy_order_items_csv[[#This Row],[quantity]]</f>
        <v>31497</v>
      </c>
    </row>
    <row r="4" spans="1:9" x14ac:dyDescent="0.3">
      <c r="A4">
        <v>3</v>
      </c>
      <c r="B4" t="s">
        <v>1579</v>
      </c>
      <c r="C4" t="s">
        <v>2197</v>
      </c>
      <c r="D4">
        <v>2</v>
      </c>
      <c r="E4">
        <v>77415</v>
      </c>
      <c r="F4">
        <f>messy_order_items_csv[[#This Row],[unit_price]]*messy_order_items_csv[[#This Row],[quantity]]</f>
        <v>154830</v>
      </c>
    </row>
    <row r="5" spans="1:9" x14ac:dyDescent="0.3">
      <c r="A5">
        <v>4</v>
      </c>
      <c r="B5" t="s">
        <v>1102</v>
      </c>
      <c r="C5" t="s">
        <v>2198</v>
      </c>
      <c r="D5">
        <v>2</v>
      </c>
      <c r="E5">
        <v>49066</v>
      </c>
      <c r="F5">
        <f>messy_order_items_csv[[#This Row],[unit_price]]*messy_order_items_csv[[#This Row],[quantity]]</f>
        <v>98132</v>
      </c>
    </row>
    <row r="6" spans="1:9" x14ac:dyDescent="0.3">
      <c r="A6">
        <v>5</v>
      </c>
      <c r="B6" t="s">
        <v>1312</v>
      </c>
      <c r="C6" t="s">
        <v>2199</v>
      </c>
      <c r="D6">
        <v>2</v>
      </c>
      <c r="E6">
        <v>58380</v>
      </c>
      <c r="F6">
        <f>messy_order_items_csv[[#This Row],[unit_price]]*messy_order_items_csv[[#This Row],[quantity]]</f>
        <v>116760</v>
      </c>
    </row>
    <row r="7" spans="1:9" x14ac:dyDescent="0.3">
      <c r="A7">
        <v>6</v>
      </c>
      <c r="B7" t="s">
        <v>1127</v>
      </c>
      <c r="C7" t="s">
        <v>2200</v>
      </c>
      <c r="D7">
        <v>1</v>
      </c>
      <c r="E7">
        <v>31497</v>
      </c>
      <c r="F7">
        <f>messy_order_items_csv[[#This Row],[unit_price]]*messy_order_items_csv[[#This Row],[quantity]]</f>
        <v>31497</v>
      </c>
    </row>
    <row r="8" spans="1:9" x14ac:dyDescent="0.3">
      <c r="A8">
        <v>7</v>
      </c>
      <c r="B8" t="s">
        <v>1278</v>
      </c>
      <c r="C8" t="s">
        <v>2201</v>
      </c>
      <c r="D8">
        <v>0</v>
      </c>
      <c r="E8">
        <v>31497</v>
      </c>
      <c r="F8">
        <f>messy_order_items_csv[[#This Row],[unit_price]]*messy_order_items_csv[[#This Row],[quantity]]</f>
        <v>0</v>
      </c>
    </row>
    <row r="9" spans="1:9" x14ac:dyDescent="0.3">
      <c r="A9">
        <v>8</v>
      </c>
      <c r="B9" t="s">
        <v>1036</v>
      </c>
      <c r="C9" t="s">
        <v>2202</v>
      </c>
      <c r="D9">
        <v>2</v>
      </c>
      <c r="E9">
        <v>87380</v>
      </c>
      <c r="F9">
        <f>messy_order_items_csv[[#This Row],[unit_price]]*messy_order_items_csv[[#This Row],[quantity]]</f>
        <v>174760</v>
      </c>
    </row>
    <row r="10" spans="1:9" x14ac:dyDescent="0.3">
      <c r="A10">
        <v>9</v>
      </c>
      <c r="B10" t="s">
        <v>1399</v>
      </c>
      <c r="C10" t="s">
        <v>2203</v>
      </c>
      <c r="D10">
        <v>1</v>
      </c>
      <c r="E10">
        <v>76755</v>
      </c>
      <c r="F10">
        <f>messy_order_items_csv[[#This Row],[unit_price]]*messy_order_items_csv[[#This Row],[quantity]]</f>
        <v>76755</v>
      </c>
    </row>
    <row r="11" spans="1:9" x14ac:dyDescent="0.3">
      <c r="A11">
        <v>10</v>
      </c>
      <c r="B11" t="s">
        <v>1385</v>
      </c>
      <c r="C11" t="s">
        <v>2204</v>
      </c>
      <c r="D11">
        <v>2</v>
      </c>
      <c r="E11">
        <v>31497</v>
      </c>
      <c r="F11">
        <f>messy_order_items_csv[[#This Row],[unit_price]]*messy_order_items_csv[[#This Row],[quantity]]</f>
        <v>62994</v>
      </c>
    </row>
    <row r="12" spans="1:9" x14ac:dyDescent="0.3">
      <c r="A12">
        <v>11</v>
      </c>
      <c r="B12" t="s">
        <v>1599</v>
      </c>
      <c r="C12" t="s">
        <v>2205</v>
      </c>
      <c r="D12">
        <v>3</v>
      </c>
      <c r="E12">
        <v>12037</v>
      </c>
      <c r="F12">
        <f>messy_order_items_csv[[#This Row],[unit_price]]*messy_order_items_csv[[#This Row],[quantity]]</f>
        <v>36111</v>
      </c>
    </row>
    <row r="13" spans="1:9" x14ac:dyDescent="0.3">
      <c r="A13">
        <v>12</v>
      </c>
      <c r="B13" t="s">
        <v>2124</v>
      </c>
      <c r="C13" t="s">
        <v>2206</v>
      </c>
      <c r="D13">
        <v>3</v>
      </c>
      <c r="E13">
        <v>74274</v>
      </c>
      <c r="F13">
        <f>messy_order_items_csv[[#This Row],[unit_price]]*messy_order_items_csv[[#This Row],[quantity]]</f>
        <v>222822</v>
      </c>
    </row>
    <row r="14" spans="1:9" x14ac:dyDescent="0.3">
      <c r="A14">
        <v>13</v>
      </c>
      <c r="B14" t="s">
        <v>1137</v>
      </c>
      <c r="C14" t="s">
        <v>2207</v>
      </c>
      <c r="E14">
        <v>31497</v>
      </c>
      <c r="F14">
        <f>messy_order_items_csv[[#This Row],[unit_price]]*messy_order_items_csv[[#This Row],[quantity]]</f>
        <v>0</v>
      </c>
    </row>
    <row r="15" spans="1:9" x14ac:dyDescent="0.3">
      <c r="A15">
        <v>14</v>
      </c>
      <c r="B15" t="s">
        <v>1093</v>
      </c>
      <c r="C15" t="s">
        <v>2208</v>
      </c>
      <c r="E15">
        <v>27760</v>
      </c>
      <c r="F15">
        <f>messy_order_items_csv[[#This Row],[unit_price]]*messy_order_items_csv[[#This Row],[quantity]]</f>
        <v>0</v>
      </c>
    </row>
    <row r="16" spans="1:9" x14ac:dyDescent="0.3">
      <c r="A16">
        <v>15</v>
      </c>
      <c r="B16" t="s">
        <v>1756</v>
      </c>
      <c r="C16" t="s">
        <v>2209</v>
      </c>
      <c r="D16">
        <v>2</v>
      </c>
      <c r="E16">
        <v>49981</v>
      </c>
      <c r="F16">
        <f>messy_order_items_csv[[#This Row],[unit_price]]*messy_order_items_csv[[#This Row],[quantity]]</f>
        <v>99962</v>
      </c>
    </row>
    <row r="17" spans="1:6" x14ac:dyDescent="0.3">
      <c r="A17">
        <v>16</v>
      </c>
      <c r="B17" t="s">
        <v>1074</v>
      </c>
      <c r="C17" t="s">
        <v>2210</v>
      </c>
      <c r="E17">
        <v>31497</v>
      </c>
      <c r="F17">
        <f>messy_order_items_csv[[#This Row],[unit_price]]*messy_order_items_csv[[#This Row],[quantity]]</f>
        <v>0</v>
      </c>
    </row>
    <row r="18" spans="1:6" x14ac:dyDescent="0.3">
      <c r="A18">
        <v>17</v>
      </c>
      <c r="B18" t="s">
        <v>1317</v>
      </c>
      <c r="C18" t="s">
        <v>2211</v>
      </c>
      <c r="D18">
        <v>3</v>
      </c>
      <c r="E18">
        <v>82478</v>
      </c>
      <c r="F18">
        <f>messy_order_items_csv[[#This Row],[unit_price]]*messy_order_items_csv[[#This Row],[quantity]]</f>
        <v>247434</v>
      </c>
    </row>
    <row r="19" spans="1:6" x14ac:dyDescent="0.3">
      <c r="A19">
        <v>18</v>
      </c>
      <c r="B19" t="s">
        <v>1903</v>
      </c>
      <c r="C19" t="s">
        <v>2212</v>
      </c>
      <c r="D19">
        <v>1</v>
      </c>
      <c r="E19">
        <v>55890</v>
      </c>
      <c r="F19">
        <f>messy_order_items_csv[[#This Row],[unit_price]]*messy_order_items_csv[[#This Row],[quantity]]</f>
        <v>55890</v>
      </c>
    </row>
    <row r="20" spans="1:6" x14ac:dyDescent="0.3">
      <c r="A20">
        <v>19</v>
      </c>
      <c r="B20" t="s">
        <v>1638</v>
      </c>
      <c r="C20" t="s">
        <v>2204</v>
      </c>
      <c r="E20">
        <v>31497</v>
      </c>
      <c r="F20">
        <f>messy_order_items_csv[[#This Row],[unit_price]]*messy_order_items_csv[[#This Row],[quantity]]</f>
        <v>0</v>
      </c>
    </row>
    <row r="21" spans="1:6" x14ac:dyDescent="0.3">
      <c r="A21">
        <v>20</v>
      </c>
      <c r="B21" t="s">
        <v>2119</v>
      </c>
      <c r="C21" t="s">
        <v>2213</v>
      </c>
      <c r="D21">
        <v>3</v>
      </c>
      <c r="E21">
        <v>31497</v>
      </c>
      <c r="F21">
        <f>messy_order_items_csv[[#This Row],[unit_price]]*messy_order_items_csv[[#This Row],[quantity]]</f>
        <v>94491</v>
      </c>
    </row>
    <row r="22" spans="1:6" x14ac:dyDescent="0.3">
      <c r="A22">
        <v>21</v>
      </c>
      <c r="B22" t="s">
        <v>1584</v>
      </c>
      <c r="C22" t="s">
        <v>2206</v>
      </c>
      <c r="D22">
        <v>0</v>
      </c>
      <c r="E22">
        <v>59441</v>
      </c>
      <c r="F22">
        <f>messy_order_items_csv[[#This Row],[unit_price]]*messy_order_items_csv[[#This Row],[quantity]]</f>
        <v>0</v>
      </c>
    </row>
    <row r="23" spans="1:6" x14ac:dyDescent="0.3">
      <c r="A23">
        <v>22</v>
      </c>
      <c r="B23" t="s">
        <v>1825</v>
      </c>
      <c r="C23" t="s">
        <v>2214</v>
      </c>
      <c r="D23">
        <v>4</v>
      </c>
      <c r="E23">
        <v>33632</v>
      </c>
      <c r="F23">
        <f>messy_order_items_csv[[#This Row],[unit_price]]*messy_order_items_csv[[#This Row],[quantity]]</f>
        <v>134528</v>
      </c>
    </row>
    <row r="24" spans="1:6" x14ac:dyDescent="0.3">
      <c r="A24">
        <v>23</v>
      </c>
      <c r="B24" t="s">
        <v>1055</v>
      </c>
      <c r="C24" t="s">
        <v>2201</v>
      </c>
      <c r="D24">
        <v>3</v>
      </c>
      <c r="E24">
        <v>39413</v>
      </c>
      <c r="F24">
        <f>messy_order_items_csv[[#This Row],[unit_price]]*messy_order_items_csv[[#This Row],[quantity]]</f>
        <v>118239</v>
      </c>
    </row>
    <row r="25" spans="1:6" x14ac:dyDescent="0.3">
      <c r="A25">
        <v>24</v>
      </c>
      <c r="B25" t="s">
        <v>1252</v>
      </c>
      <c r="C25" t="s">
        <v>2215</v>
      </c>
      <c r="D25">
        <v>3</v>
      </c>
      <c r="E25">
        <v>64252</v>
      </c>
      <c r="F25">
        <f>messy_order_items_csv[[#This Row],[unit_price]]*messy_order_items_csv[[#This Row],[quantity]]</f>
        <v>192756</v>
      </c>
    </row>
    <row r="26" spans="1:6" x14ac:dyDescent="0.3">
      <c r="A26">
        <v>25</v>
      </c>
      <c r="B26" t="s">
        <v>1576</v>
      </c>
      <c r="C26" t="s">
        <v>2196</v>
      </c>
      <c r="D26">
        <v>2</v>
      </c>
      <c r="E26">
        <v>60248</v>
      </c>
      <c r="F26">
        <f>messy_order_items_csv[[#This Row],[unit_price]]*messy_order_items_csv[[#This Row],[quantity]]</f>
        <v>120496</v>
      </c>
    </row>
    <row r="27" spans="1:6" x14ac:dyDescent="0.3">
      <c r="A27">
        <v>26</v>
      </c>
      <c r="B27" t="s">
        <v>1539</v>
      </c>
      <c r="C27" t="s">
        <v>2208</v>
      </c>
      <c r="D27">
        <v>4</v>
      </c>
      <c r="E27">
        <v>31497</v>
      </c>
      <c r="F27">
        <f>messy_order_items_csv[[#This Row],[unit_price]]*messy_order_items_csv[[#This Row],[quantity]]</f>
        <v>125988</v>
      </c>
    </row>
    <row r="28" spans="1:6" x14ac:dyDescent="0.3">
      <c r="A28">
        <v>27</v>
      </c>
      <c r="B28" t="s">
        <v>1902</v>
      </c>
      <c r="C28" t="s">
        <v>2216</v>
      </c>
      <c r="D28">
        <v>0</v>
      </c>
      <c r="E28">
        <v>31497</v>
      </c>
      <c r="F28">
        <f>messy_order_items_csv[[#This Row],[unit_price]]*messy_order_items_csv[[#This Row],[quantity]]</f>
        <v>0</v>
      </c>
    </row>
    <row r="29" spans="1:6" x14ac:dyDescent="0.3">
      <c r="A29">
        <v>28</v>
      </c>
      <c r="B29" t="s">
        <v>1408</v>
      </c>
      <c r="C29" t="s">
        <v>2217</v>
      </c>
      <c r="D29">
        <v>4</v>
      </c>
      <c r="E29">
        <v>86798</v>
      </c>
      <c r="F29">
        <f>messy_order_items_csv[[#This Row],[unit_price]]*messy_order_items_csv[[#This Row],[quantity]]</f>
        <v>347192</v>
      </c>
    </row>
    <row r="30" spans="1:6" x14ac:dyDescent="0.3">
      <c r="A30">
        <v>29</v>
      </c>
      <c r="B30" t="s">
        <v>1683</v>
      </c>
      <c r="C30" t="s">
        <v>2202</v>
      </c>
      <c r="D30">
        <v>3</v>
      </c>
      <c r="E30">
        <v>3196</v>
      </c>
      <c r="F30">
        <f>messy_order_items_csv[[#This Row],[unit_price]]*messy_order_items_csv[[#This Row],[quantity]]</f>
        <v>9588</v>
      </c>
    </row>
    <row r="31" spans="1:6" x14ac:dyDescent="0.3">
      <c r="A31">
        <v>30</v>
      </c>
      <c r="B31" t="s">
        <v>1295</v>
      </c>
      <c r="C31" t="s">
        <v>2218</v>
      </c>
      <c r="D31">
        <v>1</v>
      </c>
      <c r="E31">
        <v>45795</v>
      </c>
      <c r="F31">
        <f>messy_order_items_csv[[#This Row],[unit_price]]*messy_order_items_csv[[#This Row],[quantity]]</f>
        <v>45795</v>
      </c>
    </row>
    <row r="32" spans="1:6" x14ac:dyDescent="0.3">
      <c r="A32">
        <v>31</v>
      </c>
      <c r="B32" t="s">
        <v>1240</v>
      </c>
      <c r="C32" t="s">
        <v>2219</v>
      </c>
      <c r="D32">
        <v>1</v>
      </c>
      <c r="E32">
        <v>58339</v>
      </c>
      <c r="F32">
        <f>messy_order_items_csv[[#This Row],[unit_price]]*messy_order_items_csv[[#This Row],[quantity]]</f>
        <v>58339</v>
      </c>
    </row>
    <row r="33" spans="1:6" x14ac:dyDescent="0.3">
      <c r="A33">
        <v>32</v>
      </c>
      <c r="B33" t="s">
        <v>1134</v>
      </c>
      <c r="C33" t="s">
        <v>2217</v>
      </c>
      <c r="D33">
        <v>3</v>
      </c>
      <c r="E33">
        <v>45160</v>
      </c>
      <c r="F33">
        <f>messy_order_items_csv[[#This Row],[unit_price]]*messy_order_items_csv[[#This Row],[quantity]]</f>
        <v>135480</v>
      </c>
    </row>
    <row r="34" spans="1:6" x14ac:dyDescent="0.3">
      <c r="A34">
        <v>33</v>
      </c>
      <c r="B34" t="s">
        <v>1872</v>
      </c>
      <c r="C34" t="s">
        <v>2220</v>
      </c>
      <c r="D34">
        <v>0</v>
      </c>
      <c r="E34">
        <v>25382</v>
      </c>
      <c r="F34">
        <f>messy_order_items_csv[[#This Row],[unit_price]]*messy_order_items_csv[[#This Row],[quantity]]</f>
        <v>0</v>
      </c>
    </row>
    <row r="35" spans="1:6" x14ac:dyDescent="0.3">
      <c r="A35">
        <v>34</v>
      </c>
      <c r="B35" t="s">
        <v>1055</v>
      </c>
      <c r="C35" t="s">
        <v>2220</v>
      </c>
      <c r="D35">
        <v>3</v>
      </c>
      <c r="E35">
        <v>26826</v>
      </c>
      <c r="F35">
        <f>messy_order_items_csv[[#This Row],[unit_price]]*messy_order_items_csv[[#This Row],[quantity]]</f>
        <v>80478</v>
      </c>
    </row>
    <row r="36" spans="1:6" x14ac:dyDescent="0.3">
      <c r="A36">
        <v>35</v>
      </c>
      <c r="B36" t="s">
        <v>1300</v>
      </c>
      <c r="C36" t="s">
        <v>2221</v>
      </c>
      <c r="D36">
        <v>1</v>
      </c>
      <c r="E36">
        <v>18188</v>
      </c>
      <c r="F36">
        <f>messy_order_items_csv[[#This Row],[unit_price]]*messy_order_items_csv[[#This Row],[quantity]]</f>
        <v>18188</v>
      </c>
    </row>
    <row r="37" spans="1:6" x14ac:dyDescent="0.3">
      <c r="A37">
        <v>36</v>
      </c>
      <c r="B37" t="s">
        <v>1190</v>
      </c>
      <c r="C37" t="s">
        <v>2222</v>
      </c>
      <c r="D37">
        <v>4</v>
      </c>
      <c r="E37">
        <v>38823</v>
      </c>
      <c r="F37">
        <f>messy_order_items_csv[[#This Row],[unit_price]]*messy_order_items_csv[[#This Row],[quantity]]</f>
        <v>155292</v>
      </c>
    </row>
    <row r="38" spans="1:6" x14ac:dyDescent="0.3">
      <c r="A38">
        <v>37</v>
      </c>
      <c r="B38" t="s">
        <v>1198</v>
      </c>
      <c r="C38" t="s">
        <v>2223</v>
      </c>
      <c r="D38">
        <v>3</v>
      </c>
      <c r="E38">
        <v>31497</v>
      </c>
      <c r="F38">
        <f>messy_order_items_csv[[#This Row],[unit_price]]*messy_order_items_csv[[#This Row],[quantity]]</f>
        <v>94491</v>
      </c>
    </row>
    <row r="39" spans="1:6" x14ac:dyDescent="0.3">
      <c r="A39">
        <v>38</v>
      </c>
      <c r="B39" t="s">
        <v>1416</v>
      </c>
      <c r="C39" t="s">
        <v>2224</v>
      </c>
      <c r="D39">
        <v>3</v>
      </c>
      <c r="E39">
        <v>31497</v>
      </c>
      <c r="F39">
        <f>messy_order_items_csv[[#This Row],[unit_price]]*messy_order_items_csv[[#This Row],[quantity]]</f>
        <v>94491</v>
      </c>
    </row>
    <row r="40" spans="1:6" x14ac:dyDescent="0.3">
      <c r="A40">
        <v>39</v>
      </c>
      <c r="B40" t="s">
        <v>1302</v>
      </c>
      <c r="C40" t="s">
        <v>2225</v>
      </c>
      <c r="D40">
        <v>2</v>
      </c>
      <c r="E40">
        <v>31497</v>
      </c>
      <c r="F40">
        <f>messy_order_items_csv[[#This Row],[unit_price]]*messy_order_items_csv[[#This Row],[quantity]]</f>
        <v>62994</v>
      </c>
    </row>
    <row r="41" spans="1:6" x14ac:dyDescent="0.3">
      <c r="A41">
        <v>40</v>
      </c>
      <c r="B41" t="s">
        <v>1813</v>
      </c>
      <c r="C41" t="s">
        <v>2200</v>
      </c>
      <c r="D41">
        <v>1</v>
      </c>
      <c r="E41">
        <v>56996</v>
      </c>
      <c r="F41">
        <f>messy_order_items_csv[[#This Row],[unit_price]]*messy_order_items_csv[[#This Row],[quantity]]</f>
        <v>56996</v>
      </c>
    </row>
    <row r="42" spans="1:6" x14ac:dyDescent="0.3">
      <c r="A42">
        <v>41</v>
      </c>
      <c r="B42" t="s">
        <v>2163</v>
      </c>
      <c r="C42" t="s">
        <v>2226</v>
      </c>
      <c r="D42">
        <v>2</v>
      </c>
      <c r="E42">
        <v>84776</v>
      </c>
      <c r="F42">
        <f>messy_order_items_csv[[#This Row],[unit_price]]*messy_order_items_csv[[#This Row],[quantity]]</f>
        <v>169552</v>
      </c>
    </row>
    <row r="43" spans="1:6" x14ac:dyDescent="0.3">
      <c r="A43">
        <v>42</v>
      </c>
      <c r="B43" t="s">
        <v>1325</v>
      </c>
      <c r="C43" t="s">
        <v>2203</v>
      </c>
      <c r="D43">
        <v>3</v>
      </c>
      <c r="E43">
        <v>58610</v>
      </c>
      <c r="F43">
        <f>messy_order_items_csv[[#This Row],[unit_price]]*messy_order_items_csv[[#This Row],[quantity]]</f>
        <v>175830</v>
      </c>
    </row>
    <row r="44" spans="1:6" x14ac:dyDescent="0.3">
      <c r="A44">
        <v>43</v>
      </c>
      <c r="B44" t="s">
        <v>1221</v>
      </c>
      <c r="C44" t="s">
        <v>2227</v>
      </c>
      <c r="D44">
        <v>3</v>
      </c>
      <c r="E44">
        <v>3653</v>
      </c>
      <c r="F44">
        <f>messy_order_items_csv[[#This Row],[unit_price]]*messy_order_items_csv[[#This Row],[quantity]]</f>
        <v>10959</v>
      </c>
    </row>
    <row r="45" spans="1:6" x14ac:dyDescent="0.3">
      <c r="A45">
        <v>44</v>
      </c>
      <c r="B45" t="s">
        <v>1468</v>
      </c>
      <c r="C45" t="s">
        <v>2228</v>
      </c>
      <c r="D45">
        <v>2</v>
      </c>
      <c r="E45">
        <v>59514</v>
      </c>
      <c r="F45">
        <f>messy_order_items_csv[[#This Row],[unit_price]]*messy_order_items_csv[[#This Row],[quantity]]</f>
        <v>119028</v>
      </c>
    </row>
    <row r="46" spans="1:6" x14ac:dyDescent="0.3">
      <c r="A46">
        <v>45</v>
      </c>
      <c r="B46" t="s">
        <v>1674</v>
      </c>
      <c r="C46" t="s">
        <v>2229</v>
      </c>
      <c r="D46">
        <v>1</v>
      </c>
      <c r="E46">
        <v>43082</v>
      </c>
      <c r="F46">
        <f>messy_order_items_csv[[#This Row],[unit_price]]*messy_order_items_csv[[#This Row],[quantity]]</f>
        <v>43082</v>
      </c>
    </row>
    <row r="47" spans="1:6" x14ac:dyDescent="0.3">
      <c r="A47">
        <v>46</v>
      </c>
      <c r="B47" t="s">
        <v>2124</v>
      </c>
      <c r="C47" t="s">
        <v>2230</v>
      </c>
      <c r="D47">
        <v>0</v>
      </c>
      <c r="E47">
        <v>31497</v>
      </c>
      <c r="F47">
        <f>messy_order_items_csv[[#This Row],[unit_price]]*messy_order_items_csv[[#This Row],[quantity]]</f>
        <v>0</v>
      </c>
    </row>
    <row r="48" spans="1:6" x14ac:dyDescent="0.3">
      <c r="A48">
        <v>47</v>
      </c>
      <c r="B48" t="s">
        <v>1058</v>
      </c>
      <c r="C48" t="s">
        <v>2231</v>
      </c>
      <c r="D48">
        <v>1</v>
      </c>
      <c r="E48">
        <v>40595</v>
      </c>
      <c r="F48">
        <f>messy_order_items_csv[[#This Row],[unit_price]]*messy_order_items_csv[[#This Row],[quantity]]</f>
        <v>40595</v>
      </c>
    </row>
    <row r="49" spans="1:6" x14ac:dyDescent="0.3">
      <c r="A49">
        <v>48</v>
      </c>
      <c r="B49" t="s">
        <v>1772</v>
      </c>
      <c r="C49" t="s">
        <v>2232</v>
      </c>
      <c r="D49">
        <v>1</v>
      </c>
      <c r="E49">
        <v>31497</v>
      </c>
      <c r="F49">
        <f>messy_order_items_csv[[#This Row],[unit_price]]*messy_order_items_csv[[#This Row],[quantity]]</f>
        <v>31497</v>
      </c>
    </row>
    <row r="50" spans="1:6" x14ac:dyDescent="0.3">
      <c r="A50">
        <v>49</v>
      </c>
      <c r="B50" t="s">
        <v>1371</v>
      </c>
      <c r="C50" t="s">
        <v>2217</v>
      </c>
      <c r="D50">
        <v>4</v>
      </c>
      <c r="E50">
        <v>77807</v>
      </c>
      <c r="F50">
        <f>messy_order_items_csv[[#This Row],[unit_price]]*messy_order_items_csv[[#This Row],[quantity]]</f>
        <v>311228</v>
      </c>
    </row>
    <row r="51" spans="1:6" x14ac:dyDescent="0.3">
      <c r="A51">
        <v>50</v>
      </c>
      <c r="B51" t="s">
        <v>1841</v>
      </c>
      <c r="C51" t="s">
        <v>2233</v>
      </c>
      <c r="D51">
        <v>1</v>
      </c>
      <c r="E51">
        <v>75924</v>
      </c>
      <c r="F51">
        <f>messy_order_items_csv[[#This Row],[unit_price]]*messy_order_items_csv[[#This Row],[quantity]]</f>
        <v>75924</v>
      </c>
    </row>
    <row r="52" spans="1:6" x14ac:dyDescent="0.3">
      <c r="A52">
        <v>51</v>
      </c>
      <c r="B52" t="s">
        <v>1278</v>
      </c>
      <c r="C52" t="s">
        <v>2214</v>
      </c>
      <c r="D52">
        <v>0</v>
      </c>
      <c r="E52">
        <v>31497</v>
      </c>
      <c r="F52">
        <f>messy_order_items_csv[[#This Row],[unit_price]]*messy_order_items_csv[[#This Row],[quantity]]</f>
        <v>0</v>
      </c>
    </row>
    <row r="53" spans="1:6" x14ac:dyDescent="0.3">
      <c r="A53">
        <v>52</v>
      </c>
      <c r="B53" t="s">
        <v>2129</v>
      </c>
      <c r="C53" t="s">
        <v>2210</v>
      </c>
      <c r="D53">
        <v>4</v>
      </c>
      <c r="E53">
        <v>31497</v>
      </c>
      <c r="F53">
        <f>messy_order_items_csv[[#This Row],[unit_price]]*messy_order_items_csv[[#This Row],[quantity]]</f>
        <v>125988</v>
      </c>
    </row>
    <row r="54" spans="1:6" x14ac:dyDescent="0.3">
      <c r="A54">
        <v>53</v>
      </c>
      <c r="B54" t="s">
        <v>1779</v>
      </c>
      <c r="C54" t="s">
        <v>2234</v>
      </c>
      <c r="D54">
        <v>4</v>
      </c>
      <c r="E54">
        <v>41806</v>
      </c>
      <c r="F54">
        <f>messy_order_items_csv[[#This Row],[unit_price]]*messy_order_items_csv[[#This Row],[quantity]]</f>
        <v>167224</v>
      </c>
    </row>
    <row r="55" spans="1:6" x14ac:dyDescent="0.3">
      <c r="A55">
        <v>54</v>
      </c>
      <c r="B55" t="s">
        <v>1670</v>
      </c>
      <c r="C55" t="s">
        <v>2216</v>
      </c>
      <c r="D55">
        <v>1</v>
      </c>
      <c r="E55">
        <v>31497</v>
      </c>
      <c r="F55">
        <f>messy_order_items_csv[[#This Row],[unit_price]]*messy_order_items_csv[[#This Row],[quantity]]</f>
        <v>31497</v>
      </c>
    </row>
    <row r="56" spans="1:6" x14ac:dyDescent="0.3">
      <c r="A56">
        <v>55</v>
      </c>
      <c r="B56" t="s">
        <v>1324</v>
      </c>
      <c r="C56" t="s">
        <v>2235</v>
      </c>
      <c r="D56">
        <v>4</v>
      </c>
      <c r="E56">
        <v>32506</v>
      </c>
      <c r="F56">
        <f>messy_order_items_csv[[#This Row],[unit_price]]*messy_order_items_csv[[#This Row],[quantity]]</f>
        <v>130024</v>
      </c>
    </row>
    <row r="57" spans="1:6" x14ac:dyDescent="0.3">
      <c r="A57">
        <v>56</v>
      </c>
      <c r="B57" t="s">
        <v>1650</v>
      </c>
      <c r="C57" t="s">
        <v>2236</v>
      </c>
      <c r="D57">
        <v>3</v>
      </c>
      <c r="E57">
        <v>6095</v>
      </c>
      <c r="F57">
        <f>messy_order_items_csv[[#This Row],[unit_price]]*messy_order_items_csv[[#This Row],[quantity]]</f>
        <v>18285</v>
      </c>
    </row>
    <row r="58" spans="1:6" x14ac:dyDescent="0.3">
      <c r="A58">
        <v>57</v>
      </c>
      <c r="B58" t="s">
        <v>1222</v>
      </c>
      <c r="C58" t="s">
        <v>2237</v>
      </c>
      <c r="D58">
        <v>0</v>
      </c>
      <c r="E58">
        <v>5975</v>
      </c>
      <c r="F58">
        <f>messy_order_items_csv[[#This Row],[unit_price]]*messy_order_items_csv[[#This Row],[quantity]]</f>
        <v>0</v>
      </c>
    </row>
    <row r="59" spans="1:6" x14ac:dyDescent="0.3">
      <c r="A59">
        <v>58</v>
      </c>
      <c r="B59" t="s">
        <v>1484</v>
      </c>
      <c r="C59" t="s">
        <v>2238</v>
      </c>
      <c r="D59">
        <v>4</v>
      </c>
      <c r="E59">
        <v>63803</v>
      </c>
      <c r="F59">
        <f>messy_order_items_csv[[#This Row],[unit_price]]*messy_order_items_csv[[#This Row],[quantity]]</f>
        <v>255212</v>
      </c>
    </row>
    <row r="60" spans="1:6" x14ac:dyDescent="0.3">
      <c r="A60">
        <v>59</v>
      </c>
      <c r="B60" t="s">
        <v>1468</v>
      </c>
      <c r="C60" t="s">
        <v>2239</v>
      </c>
      <c r="D60">
        <v>1</v>
      </c>
      <c r="E60">
        <v>87951</v>
      </c>
      <c r="F60">
        <f>messy_order_items_csv[[#This Row],[unit_price]]*messy_order_items_csv[[#This Row],[quantity]]</f>
        <v>87951</v>
      </c>
    </row>
    <row r="61" spans="1:6" x14ac:dyDescent="0.3">
      <c r="A61">
        <v>60</v>
      </c>
      <c r="B61" t="s">
        <v>2159</v>
      </c>
      <c r="C61" t="s">
        <v>2240</v>
      </c>
      <c r="D61">
        <v>2</v>
      </c>
      <c r="E61">
        <v>31497</v>
      </c>
      <c r="F61">
        <f>messy_order_items_csv[[#This Row],[unit_price]]*messy_order_items_csv[[#This Row],[quantity]]</f>
        <v>62994</v>
      </c>
    </row>
    <row r="62" spans="1:6" x14ac:dyDescent="0.3">
      <c r="A62">
        <v>61</v>
      </c>
      <c r="B62" t="s">
        <v>1359</v>
      </c>
      <c r="C62" t="s">
        <v>2227</v>
      </c>
      <c r="D62">
        <v>4</v>
      </c>
      <c r="E62">
        <v>72873</v>
      </c>
      <c r="F62">
        <f>messy_order_items_csv[[#This Row],[unit_price]]*messy_order_items_csv[[#This Row],[quantity]]</f>
        <v>291492</v>
      </c>
    </row>
    <row r="63" spans="1:6" x14ac:dyDescent="0.3">
      <c r="A63">
        <v>62</v>
      </c>
      <c r="B63" t="s">
        <v>1114</v>
      </c>
      <c r="C63" t="s">
        <v>2224</v>
      </c>
      <c r="D63">
        <v>1</v>
      </c>
      <c r="E63">
        <v>35077</v>
      </c>
      <c r="F63">
        <f>messy_order_items_csv[[#This Row],[unit_price]]*messy_order_items_csv[[#This Row],[quantity]]</f>
        <v>35077</v>
      </c>
    </row>
    <row r="64" spans="1:6" x14ac:dyDescent="0.3">
      <c r="A64">
        <v>63</v>
      </c>
      <c r="B64" t="s">
        <v>1853</v>
      </c>
      <c r="C64" t="s">
        <v>2241</v>
      </c>
      <c r="D64">
        <v>3</v>
      </c>
      <c r="E64">
        <v>27157</v>
      </c>
      <c r="F64">
        <f>messy_order_items_csv[[#This Row],[unit_price]]*messy_order_items_csv[[#This Row],[quantity]]</f>
        <v>81471</v>
      </c>
    </row>
    <row r="65" spans="1:6" x14ac:dyDescent="0.3">
      <c r="A65">
        <v>64</v>
      </c>
      <c r="B65" t="s">
        <v>2175</v>
      </c>
      <c r="C65" t="s">
        <v>2242</v>
      </c>
      <c r="D65">
        <v>1</v>
      </c>
      <c r="E65">
        <v>31497</v>
      </c>
      <c r="F65">
        <f>messy_order_items_csv[[#This Row],[unit_price]]*messy_order_items_csv[[#This Row],[quantity]]</f>
        <v>31497</v>
      </c>
    </row>
    <row r="66" spans="1:6" x14ac:dyDescent="0.3">
      <c r="A66">
        <v>65</v>
      </c>
      <c r="B66" t="s">
        <v>1999</v>
      </c>
      <c r="C66" t="s">
        <v>2241</v>
      </c>
      <c r="D66">
        <v>2</v>
      </c>
      <c r="E66">
        <v>27157</v>
      </c>
      <c r="F66">
        <f>messy_order_items_csv[[#This Row],[unit_price]]*messy_order_items_csv[[#This Row],[quantity]]</f>
        <v>54314</v>
      </c>
    </row>
    <row r="67" spans="1:6" x14ac:dyDescent="0.3">
      <c r="A67">
        <v>66</v>
      </c>
      <c r="B67" t="s">
        <v>1998</v>
      </c>
      <c r="C67" t="s">
        <v>2243</v>
      </c>
      <c r="D67">
        <v>4</v>
      </c>
      <c r="E67">
        <v>67556</v>
      </c>
      <c r="F67">
        <f>messy_order_items_csv[[#This Row],[unit_price]]*messy_order_items_csv[[#This Row],[quantity]]</f>
        <v>270224</v>
      </c>
    </row>
    <row r="68" spans="1:6" x14ac:dyDescent="0.3">
      <c r="A68">
        <v>67</v>
      </c>
      <c r="B68" t="s">
        <v>1608</v>
      </c>
      <c r="C68" t="s">
        <v>2232</v>
      </c>
      <c r="D68">
        <v>0</v>
      </c>
      <c r="E68">
        <v>46592</v>
      </c>
      <c r="F68">
        <f>messy_order_items_csv[[#This Row],[unit_price]]*messy_order_items_csv[[#This Row],[quantity]]</f>
        <v>0</v>
      </c>
    </row>
    <row r="69" spans="1:6" x14ac:dyDescent="0.3">
      <c r="A69">
        <v>68</v>
      </c>
      <c r="B69" t="s">
        <v>1075</v>
      </c>
      <c r="C69" t="s">
        <v>2204</v>
      </c>
      <c r="D69">
        <v>1</v>
      </c>
      <c r="E69">
        <v>67925</v>
      </c>
      <c r="F69">
        <f>messy_order_items_csv[[#This Row],[unit_price]]*messy_order_items_csv[[#This Row],[quantity]]</f>
        <v>67925</v>
      </c>
    </row>
    <row r="70" spans="1:6" x14ac:dyDescent="0.3">
      <c r="A70">
        <v>69</v>
      </c>
      <c r="B70" t="s">
        <v>1450</v>
      </c>
      <c r="C70" t="s">
        <v>2203</v>
      </c>
      <c r="D70">
        <v>3</v>
      </c>
      <c r="E70">
        <v>76755</v>
      </c>
      <c r="F70">
        <f>messy_order_items_csv[[#This Row],[unit_price]]*messy_order_items_csv[[#This Row],[quantity]]</f>
        <v>230265</v>
      </c>
    </row>
    <row r="71" spans="1:6" x14ac:dyDescent="0.3">
      <c r="A71">
        <v>70</v>
      </c>
      <c r="B71" t="s">
        <v>1176</v>
      </c>
      <c r="C71" t="s">
        <v>2244</v>
      </c>
      <c r="D71">
        <v>4</v>
      </c>
      <c r="E71">
        <v>47894</v>
      </c>
      <c r="F71">
        <f>messy_order_items_csv[[#This Row],[unit_price]]*messy_order_items_csv[[#This Row],[quantity]]</f>
        <v>191576</v>
      </c>
    </row>
    <row r="72" spans="1:6" x14ac:dyDescent="0.3">
      <c r="A72">
        <v>71</v>
      </c>
      <c r="B72" t="s">
        <v>1222</v>
      </c>
      <c r="C72" t="s">
        <v>2245</v>
      </c>
      <c r="E72">
        <v>74303</v>
      </c>
      <c r="F72">
        <f>messy_order_items_csv[[#This Row],[unit_price]]*messy_order_items_csv[[#This Row],[quantity]]</f>
        <v>0</v>
      </c>
    </row>
    <row r="73" spans="1:6" x14ac:dyDescent="0.3">
      <c r="A73">
        <v>72</v>
      </c>
      <c r="B73" t="s">
        <v>1047</v>
      </c>
      <c r="C73" t="s">
        <v>2246</v>
      </c>
      <c r="D73">
        <v>1</v>
      </c>
      <c r="E73">
        <v>82020</v>
      </c>
      <c r="F73">
        <f>messy_order_items_csv[[#This Row],[unit_price]]*messy_order_items_csv[[#This Row],[quantity]]</f>
        <v>82020</v>
      </c>
    </row>
    <row r="74" spans="1:6" x14ac:dyDescent="0.3">
      <c r="A74">
        <v>73</v>
      </c>
      <c r="B74" t="s">
        <v>1153</v>
      </c>
      <c r="C74" t="s">
        <v>2203</v>
      </c>
      <c r="D74">
        <v>3</v>
      </c>
      <c r="E74">
        <v>87048</v>
      </c>
      <c r="F74">
        <f>messy_order_items_csv[[#This Row],[unit_price]]*messy_order_items_csv[[#This Row],[quantity]]</f>
        <v>261144</v>
      </c>
    </row>
    <row r="75" spans="1:6" x14ac:dyDescent="0.3">
      <c r="A75">
        <v>74</v>
      </c>
      <c r="B75" t="s">
        <v>1492</v>
      </c>
      <c r="C75" t="s">
        <v>2247</v>
      </c>
      <c r="D75">
        <v>3</v>
      </c>
      <c r="E75">
        <v>31497</v>
      </c>
      <c r="F75">
        <f>messy_order_items_csv[[#This Row],[unit_price]]*messy_order_items_csv[[#This Row],[quantity]]</f>
        <v>94491</v>
      </c>
    </row>
    <row r="76" spans="1:6" x14ac:dyDescent="0.3">
      <c r="A76">
        <v>75</v>
      </c>
      <c r="B76" t="s">
        <v>2189</v>
      </c>
      <c r="C76" t="s">
        <v>2209</v>
      </c>
      <c r="D76">
        <v>2</v>
      </c>
      <c r="E76">
        <v>13294</v>
      </c>
      <c r="F76">
        <f>messy_order_items_csv[[#This Row],[unit_price]]*messy_order_items_csv[[#This Row],[quantity]]</f>
        <v>26588</v>
      </c>
    </row>
    <row r="77" spans="1:6" x14ac:dyDescent="0.3">
      <c r="A77">
        <v>76</v>
      </c>
      <c r="B77" t="s">
        <v>2128</v>
      </c>
      <c r="C77" t="s">
        <v>2216</v>
      </c>
      <c r="D77">
        <v>2</v>
      </c>
      <c r="E77">
        <v>31497</v>
      </c>
      <c r="F77">
        <f>messy_order_items_csv[[#This Row],[unit_price]]*messy_order_items_csv[[#This Row],[quantity]]</f>
        <v>62994</v>
      </c>
    </row>
    <row r="78" spans="1:6" x14ac:dyDescent="0.3">
      <c r="A78">
        <v>77</v>
      </c>
      <c r="B78" t="s">
        <v>1323</v>
      </c>
      <c r="C78" t="s">
        <v>2224</v>
      </c>
      <c r="D78">
        <v>0</v>
      </c>
      <c r="E78">
        <v>26913</v>
      </c>
      <c r="F78">
        <f>messy_order_items_csv[[#This Row],[unit_price]]*messy_order_items_csv[[#This Row],[quantity]]</f>
        <v>0</v>
      </c>
    </row>
    <row r="79" spans="1:6" x14ac:dyDescent="0.3">
      <c r="A79">
        <v>78</v>
      </c>
      <c r="B79" t="s">
        <v>2143</v>
      </c>
      <c r="C79" t="s">
        <v>2216</v>
      </c>
      <c r="D79">
        <v>4</v>
      </c>
      <c r="E79">
        <v>31497</v>
      </c>
      <c r="F79">
        <f>messy_order_items_csv[[#This Row],[unit_price]]*messy_order_items_csv[[#This Row],[quantity]]</f>
        <v>125988</v>
      </c>
    </row>
    <row r="80" spans="1:6" x14ac:dyDescent="0.3">
      <c r="A80">
        <v>79</v>
      </c>
      <c r="B80" t="s">
        <v>1492</v>
      </c>
      <c r="C80" t="s">
        <v>2200</v>
      </c>
      <c r="D80">
        <v>0</v>
      </c>
      <c r="E80">
        <v>31497</v>
      </c>
      <c r="F80">
        <f>messy_order_items_csv[[#This Row],[unit_price]]*messy_order_items_csv[[#This Row],[quantity]]</f>
        <v>0</v>
      </c>
    </row>
    <row r="81" spans="1:6" x14ac:dyDescent="0.3">
      <c r="A81">
        <v>80</v>
      </c>
      <c r="B81" t="s">
        <v>1817</v>
      </c>
      <c r="C81" t="s">
        <v>2229</v>
      </c>
      <c r="D81">
        <v>0</v>
      </c>
      <c r="E81">
        <v>47676</v>
      </c>
      <c r="F81">
        <f>messy_order_items_csv[[#This Row],[unit_price]]*messy_order_items_csv[[#This Row],[quantity]]</f>
        <v>0</v>
      </c>
    </row>
    <row r="82" spans="1:6" x14ac:dyDescent="0.3">
      <c r="A82">
        <v>81</v>
      </c>
      <c r="B82" t="s">
        <v>1151</v>
      </c>
      <c r="C82" t="s">
        <v>2237</v>
      </c>
      <c r="D82">
        <v>2</v>
      </c>
      <c r="E82">
        <v>43040</v>
      </c>
      <c r="F82">
        <f>messy_order_items_csv[[#This Row],[unit_price]]*messy_order_items_csv[[#This Row],[quantity]]</f>
        <v>86080</v>
      </c>
    </row>
    <row r="83" spans="1:6" x14ac:dyDescent="0.3">
      <c r="A83">
        <v>82</v>
      </c>
      <c r="B83" t="s">
        <v>1605</v>
      </c>
      <c r="C83" t="s">
        <v>2225</v>
      </c>
      <c r="D83">
        <v>1</v>
      </c>
      <c r="E83">
        <v>66145</v>
      </c>
      <c r="F83">
        <f>messy_order_items_csv[[#This Row],[unit_price]]*messy_order_items_csv[[#This Row],[quantity]]</f>
        <v>66145</v>
      </c>
    </row>
    <row r="84" spans="1:6" x14ac:dyDescent="0.3">
      <c r="A84">
        <v>83</v>
      </c>
      <c r="B84" t="s">
        <v>1000</v>
      </c>
      <c r="C84" t="s">
        <v>2248</v>
      </c>
      <c r="E84">
        <v>31497</v>
      </c>
      <c r="F84">
        <f>messy_order_items_csv[[#This Row],[unit_price]]*messy_order_items_csv[[#This Row],[quantity]]</f>
        <v>0</v>
      </c>
    </row>
    <row r="85" spans="1:6" x14ac:dyDescent="0.3">
      <c r="A85">
        <v>84</v>
      </c>
      <c r="B85" t="s">
        <v>1669</v>
      </c>
      <c r="C85" t="s">
        <v>2207</v>
      </c>
      <c r="D85">
        <v>2</v>
      </c>
      <c r="E85">
        <v>25409</v>
      </c>
      <c r="F85">
        <f>messy_order_items_csv[[#This Row],[unit_price]]*messy_order_items_csv[[#This Row],[quantity]]</f>
        <v>50818</v>
      </c>
    </row>
    <row r="86" spans="1:6" x14ac:dyDescent="0.3">
      <c r="A86">
        <v>85</v>
      </c>
      <c r="B86" t="s">
        <v>1693</v>
      </c>
      <c r="C86" t="s">
        <v>2207</v>
      </c>
      <c r="E86">
        <v>31497</v>
      </c>
      <c r="F86">
        <f>messy_order_items_csv[[#This Row],[unit_price]]*messy_order_items_csv[[#This Row],[quantity]]</f>
        <v>0</v>
      </c>
    </row>
    <row r="87" spans="1:6" x14ac:dyDescent="0.3">
      <c r="A87">
        <v>86</v>
      </c>
      <c r="B87" t="s">
        <v>1722</v>
      </c>
      <c r="C87" t="s">
        <v>2223</v>
      </c>
      <c r="E87">
        <v>42154</v>
      </c>
      <c r="F87">
        <f>messy_order_items_csv[[#This Row],[unit_price]]*messy_order_items_csv[[#This Row],[quantity]]</f>
        <v>0</v>
      </c>
    </row>
    <row r="88" spans="1:6" x14ac:dyDescent="0.3">
      <c r="A88">
        <v>87</v>
      </c>
      <c r="B88" t="s">
        <v>1877</v>
      </c>
      <c r="C88" t="s">
        <v>2218</v>
      </c>
      <c r="E88">
        <v>18565</v>
      </c>
      <c r="F88">
        <f>messy_order_items_csv[[#This Row],[unit_price]]*messy_order_items_csv[[#This Row],[quantity]]</f>
        <v>0</v>
      </c>
    </row>
    <row r="89" spans="1:6" x14ac:dyDescent="0.3">
      <c r="A89">
        <v>88</v>
      </c>
      <c r="B89" t="s">
        <v>2025</v>
      </c>
      <c r="C89" t="s">
        <v>2249</v>
      </c>
      <c r="D89">
        <v>1</v>
      </c>
      <c r="E89">
        <v>18662</v>
      </c>
      <c r="F89">
        <f>messy_order_items_csv[[#This Row],[unit_price]]*messy_order_items_csv[[#This Row],[quantity]]</f>
        <v>18662</v>
      </c>
    </row>
    <row r="90" spans="1:6" x14ac:dyDescent="0.3">
      <c r="A90">
        <v>89</v>
      </c>
      <c r="B90" t="s">
        <v>1344</v>
      </c>
      <c r="C90" t="s">
        <v>2208</v>
      </c>
      <c r="D90">
        <v>3</v>
      </c>
      <c r="E90">
        <v>31497</v>
      </c>
      <c r="F90">
        <f>messy_order_items_csv[[#This Row],[unit_price]]*messy_order_items_csv[[#This Row],[quantity]]</f>
        <v>94491</v>
      </c>
    </row>
    <row r="91" spans="1:6" x14ac:dyDescent="0.3">
      <c r="A91">
        <v>90</v>
      </c>
      <c r="B91" t="s">
        <v>2106</v>
      </c>
      <c r="C91" t="s">
        <v>2201</v>
      </c>
      <c r="E91">
        <v>31497</v>
      </c>
      <c r="F91">
        <f>messy_order_items_csv[[#This Row],[unit_price]]*messy_order_items_csv[[#This Row],[quantity]]</f>
        <v>0</v>
      </c>
    </row>
    <row r="92" spans="1:6" x14ac:dyDescent="0.3">
      <c r="A92">
        <v>91</v>
      </c>
      <c r="B92" t="s">
        <v>1196</v>
      </c>
      <c r="C92" t="s">
        <v>2204</v>
      </c>
      <c r="D92">
        <v>4</v>
      </c>
      <c r="E92">
        <v>31497</v>
      </c>
      <c r="F92">
        <f>messy_order_items_csv[[#This Row],[unit_price]]*messy_order_items_csv[[#This Row],[quantity]]</f>
        <v>125988</v>
      </c>
    </row>
    <row r="93" spans="1:6" x14ac:dyDescent="0.3">
      <c r="A93">
        <v>92</v>
      </c>
      <c r="B93" t="s">
        <v>1272</v>
      </c>
      <c r="C93" t="s">
        <v>2216</v>
      </c>
      <c r="D93">
        <v>4</v>
      </c>
      <c r="E93">
        <v>31497</v>
      </c>
      <c r="F93">
        <f>messy_order_items_csv[[#This Row],[unit_price]]*messy_order_items_csv[[#This Row],[quantity]]</f>
        <v>125988</v>
      </c>
    </row>
    <row r="94" spans="1:6" x14ac:dyDescent="0.3">
      <c r="A94">
        <v>93</v>
      </c>
      <c r="B94" t="s">
        <v>2164</v>
      </c>
      <c r="C94" t="s">
        <v>2250</v>
      </c>
      <c r="D94">
        <v>0</v>
      </c>
      <c r="E94">
        <v>31497</v>
      </c>
      <c r="F94">
        <f>messy_order_items_csv[[#This Row],[unit_price]]*messy_order_items_csv[[#This Row],[quantity]]</f>
        <v>0</v>
      </c>
    </row>
    <row r="95" spans="1:6" x14ac:dyDescent="0.3">
      <c r="A95">
        <v>94</v>
      </c>
      <c r="B95" t="s">
        <v>1853</v>
      </c>
      <c r="C95" t="s">
        <v>2249</v>
      </c>
      <c r="E95">
        <v>31497</v>
      </c>
      <c r="F95">
        <f>messy_order_items_csv[[#This Row],[unit_price]]*messy_order_items_csv[[#This Row],[quantity]]</f>
        <v>0</v>
      </c>
    </row>
    <row r="96" spans="1:6" x14ac:dyDescent="0.3">
      <c r="A96">
        <v>95</v>
      </c>
      <c r="B96" t="s">
        <v>1948</v>
      </c>
      <c r="C96" t="s">
        <v>2238</v>
      </c>
      <c r="D96">
        <v>1</v>
      </c>
      <c r="E96">
        <v>77306</v>
      </c>
      <c r="F96">
        <f>messy_order_items_csv[[#This Row],[unit_price]]*messy_order_items_csv[[#This Row],[quantity]]</f>
        <v>77306</v>
      </c>
    </row>
    <row r="97" spans="1:6" x14ac:dyDescent="0.3">
      <c r="A97">
        <v>96</v>
      </c>
      <c r="B97" t="s">
        <v>1910</v>
      </c>
      <c r="C97" t="s">
        <v>2251</v>
      </c>
      <c r="E97">
        <v>31116</v>
      </c>
      <c r="F97">
        <f>messy_order_items_csv[[#This Row],[unit_price]]*messy_order_items_csv[[#This Row],[quantity]]</f>
        <v>0</v>
      </c>
    </row>
    <row r="98" spans="1:6" x14ac:dyDescent="0.3">
      <c r="A98">
        <v>97</v>
      </c>
      <c r="B98" t="s">
        <v>1967</v>
      </c>
      <c r="C98" t="s">
        <v>2241</v>
      </c>
      <c r="D98">
        <v>0</v>
      </c>
      <c r="E98">
        <v>27157</v>
      </c>
      <c r="F98">
        <f>messy_order_items_csv[[#This Row],[unit_price]]*messy_order_items_csv[[#This Row],[quantity]]</f>
        <v>0</v>
      </c>
    </row>
    <row r="99" spans="1:6" x14ac:dyDescent="0.3">
      <c r="A99">
        <v>98</v>
      </c>
      <c r="B99" t="s">
        <v>1252</v>
      </c>
      <c r="C99" t="s">
        <v>2252</v>
      </c>
      <c r="D99">
        <v>2</v>
      </c>
      <c r="E99">
        <v>42160</v>
      </c>
      <c r="F99">
        <f>messy_order_items_csv[[#This Row],[unit_price]]*messy_order_items_csv[[#This Row],[quantity]]</f>
        <v>84320</v>
      </c>
    </row>
    <row r="100" spans="1:6" x14ac:dyDescent="0.3">
      <c r="A100">
        <v>99</v>
      </c>
      <c r="B100" t="s">
        <v>1134</v>
      </c>
      <c r="C100" t="s">
        <v>2245</v>
      </c>
      <c r="D100">
        <v>1</v>
      </c>
      <c r="E100">
        <v>18261</v>
      </c>
      <c r="F100">
        <f>messy_order_items_csv[[#This Row],[unit_price]]*messy_order_items_csv[[#This Row],[quantity]]</f>
        <v>18261</v>
      </c>
    </row>
    <row r="101" spans="1:6" x14ac:dyDescent="0.3">
      <c r="A101">
        <v>100</v>
      </c>
      <c r="B101" t="s">
        <v>1599</v>
      </c>
      <c r="C101" t="s">
        <v>2229</v>
      </c>
      <c r="D101">
        <v>1</v>
      </c>
      <c r="E101">
        <v>47676</v>
      </c>
      <c r="F101">
        <f>messy_order_items_csv[[#This Row],[unit_price]]*messy_order_items_csv[[#This Row],[quantity]]</f>
        <v>47676</v>
      </c>
    </row>
    <row r="102" spans="1:6" x14ac:dyDescent="0.3">
      <c r="A102">
        <v>101</v>
      </c>
      <c r="B102" t="s">
        <v>2091</v>
      </c>
      <c r="C102" t="s">
        <v>2211</v>
      </c>
      <c r="D102">
        <v>0</v>
      </c>
      <c r="E102">
        <v>82478</v>
      </c>
      <c r="F102">
        <f>messy_order_items_csv[[#This Row],[unit_price]]*messy_order_items_csv[[#This Row],[quantity]]</f>
        <v>0</v>
      </c>
    </row>
    <row r="103" spans="1:6" x14ac:dyDescent="0.3">
      <c r="A103">
        <v>102</v>
      </c>
      <c r="B103" t="s">
        <v>1992</v>
      </c>
      <c r="C103" t="s">
        <v>2224</v>
      </c>
      <c r="D103">
        <v>0</v>
      </c>
      <c r="E103">
        <v>39349</v>
      </c>
      <c r="F103">
        <f>messy_order_items_csv[[#This Row],[unit_price]]*messy_order_items_csv[[#This Row],[quantity]]</f>
        <v>0</v>
      </c>
    </row>
    <row r="104" spans="1:6" x14ac:dyDescent="0.3">
      <c r="A104">
        <v>103</v>
      </c>
      <c r="B104" t="s">
        <v>1861</v>
      </c>
      <c r="C104" t="s">
        <v>2253</v>
      </c>
      <c r="D104">
        <v>0</v>
      </c>
      <c r="E104">
        <v>69520</v>
      </c>
      <c r="F104">
        <f>messy_order_items_csv[[#This Row],[unit_price]]*messy_order_items_csv[[#This Row],[quantity]]</f>
        <v>0</v>
      </c>
    </row>
    <row r="105" spans="1:6" x14ac:dyDescent="0.3">
      <c r="A105">
        <v>104</v>
      </c>
      <c r="B105" t="s">
        <v>1038</v>
      </c>
      <c r="C105" t="s">
        <v>2254</v>
      </c>
      <c r="E105">
        <v>27615</v>
      </c>
      <c r="F105">
        <f>messy_order_items_csv[[#This Row],[unit_price]]*messy_order_items_csv[[#This Row],[quantity]]</f>
        <v>0</v>
      </c>
    </row>
    <row r="106" spans="1:6" x14ac:dyDescent="0.3">
      <c r="A106">
        <v>105</v>
      </c>
      <c r="B106" t="s">
        <v>1943</v>
      </c>
      <c r="C106" t="s">
        <v>2250</v>
      </c>
      <c r="D106">
        <v>0</v>
      </c>
      <c r="E106">
        <v>31497</v>
      </c>
      <c r="F106">
        <f>messy_order_items_csv[[#This Row],[unit_price]]*messy_order_items_csv[[#This Row],[quantity]]</f>
        <v>0</v>
      </c>
    </row>
    <row r="107" spans="1:6" x14ac:dyDescent="0.3">
      <c r="A107">
        <v>106</v>
      </c>
      <c r="B107" t="s">
        <v>1179</v>
      </c>
      <c r="C107" t="s">
        <v>2208</v>
      </c>
      <c r="D107">
        <v>1</v>
      </c>
      <c r="E107">
        <v>87671</v>
      </c>
      <c r="F107">
        <f>messy_order_items_csv[[#This Row],[unit_price]]*messy_order_items_csv[[#This Row],[quantity]]</f>
        <v>87671</v>
      </c>
    </row>
    <row r="108" spans="1:6" x14ac:dyDescent="0.3">
      <c r="A108">
        <v>107</v>
      </c>
      <c r="B108" t="s">
        <v>1802</v>
      </c>
      <c r="C108" t="s">
        <v>2249</v>
      </c>
      <c r="E108">
        <v>19809</v>
      </c>
      <c r="F108">
        <f>messy_order_items_csv[[#This Row],[unit_price]]*messy_order_items_csv[[#This Row],[quantity]]</f>
        <v>0</v>
      </c>
    </row>
    <row r="109" spans="1:6" x14ac:dyDescent="0.3">
      <c r="A109">
        <v>108</v>
      </c>
      <c r="B109" t="s">
        <v>1641</v>
      </c>
      <c r="C109" t="s">
        <v>2195</v>
      </c>
      <c r="E109">
        <v>61817</v>
      </c>
      <c r="F109">
        <f>messy_order_items_csv[[#This Row],[unit_price]]*messy_order_items_csv[[#This Row],[quantity]]</f>
        <v>0</v>
      </c>
    </row>
    <row r="110" spans="1:6" x14ac:dyDescent="0.3">
      <c r="A110">
        <v>109</v>
      </c>
      <c r="B110" t="s">
        <v>1324</v>
      </c>
      <c r="C110" t="s">
        <v>2242</v>
      </c>
      <c r="D110">
        <v>2</v>
      </c>
      <c r="E110">
        <v>29895</v>
      </c>
      <c r="F110">
        <f>messy_order_items_csv[[#This Row],[unit_price]]*messy_order_items_csv[[#This Row],[quantity]]</f>
        <v>59790</v>
      </c>
    </row>
    <row r="111" spans="1:6" x14ac:dyDescent="0.3">
      <c r="A111">
        <v>110</v>
      </c>
      <c r="B111" t="s">
        <v>1687</v>
      </c>
      <c r="C111" t="s">
        <v>2238</v>
      </c>
      <c r="D111">
        <v>0</v>
      </c>
      <c r="E111">
        <v>77306</v>
      </c>
      <c r="F111">
        <f>messy_order_items_csv[[#This Row],[unit_price]]*messy_order_items_csv[[#This Row],[quantity]]</f>
        <v>0</v>
      </c>
    </row>
    <row r="112" spans="1:6" x14ac:dyDescent="0.3">
      <c r="A112">
        <v>111</v>
      </c>
      <c r="B112" t="s">
        <v>2080</v>
      </c>
      <c r="C112" t="s">
        <v>2247</v>
      </c>
      <c r="D112">
        <v>0</v>
      </c>
      <c r="E112">
        <v>41057</v>
      </c>
      <c r="F112">
        <f>messy_order_items_csv[[#This Row],[unit_price]]*messy_order_items_csv[[#This Row],[quantity]]</f>
        <v>0</v>
      </c>
    </row>
    <row r="113" spans="1:6" x14ac:dyDescent="0.3">
      <c r="A113">
        <v>112</v>
      </c>
      <c r="B113" t="s">
        <v>2025</v>
      </c>
      <c r="C113" t="s">
        <v>2205</v>
      </c>
      <c r="D113">
        <v>2</v>
      </c>
      <c r="E113">
        <v>31497</v>
      </c>
      <c r="F113">
        <f>messy_order_items_csv[[#This Row],[unit_price]]*messy_order_items_csv[[#This Row],[quantity]]</f>
        <v>62994</v>
      </c>
    </row>
    <row r="114" spans="1:6" x14ac:dyDescent="0.3">
      <c r="A114">
        <v>113</v>
      </c>
      <c r="B114" t="s">
        <v>2025</v>
      </c>
      <c r="C114" t="s">
        <v>2254</v>
      </c>
      <c r="D114">
        <v>3</v>
      </c>
      <c r="E114">
        <v>61489</v>
      </c>
      <c r="F114">
        <f>messy_order_items_csv[[#This Row],[unit_price]]*messy_order_items_csv[[#This Row],[quantity]]</f>
        <v>184467</v>
      </c>
    </row>
    <row r="115" spans="1:6" x14ac:dyDescent="0.3">
      <c r="A115">
        <v>114</v>
      </c>
      <c r="B115" t="s">
        <v>1937</v>
      </c>
      <c r="C115" t="s">
        <v>2212</v>
      </c>
      <c r="D115">
        <v>4</v>
      </c>
      <c r="E115">
        <v>4482</v>
      </c>
      <c r="F115">
        <f>messy_order_items_csv[[#This Row],[unit_price]]*messy_order_items_csv[[#This Row],[quantity]]</f>
        <v>17928</v>
      </c>
    </row>
    <row r="116" spans="1:6" x14ac:dyDescent="0.3">
      <c r="A116">
        <v>115</v>
      </c>
      <c r="B116" t="s">
        <v>1680</v>
      </c>
      <c r="C116" t="s">
        <v>2225</v>
      </c>
      <c r="D116">
        <v>2</v>
      </c>
      <c r="E116">
        <v>21964</v>
      </c>
      <c r="F116">
        <f>messy_order_items_csv[[#This Row],[unit_price]]*messy_order_items_csv[[#This Row],[quantity]]</f>
        <v>43928</v>
      </c>
    </row>
    <row r="117" spans="1:6" x14ac:dyDescent="0.3">
      <c r="A117">
        <v>116</v>
      </c>
      <c r="B117" t="s">
        <v>2002</v>
      </c>
      <c r="C117" t="s">
        <v>2255</v>
      </c>
      <c r="D117">
        <v>0</v>
      </c>
      <c r="E117">
        <v>87243</v>
      </c>
      <c r="F117">
        <f>messy_order_items_csv[[#This Row],[unit_price]]*messy_order_items_csv[[#This Row],[quantity]]</f>
        <v>0</v>
      </c>
    </row>
    <row r="118" spans="1:6" x14ac:dyDescent="0.3">
      <c r="A118">
        <v>117</v>
      </c>
      <c r="B118" t="s">
        <v>1498</v>
      </c>
      <c r="C118" t="s">
        <v>2224</v>
      </c>
      <c r="E118">
        <v>21196</v>
      </c>
      <c r="F118">
        <f>messy_order_items_csv[[#This Row],[unit_price]]*messy_order_items_csv[[#This Row],[quantity]]</f>
        <v>0</v>
      </c>
    </row>
    <row r="119" spans="1:6" x14ac:dyDescent="0.3">
      <c r="A119">
        <v>118</v>
      </c>
      <c r="B119" t="s">
        <v>2123</v>
      </c>
      <c r="C119" t="s">
        <v>2252</v>
      </c>
      <c r="D119">
        <v>4</v>
      </c>
      <c r="E119">
        <v>31497</v>
      </c>
      <c r="F119">
        <f>messy_order_items_csv[[#This Row],[unit_price]]*messy_order_items_csv[[#This Row],[quantity]]</f>
        <v>125988</v>
      </c>
    </row>
    <row r="120" spans="1:6" x14ac:dyDescent="0.3">
      <c r="A120">
        <v>119</v>
      </c>
      <c r="B120" t="s">
        <v>1990</v>
      </c>
      <c r="C120" t="s">
        <v>2248</v>
      </c>
      <c r="D120">
        <v>0</v>
      </c>
      <c r="E120">
        <v>33602</v>
      </c>
      <c r="F120">
        <f>messy_order_items_csv[[#This Row],[unit_price]]*messy_order_items_csv[[#This Row],[quantity]]</f>
        <v>0</v>
      </c>
    </row>
    <row r="121" spans="1:6" x14ac:dyDescent="0.3">
      <c r="A121">
        <v>120</v>
      </c>
      <c r="B121" t="s">
        <v>1096</v>
      </c>
      <c r="C121" t="s">
        <v>2256</v>
      </c>
      <c r="D121">
        <v>1</v>
      </c>
      <c r="E121">
        <v>35561</v>
      </c>
      <c r="F121">
        <f>messy_order_items_csv[[#This Row],[unit_price]]*messy_order_items_csv[[#This Row],[quantity]]</f>
        <v>35561</v>
      </c>
    </row>
    <row r="122" spans="1:6" x14ac:dyDescent="0.3">
      <c r="A122">
        <v>121</v>
      </c>
      <c r="B122" t="s">
        <v>1570</v>
      </c>
      <c r="C122" t="s">
        <v>2198</v>
      </c>
      <c r="D122">
        <v>0</v>
      </c>
      <c r="E122">
        <v>16884</v>
      </c>
      <c r="F122">
        <f>messy_order_items_csv[[#This Row],[unit_price]]*messy_order_items_csv[[#This Row],[quantity]]</f>
        <v>0</v>
      </c>
    </row>
    <row r="123" spans="1:6" x14ac:dyDescent="0.3">
      <c r="A123">
        <v>122</v>
      </c>
      <c r="B123" t="s">
        <v>1354</v>
      </c>
      <c r="C123" t="s">
        <v>2246</v>
      </c>
      <c r="D123">
        <v>4</v>
      </c>
      <c r="E123">
        <v>2571</v>
      </c>
      <c r="F123">
        <f>messy_order_items_csv[[#This Row],[unit_price]]*messy_order_items_csv[[#This Row],[quantity]]</f>
        <v>10284</v>
      </c>
    </row>
    <row r="124" spans="1:6" x14ac:dyDescent="0.3">
      <c r="A124">
        <v>123</v>
      </c>
      <c r="B124" t="s">
        <v>1064</v>
      </c>
      <c r="C124" t="s">
        <v>2257</v>
      </c>
      <c r="D124">
        <v>4</v>
      </c>
      <c r="E124">
        <v>1249</v>
      </c>
      <c r="F124">
        <f>messy_order_items_csv[[#This Row],[unit_price]]*messy_order_items_csv[[#This Row],[quantity]]</f>
        <v>4996</v>
      </c>
    </row>
    <row r="125" spans="1:6" x14ac:dyDescent="0.3">
      <c r="A125">
        <v>124</v>
      </c>
      <c r="B125" t="s">
        <v>1299</v>
      </c>
      <c r="C125" t="s">
        <v>2195</v>
      </c>
      <c r="D125">
        <v>2</v>
      </c>
      <c r="E125">
        <v>47453</v>
      </c>
      <c r="F125">
        <f>messy_order_items_csv[[#This Row],[unit_price]]*messy_order_items_csv[[#This Row],[quantity]]</f>
        <v>94906</v>
      </c>
    </row>
    <row r="126" spans="1:6" x14ac:dyDescent="0.3">
      <c r="A126">
        <v>125</v>
      </c>
      <c r="B126" t="s">
        <v>1495</v>
      </c>
      <c r="C126" t="s">
        <v>2195</v>
      </c>
      <c r="D126">
        <v>2</v>
      </c>
      <c r="E126">
        <v>47453</v>
      </c>
      <c r="F126">
        <f>messy_order_items_csv[[#This Row],[unit_price]]*messy_order_items_csv[[#This Row],[quantity]]</f>
        <v>94906</v>
      </c>
    </row>
    <row r="127" spans="1:6" x14ac:dyDescent="0.3">
      <c r="A127">
        <v>126</v>
      </c>
      <c r="B127" t="s">
        <v>1783</v>
      </c>
      <c r="C127" t="s">
        <v>2225</v>
      </c>
      <c r="D127">
        <v>4</v>
      </c>
      <c r="E127">
        <v>62219</v>
      </c>
      <c r="F127">
        <f>messy_order_items_csv[[#This Row],[unit_price]]*messy_order_items_csv[[#This Row],[quantity]]</f>
        <v>248876</v>
      </c>
    </row>
    <row r="128" spans="1:6" x14ac:dyDescent="0.3">
      <c r="A128">
        <v>127</v>
      </c>
      <c r="B128" t="s">
        <v>1453</v>
      </c>
      <c r="C128" t="s">
        <v>2225</v>
      </c>
      <c r="D128">
        <v>0</v>
      </c>
      <c r="E128">
        <v>31497</v>
      </c>
      <c r="F128">
        <f>messy_order_items_csv[[#This Row],[unit_price]]*messy_order_items_csv[[#This Row],[quantity]]</f>
        <v>0</v>
      </c>
    </row>
    <row r="129" spans="1:6" x14ac:dyDescent="0.3">
      <c r="A129">
        <v>128</v>
      </c>
      <c r="B129" t="s">
        <v>2046</v>
      </c>
      <c r="C129" t="s">
        <v>2258</v>
      </c>
      <c r="D129">
        <v>2</v>
      </c>
      <c r="E129">
        <v>51735</v>
      </c>
      <c r="F129">
        <f>messy_order_items_csv[[#This Row],[unit_price]]*messy_order_items_csv[[#This Row],[quantity]]</f>
        <v>103470</v>
      </c>
    </row>
    <row r="130" spans="1:6" x14ac:dyDescent="0.3">
      <c r="A130">
        <v>129</v>
      </c>
      <c r="B130" t="s">
        <v>1449</v>
      </c>
      <c r="C130" t="s">
        <v>2210</v>
      </c>
      <c r="D130">
        <v>2</v>
      </c>
      <c r="E130">
        <v>31497</v>
      </c>
      <c r="F130">
        <f>messy_order_items_csv[[#This Row],[unit_price]]*messy_order_items_csv[[#This Row],[quantity]]</f>
        <v>62994</v>
      </c>
    </row>
    <row r="131" spans="1:6" x14ac:dyDescent="0.3">
      <c r="A131">
        <v>130</v>
      </c>
      <c r="B131" t="s">
        <v>1601</v>
      </c>
      <c r="C131" t="s">
        <v>2207</v>
      </c>
      <c r="D131">
        <v>4</v>
      </c>
      <c r="E131">
        <v>51854</v>
      </c>
      <c r="F131">
        <f>messy_order_items_csv[[#This Row],[unit_price]]*messy_order_items_csv[[#This Row],[quantity]]</f>
        <v>207416</v>
      </c>
    </row>
    <row r="132" spans="1:6" x14ac:dyDescent="0.3">
      <c r="A132">
        <v>131</v>
      </c>
      <c r="B132" t="s">
        <v>1229</v>
      </c>
      <c r="C132" t="s">
        <v>2223</v>
      </c>
      <c r="D132">
        <v>1</v>
      </c>
      <c r="E132">
        <v>31497</v>
      </c>
      <c r="F132">
        <f>messy_order_items_csv[[#This Row],[unit_price]]*messy_order_items_csv[[#This Row],[quantity]]</f>
        <v>31497</v>
      </c>
    </row>
    <row r="133" spans="1:6" x14ac:dyDescent="0.3">
      <c r="A133">
        <v>132</v>
      </c>
      <c r="B133" t="s">
        <v>1858</v>
      </c>
      <c r="C133" t="s">
        <v>2224</v>
      </c>
      <c r="D133">
        <v>4</v>
      </c>
      <c r="E133">
        <v>31497</v>
      </c>
      <c r="F133">
        <f>messy_order_items_csv[[#This Row],[unit_price]]*messy_order_items_csv[[#This Row],[quantity]]</f>
        <v>125988</v>
      </c>
    </row>
    <row r="134" spans="1:6" x14ac:dyDescent="0.3">
      <c r="A134">
        <v>133</v>
      </c>
      <c r="B134" t="s">
        <v>1986</v>
      </c>
      <c r="C134" t="s">
        <v>2254</v>
      </c>
      <c r="D134">
        <v>0</v>
      </c>
      <c r="E134">
        <v>67021</v>
      </c>
      <c r="F134">
        <f>messy_order_items_csv[[#This Row],[unit_price]]*messy_order_items_csv[[#This Row],[quantity]]</f>
        <v>0</v>
      </c>
    </row>
    <row r="135" spans="1:6" x14ac:dyDescent="0.3">
      <c r="A135">
        <v>134</v>
      </c>
      <c r="B135" t="s">
        <v>2140</v>
      </c>
      <c r="C135" t="s">
        <v>2258</v>
      </c>
      <c r="D135">
        <v>1</v>
      </c>
      <c r="E135">
        <v>27114</v>
      </c>
      <c r="F135">
        <f>messy_order_items_csv[[#This Row],[unit_price]]*messy_order_items_csv[[#This Row],[quantity]]</f>
        <v>27114</v>
      </c>
    </row>
    <row r="136" spans="1:6" x14ac:dyDescent="0.3">
      <c r="A136">
        <v>135</v>
      </c>
      <c r="B136" t="s">
        <v>1046</v>
      </c>
      <c r="C136" t="s">
        <v>2215</v>
      </c>
      <c r="D136">
        <v>0</v>
      </c>
      <c r="E136">
        <v>31497</v>
      </c>
      <c r="F136">
        <f>messy_order_items_csv[[#This Row],[unit_price]]*messy_order_items_csv[[#This Row],[quantity]]</f>
        <v>0</v>
      </c>
    </row>
    <row r="137" spans="1:6" x14ac:dyDescent="0.3">
      <c r="A137">
        <v>136</v>
      </c>
      <c r="B137" t="s">
        <v>1679</v>
      </c>
      <c r="C137" t="s">
        <v>2213</v>
      </c>
      <c r="D137">
        <v>4</v>
      </c>
      <c r="E137">
        <v>29524</v>
      </c>
      <c r="F137">
        <f>messy_order_items_csv[[#This Row],[unit_price]]*messy_order_items_csv[[#This Row],[quantity]]</f>
        <v>118096</v>
      </c>
    </row>
    <row r="138" spans="1:6" x14ac:dyDescent="0.3">
      <c r="A138">
        <v>137</v>
      </c>
      <c r="B138" t="s">
        <v>1614</v>
      </c>
      <c r="C138" t="s">
        <v>2206</v>
      </c>
      <c r="D138">
        <v>0</v>
      </c>
      <c r="E138">
        <v>15249</v>
      </c>
      <c r="F138">
        <f>messy_order_items_csv[[#This Row],[unit_price]]*messy_order_items_csv[[#This Row],[quantity]]</f>
        <v>0</v>
      </c>
    </row>
    <row r="139" spans="1:6" x14ac:dyDescent="0.3">
      <c r="A139">
        <v>138</v>
      </c>
      <c r="B139" t="s">
        <v>1969</v>
      </c>
      <c r="C139" t="s">
        <v>2256</v>
      </c>
      <c r="D139">
        <v>2</v>
      </c>
      <c r="E139">
        <v>85963</v>
      </c>
      <c r="F139">
        <f>messy_order_items_csv[[#This Row],[unit_price]]*messy_order_items_csv[[#This Row],[quantity]]</f>
        <v>171926</v>
      </c>
    </row>
    <row r="140" spans="1:6" x14ac:dyDescent="0.3">
      <c r="A140">
        <v>139</v>
      </c>
      <c r="B140" t="s">
        <v>1297</v>
      </c>
      <c r="C140" t="s">
        <v>2229</v>
      </c>
      <c r="D140">
        <v>1</v>
      </c>
      <c r="E140">
        <v>47676</v>
      </c>
      <c r="F140">
        <f>messy_order_items_csv[[#This Row],[unit_price]]*messy_order_items_csv[[#This Row],[quantity]]</f>
        <v>47676</v>
      </c>
    </row>
    <row r="141" spans="1:6" x14ac:dyDescent="0.3">
      <c r="A141">
        <v>140</v>
      </c>
      <c r="B141" t="s">
        <v>1275</v>
      </c>
      <c r="C141" t="s">
        <v>2207</v>
      </c>
      <c r="D141">
        <v>2</v>
      </c>
      <c r="E141">
        <v>31497</v>
      </c>
      <c r="F141">
        <f>messy_order_items_csv[[#This Row],[unit_price]]*messy_order_items_csv[[#This Row],[quantity]]</f>
        <v>62994</v>
      </c>
    </row>
    <row r="142" spans="1:6" x14ac:dyDescent="0.3">
      <c r="A142">
        <v>141</v>
      </c>
      <c r="B142" t="s">
        <v>1118</v>
      </c>
      <c r="C142" t="s">
        <v>2195</v>
      </c>
      <c r="E142">
        <v>47453</v>
      </c>
      <c r="F142">
        <f>messy_order_items_csv[[#This Row],[unit_price]]*messy_order_items_csv[[#This Row],[quantity]]</f>
        <v>0</v>
      </c>
    </row>
    <row r="143" spans="1:6" x14ac:dyDescent="0.3">
      <c r="A143">
        <v>142</v>
      </c>
      <c r="B143" t="s">
        <v>1902</v>
      </c>
      <c r="C143" t="s">
        <v>2256</v>
      </c>
      <c r="D143">
        <v>1</v>
      </c>
      <c r="E143">
        <v>31497</v>
      </c>
      <c r="F143">
        <f>messy_order_items_csv[[#This Row],[unit_price]]*messy_order_items_csv[[#This Row],[quantity]]</f>
        <v>31497</v>
      </c>
    </row>
    <row r="144" spans="1:6" x14ac:dyDescent="0.3">
      <c r="A144">
        <v>143</v>
      </c>
      <c r="B144" t="s">
        <v>1342</v>
      </c>
      <c r="C144" t="s">
        <v>2231</v>
      </c>
      <c r="D144">
        <v>1</v>
      </c>
      <c r="E144">
        <v>34509</v>
      </c>
      <c r="F144">
        <f>messy_order_items_csv[[#This Row],[unit_price]]*messy_order_items_csv[[#This Row],[quantity]]</f>
        <v>34509</v>
      </c>
    </row>
    <row r="145" spans="1:6" x14ac:dyDescent="0.3">
      <c r="A145">
        <v>144</v>
      </c>
      <c r="B145" t="s">
        <v>1850</v>
      </c>
      <c r="C145" t="s">
        <v>2241</v>
      </c>
      <c r="D145">
        <v>3</v>
      </c>
      <c r="E145">
        <v>27157</v>
      </c>
      <c r="F145">
        <f>messy_order_items_csv[[#This Row],[unit_price]]*messy_order_items_csv[[#This Row],[quantity]]</f>
        <v>81471</v>
      </c>
    </row>
    <row r="146" spans="1:6" x14ac:dyDescent="0.3">
      <c r="A146">
        <v>145</v>
      </c>
      <c r="B146" t="s">
        <v>1904</v>
      </c>
      <c r="C146" t="s">
        <v>2195</v>
      </c>
      <c r="D146">
        <v>1</v>
      </c>
      <c r="E146">
        <v>40337</v>
      </c>
      <c r="F146">
        <f>messy_order_items_csv[[#This Row],[unit_price]]*messy_order_items_csv[[#This Row],[quantity]]</f>
        <v>40337</v>
      </c>
    </row>
    <row r="147" spans="1:6" x14ac:dyDescent="0.3">
      <c r="A147">
        <v>146</v>
      </c>
      <c r="B147" t="s">
        <v>1946</v>
      </c>
      <c r="C147" t="s">
        <v>2244</v>
      </c>
      <c r="D147">
        <v>3</v>
      </c>
      <c r="E147">
        <v>32804</v>
      </c>
      <c r="F147">
        <f>messy_order_items_csv[[#This Row],[unit_price]]*messy_order_items_csv[[#This Row],[quantity]]</f>
        <v>98412</v>
      </c>
    </row>
    <row r="148" spans="1:6" x14ac:dyDescent="0.3">
      <c r="A148">
        <v>147</v>
      </c>
      <c r="B148" t="s">
        <v>1512</v>
      </c>
      <c r="C148" t="s">
        <v>2203</v>
      </c>
      <c r="D148">
        <v>2</v>
      </c>
      <c r="E148">
        <v>76755</v>
      </c>
      <c r="F148">
        <f>messy_order_items_csv[[#This Row],[unit_price]]*messy_order_items_csv[[#This Row],[quantity]]</f>
        <v>153510</v>
      </c>
    </row>
    <row r="149" spans="1:6" x14ac:dyDescent="0.3">
      <c r="A149">
        <v>148</v>
      </c>
      <c r="B149" t="s">
        <v>1121</v>
      </c>
      <c r="C149" t="s">
        <v>2235</v>
      </c>
      <c r="D149">
        <v>0</v>
      </c>
      <c r="E149">
        <v>15174</v>
      </c>
      <c r="F149">
        <f>messy_order_items_csv[[#This Row],[unit_price]]*messy_order_items_csv[[#This Row],[quantity]]</f>
        <v>0</v>
      </c>
    </row>
    <row r="150" spans="1:6" x14ac:dyDescent="0.3">
      <c r="A150">
        <v>149</v>
      </c>
      <c r="B150" t="s">
        <v>1488</v>
      </c>
      <c r="C150" t="s">
        <v>2195</v>
      </c>
      <c r="D150">
        <v>4</v>
      </c>
      <c r="E150">
        <v>47453</v>
      </c>
      <c r="F150">
        <f>messy_order_items_csv[[#This Row],[unit_price]]*messy_order_items_csv[[#This Row],[quantity]]</f>
        <v>189812</v>
      </c>
    </row>
    <row r="151" spans="1:6" x14ac:dyDescent="0.3">
      <c r="A151">
        <v>150</v>
      </c>
      <c r="B151" t="s">
        <v>1275</v>
      </c>
      <c r="C151" t="s">
        <v>2231</v>
      </c>
      <c r="D151">
        <v>3</v>
      </c>
      <c r="E151">
        <v>5806</v>
      </c>
      <c r="F151">
        <f>messy_order_items_csv[[#This Row],[unit_price]]*messy_order_items_csv[[#This Row],[quantity]]</f>
        <v>17418</v>
      </c>
    </row>
    <row r="152" spans="1:6" x14ac:dyDescent="0.3">
      <c r="A152">
        <v>151</v>
      </c>
      <c r="B152" t="s">
        <v>2085</v>
      </c>
      <c r="C152" t="s">
        <v>2228</v>
      </c>
      <c r="D152">
        <v>4</v>
      </c>
      <c r="E152">
        <v>86377</v>
      </c>
      <c r="F152">
        <f>messy_order_items_csv[[#This Row],[unit_price]]*messy_order_items_csv[[#This Row],[quantity]]</f>
        <v>345508</v>
      </c>
    </row>
    <row r="153" spans="1:6" x14ac:dyDescent="0.3">
      <c r="A153">
        <v>152</v>
      </c>
      <c r="B153" t="s">
        <v>1269</v>
      </c>
      <c r="C153" t="s">
        <v>2244</v>
      </c>
      <c r="D153">
        <v>3</v>
      </c>
      <c r="E153">
        <v>31497</v>
      </c>
      <c r="F153">
        <f>messy_order_items_csv[[#This Row],[unit_price]]*messy_order_items_csv[[#This Row],[quantity]]</f>
        <v>94491</v>
      </c>
    </row>
    <row r="154" spans="1:6" x14ac:dyDescent="0.3">
      <c r="A154">
        <v>153</v>
      </c>
      <c r="B154" t="s">
        <v>1176</v>
      </c>
      <c r="C154" t="s">
        <v>2211</v>
      </c>
      <c r="E154">
        <v>58762</v>
      </c>
      <c r="F154">
        <f>messy_order_items_csv[[#This Row],[unit_price]]*messy_order_items_csv[[#This Row],[quantity]]</f>
        <v>0</v>
      </c>
    </row>
    <row r="155" spans="1:6" x14ac:dyDescent="0.3">
      <c r="A155">
        <v>154</v>
      </c>
      <c r="B155" t="s">
        <v>1927</v>
      </c>
      <c r="C155" t="s">
        <v>2259</v>
      </c>
      <c r="E155">
        <v>63388</v>
      </c>
      <c r="F155">
        <f>messy_order_items_csv[[#This Row],[unit_price]]*messy_order_items_csv[[#This Row],[quantity]]</f>
        <v>0</v>
      </c>
    </row>
    <row r="156" spans="1:6" x14ac:dyDescent="0.3">
      <c r="A156">
        <v>155</v>
      </c>
      <c r="B156" t="s">
        <v>1595</v>
      </c>
      <c r="C156" t="s">
        <v>2200</v>
      </c>
      <c r="D156">
        <v>4</v>
      </c>
      <c r="E156">
        <v>31497</v>
      </c>
      <c r="F156">
        <f>messy_order_items_csv[[#This Row],[unit_price]]*messy_order_items_csv[[#This Row],[quantity]]</f>
        <v>125988</v>
      </c>
    </row>
    <row r="157" spans="1:6" x14ac:dyDescent="0.3">
      <c r="A157">
        <v>156</v>
      </c>
      <c r="B157" t="s">
        <v>1611</v>
      </c>
      <c r="C157" t="s">
        <v>2223</v>
      </c>
      <c r="D157">
        <v>1</v>
      </c>
      <c r="E157">
        <v>31497</v>
      </c>
      <c r="F157">
        <f>messy_order_items_csv[[#This Row],[unit_price]]*messy_order_items_csv[[#This Row],[quantity]]</f>
        <v>31497</v>
      </c>
    </row>
    <row r="158" spans="1:6" x14ac:dyDescent="0.3">
      <c r="A158">
        <v>157</v>
      </c>
      <c r="B158" t="s">
        <v>1024</v>
      </c>
      <c r="C158" t="s">
        <v>2240</v>
      </c>
      <c r="E158">
        <v>31497</v>
      </c>
      <c r="F158">
        <f>messy_order_items_csv[[#This Row],[unit_price]]*messy_order_items_csv[[#This Row],[quantity]]</f>
        <v>0</v>
      </c>
    </row>
    <row r="159" spans="1:6" x14ac:dyDescent="0.3">
      <c r="A159">
        <v>158</v>
      </c>
      <c r="B159" t="s">
        <v>1098</v>
      </c>
      <c r="C159" t="s">
        <v>2260</v>
      </c>
      <c r="D159">
        <v>0</v>
      </c>
      <c r="E159">
        <v>49358</v>
      </c>
      <c r="F159">
        <f>messy_order_items_csv[[#This Row],[unit_price]]*messy_order_items_csv[[#This Row],[quantity]]</f>
        <v>0</v>
      </c>
    </row>
    <row r="160" spans="1:6" x14ac:dyDescent="0.3">
      <c r="A160">
        <v>159</v>
      </c>
      <c r="B160" t="s">
        <v>1717</v>
      </c>
      <c r="C160" t="s">
        <v>2239</v>
      </c>
      <c r="D160">
        <v>1</v>
      </c>
      <c r="E160">
        <v>34931</v>
      </c>
      <c r="F160">
        <f>messy_order_items_csv[[#This Row],[unit_price]]*messy_order_items_csv[[#This Row],[quantity]]</f>
        <v>34931</v>
      </c>
    </row>
    <row r="161" spans="1:6" x14ac:dyDescent="0.3">
      <c r="A161">
        <v>160</v>
      </c>
      <c r="B161" t="s">
        <v>1422</v>
      </c>
      <c r="C161" t="s">
        <v>2206</v>
      </c>
      <c r="D161">
        <v>2</v>
      </c>
      <c r="E161">
        <v>26248</v>
      </c>
      <c r="F161">
        <f>messy_order_items_csv[[#This Row],[unit_price]]*messy_order_items_csv[[#This Row],[quantity]]</f>
        <v>52496</v>
      </c>
    </row>
    <row r="162" spans="1:6" x14ac:dyDescent="0.3">
      <c r="A162">
        <v>161</v>
      </c>
      <c r="B162" t="s">
        <v>1632</v>
      </c>
      <c r="C162" t="s">
        <v>2230</v>
      </c>
      <c r="D162">
        <v>3</v>
      </c>
      <c r="E162">
        <v>31497</v>
      </c>
      <c r="F162">
        <f>messy_order_items_csv[[#This Row],[unit_price]]*messy_order_items_csv[[#This Row],[quantity]]</f>
        <v>94491</v>
      </c>
    </row>
    <row r="163" spans="1:6" x14ac:dyDescent="0.3">
      <c r="A163">
        <v>162</v>
      </c>
      <c r="B163" t="s">
        <v>1801</v>
      </c>
      <c r="C163" t="s">
        <v>2261</v>
      </c>
      <c r="D163">
        <v>0</v>
      </c>
      <c r="E163">
        <v>31497</v>
      </c>
      <c r="F163">
        <f>messy_order_items_csv[[#This Row],[unit_price]]*messy_order_items_csv[[#This Row],[quantity]]</f>
        <v>0</v>
      </c>
    </row>
    <row r="164" spans="1:6" x14ac:dyDescent="0.3">
      <c r="A164">
        <v>163</v>
      </c>
      <c r="B164" t="s">
        <v>1359</v>
      </c>
      <c r="C164" t="s">
        <v>2223</v>
      </c>
      <c r="D164">
        <v>3</v>
      </c>
      <c r="E164">
        <v>3870</v>
      </c>
      <c r="F164">
        <f>messy_order_items_csv[[#This Row],[unit_price]]*messy_order_items_csv[[#This Row],[quantity]]</f>
        <v>11610</v>
      </c>
    </row>
    <row r="165" spans="1:6" x14ac:dyDescent="0.3">
      <c r="A165">
        <v>164</v>
      </c>
      <c r="B165" t="s">
        <v>1285</v>
      </c>
      <c r="C165" t="s">
        <v>2254</v>
      </c>
      <c r="D165">
        <v>0</v>
      </c>
      <c r="E165">
        <v>27615</v>
      </c>
      <c r="F165">
        <f>messy_order_items_csv[[#This Row],[unit_price]]*messy_order_items_csv[[#This Row],[quantity]]</f>
        <v>0</v>
      </c>
    </row>
    <row r="166" spans="1:6" x14ac:dyDescent="0.3">
      <c r="A166">
        <v>165</v>
      </c>
      <c r="B166" t="s">
        <v>1277</v>
      </c>
      <c r="C166" t="s">
        <v>2209</v>
      </c>
      <c r="D166">
        <v>1</v>
      </c>
      <c r="E166">
        <v>13294</v>
      </c>
      <c r="F166">
        <f>messy_order_items_csv[[#This Row],[unit_price]]*messy_order_items_csv[[#This Row],[quantity]]</f>
        <v>13294</v>
      </c>
    </row>
    <row r="167" spans="1:6" x14ac:dyDescent="0.3">
      <c r="A167">
        <v>166</v>
      </c>
      <c r="B167" t="s">
        <v>2190</v>
      </c>
      <c r="C167" t="s">
        <v>2204</v>
      </c>
      <c r="D167">
        <v>1</v>
      </c>
      <c r="E167">
        <v>31497</v>
      </c>
      <c r="F167">
        <f>messy_order_items_csv[[#This Row],[unit_price]]*messy_order_items_csv[[#This Row],[quantity]]</f>
        <v>31497</v>
      </c>
    </row>
    <row r="168" spans="1:6" x14ac:dyDescent="0.3">
      <c r="A168">
        <v>167</v>
      </c>
      <c r="B168" t="s">
        <v>1036</v>
      </c>
      <c r="C168" t="s">
        <v>2232</v>
      </c>
      <c r="D168">
        <v>3</v>
      </c>
      <c r="E168">
        <v>31497</v>
      </c>
      <c r="F168">
        <f>messy_order_items_csv[[#This Row],[unit_price]]*messy_order_items_csv[[#This Row],[quantity]]</f>
        <v>94491</v>
      </c>
    </row>
    <row r="169" spans="1:6" x14ac:dyDescent="0.3">
      <c r="A169">
        <v>168</v>
      </c>
      <c r="B169" t="s">
        <v>2038</v>
      </c>
      <c r="C169" t="s">
        <v>2203</v>
      </c>
      <c r="D169">
        <v>1</v>
      </c>
      <c r="E169">
        <v>76755</v>
      </c>
      <c r="F169">
        <f>messy_order_items_csv[[#This Row],[unit_price]]*messy_order_items_csv[[#This Row],[quantity]]</f>
        <v>76755</v>
      </c>
    </row>
    <row r="170" spans="1:6" x14ac:dyDescent="0.3">
      <c r="A170">
        <v>169</v>
      </c>
      <c r="B170" t="s">
        <v>1220</v>
      </c>
      <c r="C170" t="s">
        <v>2253</v>
      </c>
      <c r="D170">
        <v>1</v>
      </c>
      <c r="E170">
        <v>69520</v>
      </c>
      <c r="F170">
        <f>messy_order_items_csv[[#This Row],[unit_price]]*messy_order_items_csv[[#This Row],[quantity]]</f>
        <v>69520</v>
      </c>
    </row>
    <row r="171" spans="1:6" x14ac:dyDescent="0.3">
      <c r="A171">
        <v>170</v>
      </c>
      <c r="B171" t="s">
        <v>1478</v>
      </c>
      <c r="C171" t="s">
        <v>2249</v>
      </c>
      <c r="D171">
        <v>4</v>
      </c>
      <c r="E171">
        <v>84451</v>
      </c>
      <c r="F171">
        <f>messy_order_items_csv[[#This Row],[unit_price]]*messy_order_items_csv[[#This Row],[quantity]]</f>
        <v>337804</v>
      </c>
    </row>
    <row r="172" spans="1:6" x14ac:dyDescent="0.3">
      <c r="A172">
        <v>171</v>
      </c>
      <c r="B172" t="s">
        <v>1304</v>
      </c>
      <c r="C172" t="s">
        <v>2233</v>
      </c>
      <c r="D172">
        <v>1</v>
      </c>
      <c r="E172">
        <v>69521</v>
      </c>
      <c r="F172">
        <f>messy_order_items_csv[[#This Row],[unit_price]]*messy_order_items_csv[[#This Row],[quantity]]</f>
        <v>69521</v>
      </c>
    </row>
    <row r="173" spans="1:6" x14ac:dyDescent="0.3">
      <c r="A173">
        <v>172</v>
      </c>
      <c r="B173" t="s">
        <v>1380</v>
      </c>
      <c r="C173" t="s">
        <v>2253</v>
      </c>
      <c r="D173">
        <v>4</v>
      </c>
      <c r="E173">
        <v>59186</v>
      </c>
      <c r="F173">
        <f>messy_order_items_csv[[#This Row],[unit_price]]*messy_order_items_csv[[#This Row],[quantity]]</f>
        <v>236744</v>
      </c>
    </row>
    <row r="174" spans="1:6" x14ac:dyDescent="0.3">
      <c r="A174">
        <v>173</v>
      </c>
      <c r="B174" t="s">
        <v>1639</v>
      </c>
      <c r="C174" t="s">
        <v>2220</v>
      </c>
      <c r="D174">
        <v>4</v>
      </c>
      <c r="E174">
        <v>30891</v>
      </c>
      <c r="F174">
        <f>messy_order_items_csv[[#This Row],[unit_price]]*messy_order_items_csv[[#This Row],[quantity]]</f>
        <v>123564</v>
      </c>
    </row>
    <row r="175" spans="1:6" x14ac:dyDescent="0.3">
      <c r="A175">
        <v>174</v>
      </c>
      <c r="B175" t="s">
        <v>1346</v>
      </c>
      <c r="C175" t="s">
        <v>2248</v>
      </c>
      <c r="D175">
        <v>3</v>
      </c>
      <c r="E175">
        <v>63944</v>
      </c>
      <c r="F175">
        <f>messy_order_items_csv[[#This Row],[unit_price]]*messy_order_items_csv[[#This Row],[quantity]]</f>
        <v>191832</v>
      </c>
    </row>
    <row r="176" spans="1:6" x14ac:dyDescent="0.3">
      <c r="A176">
        <v>175</v>
      </c>
      <c r="B176" t="s">
        <v>1989</v>
      </c>
      <c r="C176" t="s">
        <v>2262</v>
      </c>
      <c r="E176">
        <v>73898</v>
      </c>
      <c r="F176">
        <f>messy_order_items_csv[[#This Row],[unit_price]]*messy_order_items_csv[[#This Row],[quantity]]</f>
        <v>0</v>
      </c>
    </row>
    <row r="177" spans="1:6" x14ac:dyDescent="0.3">
      <c r="A177">
        <v>176</v>
      </c>
      <c r="B177" t="s">
        <v>1616</v>
      </c>
      <c r="C177" t="s">
        <v>2203</v>
      </c>
      <c r="E177">
        <v>6530</v>
      </c>
      <c r="F177">
        <f>messy_order_items_csv[[#This Row],[unit_price]]*messy_order_items_csv[[#This Row],[quantity]]</f>
        <v>0</v>
      </c>
    </row>
    <row r="178" spans="1:6" x14ac:dyDescent="0.3">
      <c r="A178">
        <v>177</v>
      </c>
      <c r="B178" t="s">
        <v>1371</v>
      </c>
      <c r="C178" t="s">
        <v>2263</v>
      </c>
      <c r="D178">
        <v>2</v>
      </c>
      <c r="E178">
        <v>21109</v>
      </c>
      <c r="F178">
        <f>messy_order_items_csv[[#This Row],[unit_price]]*messy_order_items_csv[[#This Row],[quantity]]</f>
        <v>42218</v>
      </c>
    </row>
    <row r="179" spans="1:6" x14ac:dyDescent="0.3">
      <c r="A179">
        <v>178</v>
      </c>
      <c r="B179" t="s">
        <v>2070</v>
      </c>
      <c r="C179" t="s">
        <v>2228</v>
      </c>
      <c r="E179">
        <v>37198</v>
      </c>
      <c r="F179">
        <f>messy_order_items_csv[[#This Row],[unit_price]]*messy_order_items_csv[[#This Row],[quantity]]</f>
        <v>0</v>
      </c>
    </row>
    <row r="180" spans="1:6" x14ac:dyDescent="0.3">
      <c r="A180">
        <v>179</v>
      </c>
      <c r="B180" t="s">
        <v>1385</v>
      </c>
      <c r="C180" t="s">
        <v>2223</v>
      </c>
      <c r="E180">
        <v>31497</v>
      </c>
      <c r="F180">
        <f>messy_order_items_csv[[#This Row],[unit_price]]*messy_order_items_csv[[#This Row],[quantity]]</f>
        <v>0</v>
      </c>
    </row>
    <row r="181" spans="1:6" x14ac:dyDescent="0.3">
      <c r="A181">
        <v>180</v>
      </c>
      <c r="B181" t="s">
        <v>1137</v>
      </c>
      <c r="C181" t="s">
        <v>2264</v>
      </c>
      <c r="D181">
        <v>2</v>
      </c>
      <c r="E181">
        <v>31497</v>
      </c>
      <c r="F181">
        <f>messy_order_items_csv[[#This Row],[unit_price]]*messy_order_items_csv[[#This Row],[quantity]]</f>
        <v>62994</v>
      </c>
    </row>
    <row r="182" spans="1:6" x14ac:dyDescent="0.3">
      <c r="A182">
        <v>181</v>
      </c>
      <c r="B182" t="s">
        <v>1012</v>
      </c>
      <c r="C182" t="s">
        <v>2233</v>
      </c>
      <c r="E182">
        <v>3183</v>
      </c>
      <c r="F182">
        <f>messy_order_items_csv[[#This Row],[unit_price]]*messy_order_items_csv[[#This Row],[quantity]]</f>
        <v>0</v>
      </c>
    </row>
    <row r="183" spans="1:6" x14ac:dyDescent="0.3">
      <c r="A183">
        <v>182</v>
      </c>
      <c r="B183" t="s">
        <v>1430</v>
      </c>
      <c r="C183" t="s">
        <v>2260</v>
      </c>
      <c r="D183">
        <v>1</v>
      </c>
      <c r="E183">
        <v>81463</v>
      </c>
      <c r="F183">
        <f>messy_order_items_csv[[#This Row],[unit_price]]*messy_order_items_csv[[#This Row],[quantity]]</f>
        <v>81463</v>
      </c>
    </row>
    <row r="184" spans="1:6" x14ac:dyDescent="0.3">
      <c r="A184">
        <v>183</v>
      </c>
      <c r="B184" t="s">
        <v>2071</v>
      </c>
      <c r="C184" t="s">
        <v>2223</v>
      </c>
      <c r="D184">
        <v>3</v>
      </c>
      <c r="E184">
        <v>77824</v>
      </c>
      <c r="F184">
        <f>messy_order_items_csv[[#This Row],[unit_price]]*messy_order_items_csv[[#This Row],[quantity]]</f>
        <v>233472</v>
      </c>
    </row>
    <row r="185" spans="1:6" x14ac:dyDescent="0.3">
      <c r="A185">
        <v>184</v>
      </c>
      <c r="B185" t="s">
        <v>1756</v>
      </c>
      <c r="C185" t="s">
        <v>2265</v>
      </c>
      <c r="D185">
        <v>1</v>
      </c>
      <c r="E185">
        <v>15310</v>
      </c>
      <c r="F185">
        <f>messy_order_items_csv[[#This Row],[unit_price]]*messy_order_items_csv[[#This Row],[quantity]]</f>
        <v>15310</v>
      </c>
    </row>
    <row r="186" spans="1:6" x14ac:dyDescent="0.3">
      <c r="A186">
        <v>185</v>
      </c>
      <c r="B186" t="s">
        <v>2152</v>
      </c>
      <c r="C186" t="s">
        <v>2253</v>
      </c>
      <c r="E186">
        <v>3534</v>
      </c>
      <c r="F186">
        <f>messy_order_items_csv[[#This Row],[unit_price]]*messy_order_items_csv[[#This Row],[quantity]]</f>
        <v>0</v>
      </c>
    </row>
    <row r="187" spans="1:6" x14ac:dyDescent="0.3">
      <c r="A187">
        <v>186</v>
      </c>
      <c r="B187" t="s">
        <v>1834</v>
      </c>
      <c r="C187" t="s">
        <v>2216</v>
      </c>
      <c r="D187">
        <v>2</v>
      </c>
      <c r="E187">
        <v>31497</v>
      </c>
      <c r="F187">
        <f>messy_order_items_csv[[#This Row],[unit_price]]*messy_order_items_csv[[#This Row],[quantity]]</f>
        <v>62994</v>
      </c>
    </row>
    <row r="188" spans="1:6" x14ac:dyDescent="0.3">
      <c r="A188">
        <v>187</v>
      </c>
      <c r="B188" t="s">
        <v>1157</v>
      </c>
      <c r="C188" t="s">
        <v>2251</v>
      </c>
      <c r="D188">
        <v>1</v>
      </c>
      <c r="E188">
        <v>31497</v>
      </c>
      <c r="F188">
        <f>messy_order_items_csv[[#This Row],[unit_price]]*messy_order_items_csv[[#This Row],[quantity]]</f>
        <v>31497</v>
      </c>
    </row>
    <row r="189" spans="1:6" x14ac:dyDescent="0.3">
      <c r="A189">
        <v>188</v>
      </c>
      <c r="B189" t="s">
        <v>1065</v>
      </c>
      <c r="C189" t="s">
        <v>2202</v>
      </c>
      <c r="D189">
        <v>1</v>
      </c>
      <c r="E189">
        <v>31497</v>
      </c>
      <c r="F189">
        <f>messy_order_items_csv[[#This Row],[unit_price]]*messy_order_items_csv[[#This Row],[quantity]]</f>
        <v>31497</v>
      </c>
    </row>
    <row r="190" spans="1:6" x14ac:dyDescent="0.3">
      <c r="A190">
        <v>189</v>
      </c>
      <c r="B190" t="s">
        <v>1598</v>
      </c>
      <c r="C190" t="s">
        <v>2245</v>
      </c>
      <c r="E190">
        <v>70378</v>
      </c>
      <c r="F190">
        <f>messy_order_items_csv[[#This Row],[unit_price]]*messy_order_items_csv[[#This Row],[quantity]]</f>
        <v>0</v>
      </c>
    </row>
    <row r="191" spans="1:6" x14ac:dyDescent="0.3">
      <c r="A191">
        <v>190</v>
      </c>
      <c r="B191" t="s">
        <v>1525</v>
      </c>
      <c r="C191" t="s">
        <v>2232</v>
      </c>
      <c r="D191">
        <v>4</v>
      </c>
      <c r="E191">
        <v>58815</v>
      </c>
      <c r="F191">
        <f>messy_order_items_csv[[#This Row],[unit_price]]*messy_order_items_csv[[#This Row],[quantity]]</f>
        <v>235260</v>
      </c>
    </row>
    <row r="192" spans="1:6" x14ac:dyDescent="0.3">
      <c r="A192">
        <v>191</v>
      </c>
      <c r="B192" t="s">
        <v>1992</v>
      </c>
      <c r="C192" t="s">
        <v>2206</v>
      </c>
      <c r="D192">
        <v>2</v>
      </c>
      <c r="E192">
        <v>15249</v>
      </c>
      <c r="F192">
        <f>messy_order_items_csv[[#This Row],[unit_price]]*messy_order_items_csv[[#This Row],[quantity]]</f>
        <v>30498</v>
      </c>
    </row>
    <row r="193" spans="1:6" x14ac:dyDescent="0.3">
      <c r="A193">
        <v>192</v>
      </c>
      <c r="B193" t="s">
        <v>2096</v>
      </c>
      <c r="C193" t="s">
        <v>2266</v>
      </c>
      <c r="D193">
        <v>0</v>
      </c>
      <c r="E193">
        <v>13790</v>
      </c>
      <c r="F193">
        <f>messy_order_items_csv[[#This Row],[unit_price]]*messy_order_items_csv[[#This Row],[quantity]]</f>
        <v>0</v>
      </c>
    </row>
    <row r="194" spans="1:6" x14ac:dyDescent="0.3">
      <c r="A194">
        <v>193</v>
      </c>
      <c r="B194" t="s">
        <v>1335</v>
      </c>
      <c r="C194" t="s">
        <v>2208</v>
      </c>
      <c r="E194">
        <v>31497</v>
      </c>
      <c r="F194">
        <f>messy_order_items_csv[[#This Row],[unit_price]]*messy_order_items_csv[[#This Row],[quantity]]</f>
        <v>0</v>
      </c>
    </row>
    <row r="195" spans="1:6" x14ac:dyDescent="0.3">
      <c r="A195">
        <v>194</v>
      </c>
      <c r="B195" t="s">
        <v>1458</v>
      </c>
      <c r="C195" t="s">
        <v>2258</v>
      </c>
      <c r="D195">
        <v>4</v>
      </c>
      <c r="E195">
        <v>51735</v>
      </c>
      <c r="F195">
        <f>messy_order_items_csv[[#This Row],[unit_price]]*messy_order_items_csv[[#This Row],[quantity]]</f>
        <v>206940</v>
      </c>
    </row>
    <row r="196" spans="1:6" x14ac:dyDescent="0.3">
      <c r="A196">
        <v>195</v>
      </c>
      <c r="B196" t="s">
        <v>1544</v>
      </c>
      <c r="C196" t="s">
        <v>2206</v>
      </c>
      <c r="D196">
        <v>0</v>
      </c>
      <c r="E196">
        <v>37413</v>
      </c>
      <c r="F196">
        <f>messy_order_items_csv[[#This Row],[unit_price]]*messy_order_items_csv[[#This Row],[quantity]]</f>
        <v>0</v>
      </c>
    </row>
    <row r="197" spans="1:6" x14ac:dyDescent="0.3">
      <c r="A197">
        <v>196</v>
      </c>
      <c r="B197" t="s">
        <v>1755</v>
      </c>
      <c r="C197" t="s">
        <v>2232</v>
      </c>
      <c r="D197">
        <v>2</v>
      </c>
      <c r="E197">
        <v>76291</v>
      </c>
      <c r="F197">
        <f>messy_order_items_csv[[#This Row],[unit_price]]*messy_order_items_csv[[#This Row],[quantity]]</f>
        <v>152582</v>
      </c>
    </row>
    <row r="198" spans="1:6" x14ac:dyDescent="0.3">
      <c r="A198">
        <v>197</v>
      </c>
      <c r="B198" t="s">
        <v>1291</v>
      </c>
      <c r="C198" t="s">
        <v>2251</v>
      </c>
      <c r="D198">
        <v>3</v>
      </c>
      <c r="E198">
        <v>60818</v>
      </c>
      <c r="F198">
        <f>messy_order_items_csv[[#This Row],[unit_price]]*messy_order_items_csv[[#This Row],[quantity]]</f>
        <v>182454</v>
      </c>
    </row>
    <row r="199" spans="1:6" x14ac:dyDescent="0.3">
      <c r="A199">
        <v>198</v>
      </c>
      <c r="B199" t="s">
        <v>2177</v>
      </c>
      <c r="C199" t="s">
        <v>2253</v>
      </c>
      <c r="E199">
        <v>69520</v>
      </c>
      <c r="F199">
        <f>messy_order_items_csv[[#This Row],[unit_price]]*messy_order_items_csv[[#This Row],[quantity]]</f>
        <v>0</v>
      </c>
    </row>
    <row r="200" spans="1:6" x14ac:dyDescent="0.3">
      <c r="A200">
        <v>199</v>
      </c>
      <c r="B200" t="s">
        <v>2055</v>
      </c>
      <c r="C200" t="s">
        <v>2258</v>
      </c>
      <c r="E200">
        <v>65979</v>
      </c>
      <c r="F200">
        <f>messy_order_items_csv[[#This Row],[unit_price]]*messy_order_items_csv[[#This Row],[quantity]]</f>
        <v>0</v>
      </c>
    </row>
    <row r="201" spans="1:6" x14ac:dyDescent="0.3">
      <c r="A201">
        <v>200</v>
      </c>
      <c r="B201" t="s">
        <v>1415</v>
      </c>
      <c r="C201" t="s">
        <v>2217</v>
      </c>
      <c r="D201">
        <v>3</v>
      </c>
      <c r="E201">
        <v>16064</v>
      </c>
      <c r="F201">
        <f>messy_order_items_csv[[#This Row],[unit_price]]*messy_order_items_csv[[#This Row],[quantity]]</f>
        <v>48192</v>
      </c>
    </row>
    <row r="202" spans="1:6" x14ac:dyDescent="0.3">
      <c r="A202">
        <v>201</v>
      </c>
      <c r="B202" t="s">
        <v>1909</v>
      </c>
      <c r="C202" t="s">
        <v>2210</v>
      </c>
      <c r="E202">
        <v>39176</v>
      </c>
      <c r="F202">
        <f>messy_order_items_csv[[#This Row],[unit_price]]*messy_order_items_csv[[#This Row],[quantity]]</f>
        <v>0</v>
      </c>
    </row>
    <row r="203" spans="1:6" x14ac:dyDescent="0.3">
      <c r="A203">
        <v>202</v>
      </c>
      <c r="B203" t="s">
        <v>2149</v>
      </c>
      <c r="C203" t="s">
        <v>2229</v>
      </c>
      <c r="D203">
        <v>2</v>
      </c>
      <c r="E203">
        <v>55033</v>
      </c>
      <c r="F203">
        <f>messy_order_items_csv[[#This Row],[unit_price]]*messy_order_items_csv[[#This Row],[quantity]]</f>
        <v>110066</v>
      </c>
    </row>
    <row r="204" spans="1:6" x14ac:dyDescent="0.3">
      <c r="A204">
        <v>203</v>
      </c>
      <c r="B204" t="s">
        <v>2164</v>
      </c>
      <c r="C204" t="s">
        <v>2227</v>
      </c>
      <c r="E204">
        <v>32592</v>
      </c>
      <c r="F204">
        <f>messy_order_items_csv[[#This Row],[unit_price]]*messy_order_items_csv[[#This Row],[quantity]]</f>
        <v>0</v>
      </c>
    </row>
    <row r="205" spans="1:6" x14ac:dyDescent="0.3">
      <c r="A205">
        <v>204</v>
      </c>
      <c r="B205" t="s">
        <v>2145</v>
      </c>
      <c r="C205" t="s">
        <v>2240</v>
      </c>
      <c r="D205">
        <v>3</v>
      </c>
      <c r="E205">
        <v>31497</v>
      </c>
      <c r="F205">
        <f>messy_order_items_csv[[#This Row],[unit_price]]*messy_order_items_csv[[#This Row],[quantity]]</f>
        <v>94491</v>
      </c>
    </row>
    <row r="206" spans="1:6" x14ac:dyDescent="0.3">
      <c r="A206">
        <v>205</v>
      </c>
      <c r="B206" t="s">
        <v>1748</v>
      </c>
      <c r="C206" t="s">
        <v>2247</v>
      </c>
      <c r="E206">
        <v>31497</v>
      </c>
      <c r="F206">
        <f>messy_order_items_csv[[#This Row],[unit_price]]*messy_order_items_csv[[#This Row],[quantity]]</f>
        <v>0</v>
      </c>
    </row>
    <row r="207" spans="1:6" x14ac:dyDescent="0.3">
      <c r="A207">
        <v>206</v>
      </c>
      <c r="B207" t="s">
        <v>2038</v>
      </c>
      <c r="C207" t="s">
        <v>2207</v>
      </c>
      <c r="D207">
        <v>1</v>
      </c>
      <c r="E207">
        <v>11423</v>
      </c>
      <c r="F207">
        <f>messy_order_items_csv[[#This Row],[unit_price]]*messy_order_items_csv[[#This Row],[quantity]]</f>
        <v>11423</v>
      </c>
    </row>
    <row r="208" spans="1:6" x14ac:dyDescent="0.3">
      <c r="A208">
        <v>207</v>
      </c>
      <c r="B208" t="s">
        <v>1255</v>
      </c>
      <c r="C208" t="s">
        <v>2200</v>
      </c>
      <c r="D208">
        <v>3</v>
      </c>
      <c r="E208">
        <v>31497</v>
      </c>
      <c r="F208">
        <f>messy_order_items_csv[[#This Row],[unit_price]]*messy_order_items_csv[[#This Row],[quantity]]</f>
        <v>94491</v>
      </c>
    </row>
    <row r="209" spans="1:6" x14ac:dyDescent="0.3">
      <c r="A209">
        <v>208</v>
      </c>
      <c r="B209" t="s">
        <v>1243</v>
      </c>
      <c r="C209" t="s">
        <v>2225</v>
      </c>
      <c r="D209">
        <v>4</v>
      </c>
      <c r="E209">
        <v>31497</v>
      </c>
      <c r="F209">
        <f>messy_order_items_csv[[#This Row],[unit_price]]*messy_order_items_csv[[#This Row],[quantity]]</f>
        <v>125988</v>
      </c>
    </row>
    <row r="210" spans="1:6" x14ac:dyDescent="0.3">
      <c r="A210">
        <v>209</v>
      </c>
      <c r="B210" t="s">
        <v>1532</v>
      </c>
      <c r="C210" t="s">
        <v>2253</v>
      </c>
      <c r="D210">
        <v>0</v>
      </c>
      <c r="E210">
        <v>69520</v>
      </c>
      <c r="F210">
        <f>messy_order_items_csv[[#This Row],[unit_price]]*messy_order_items_csv[[#This Row],[quantity]]</f>
        <v>0</v>
      </c>
    </row>
    <row r="211" spans="1:6" x14ac:dyDescent="0.3">
      <c r="A211">
        <v>210</v>
      </c>
      <c r="B211" t="s">
        <v>1145</v>
      </c>
      <c r="C211" t="s">
        <v>2267</v>
      </c>
      <c r="D211">
        <v>0</v>
      </c>
      <c r="E211">
        <v>86125</v>
      </c>
      <c r="F211">
        <f>messy_order_items_csv[[#This Row],[unit_price]]*messy_order_items_csv[[#This Row],[quantity]]</f>
        <v>0</v>
      </c>
    </row>
    <row r="212" spans="1:6" x14ac:dyDescent="0.3">
      <c r="A212">
        <v>211</v>
      </c>
      <c r="B212" t="s">
        <v>1547</v>
      </c>
      <c r="C212" t="s">
        <v>2205</v>
      </c>
      <c r="D212">
        <v>2</v>
      </c>
      <c r="E212">
        <v>52389</v>
      </c>
      <c r="F212">
        <f>messy_order_items_csv[[#This Row],[unit_price]]*messy_order_items_csv[[#This Row],[quantity]]</f>
        <v>104778</v>
      </c>
    </row>
    <row r="213" spans="1:6" x14ac:dyDescent="0.3">
      <c r="A213">
        <v>212</v>
      </c>
      <c r="B213" t="s">
        <v>1540</v>
      </c>
      <c r="C213" t="s">
        <v>2196</v>
      </c>
      <c r="D213">
        <v>4</v>
      </c>
      <c r="E213">
        <v>26649</v>
      </c>
      <c r="F213">
        <f>messy_order_items_csv[[#This Row],[unit_price]]*messy_order_items_csv[[#This Row],[quantity]]</f>
        <v>106596</v>
      </c>
    </row>
    <row r="214" spans="1:6" x14ac:dyDescent="0.3">
      <c r="A214">
        <v>213</v>
      </c>
      <c r="B214" t="s">
        <v>1605</v>
      </c>
      <c r="C214" t="s">
        <v>2204</v>
      </c>
      <c r="D214">
        <v>0</v>
      </c>
      <c r="E214">
        <v>74631</v>
      </c>
      <c r="F214">
        <f>messy_order_items_csv[[#This Row],[unit_price]]*messy_order_items_csv[[#This Row],[quantity]]</f>
        <v>0</v>
      </c>
    </row>
    <row r="215" spans="1:6" x14ac:dyDescent="0.3">
      <c r="A215">
        <v>214</v>
      </c>
      <c r="B215" t="s">
        <v>1402</v>
      </c>
      <c r="C215" t="s">
        <v>2225</v>
      </c>
      <c r="D215">
        <v>0</v>
      </c>
      <c r="E215">
        <v>75650</v>
      </c>
      <c r="F215">
        <f>messy_order_items_csv[[#This Row],[unit_price]]*messy_order_items_csv[[#This Row],[quantity]]</f>
        <v>0</v>
      </c>
    </row>
    <row r="216" spans="1:6" x14ac:dyDescent="0.3">
      <c r="A216">
        <v>215</v>
      </c>
      <c r="B216" t="s">
        <v>1036</v>
      </c>
      <c r="C216" t="s">
        <v>2210</v>
      </c>
      <c r="D216">
        <v>4</v>
      </c>
      <c r="E216">
        <v>25631</v>
      </c>
      <c r="F216">
        <f>messy_order_items_csv[[#This Row],[unit_price]]*messy_order_items_csv[[#This Row],[quantity]]</f>
        <v>102524</v>
      </c>
    </row>
    <row r="217" spans="1:6" x14ac:dyDescent="0.3">
      <c r="A217">
        <v>216</v>
      </c>
      <c r="B217" t="s">
        <v>1585</v>
      </c>
      <c r="C217" t="s">
        <v>2261</v>
      </c>
      <c r="E217">
        <v>45255</v>
      </c>
      <c r="F217">
        <f>messy_order_items_csv[[#This Row],[unit_price]]*messy_order_items_csv[[#This Row],[quantity]]</f>
        <v>0</v>
      </c>
    </row>
    <row r="218" spans="1:6" x14ac:dyDescent="0.3">
      <c r="A218">
        <v>217</v>
      </c>
      <c r="B218" t="s">
        <v>991</v>
      </c>
      <c r="C218" t="s">
        <v>2215</v>
      </c>
      <c r="D218">
        <v>1</v>
      </c>
      <c r="E218">
        <v>31497</v>
      </c>
      <c r="F218">
        <f>messy_order_items_csv[[#This Row],[unit_price]]*messy_order_items_csv[[#This Row],[quantity]]</f>
        <v>31497</v>
      </c>
    </row>
    <row r="219" spans="1:6" x14ac:dyDescent="0.3">
      <c r="A219">
        <v>218</v>
      </c>
      <c r="B219" t="s">
        <v>1458</v>
      </c>
      <c r="C219" t="s">
        <v>2207</v>
      </c>
      <c r="D219">
        <v>2</v>
      </c>
      <c r="E219">
        <v>48108</v>
      </c>
      <c r="F219">
        <f>messy_order_items_csv[[#This Row],[unit_price]]*messy_order_items_csv[[#This Row],[quantity]]</f>
        <v>96216</v>
      </c>
    </row>
    <row r="220" spans="1:6" x14ac:dyDescent="0.3">
      <c r="A220">
        <v>219</v>
      </c>
      <c r="B220" t="s">
        <v>2094</v>
      </c>
      <c r="C220" t="s">
        <v>2242</v>
      </c>
      <c r="D220">
        <v>4</v>
      </c>
      <c r="E220">
        <v>44572</v>
      </c>
      <c r="F220">
        <f>messy_order_items_csv[[#This Row],[unit_price]]*messy_order_items_csv[[#This Row],[quantity]]</f>
        <v>178288</v>
      </c>
    </row>
    <row r="221" spans="1:6" x14ac:dyDescent="0.3">
      <c r="A221">
        <v>220</v>
      </c>
      <c r="B221" t="s">
        <v>1114</v>
      </c>
      <c r="C221" t="s">
        <v>2227</v>
      </c>
      <c r="D221">
        <v>3</v>
      </c>
      <c r="E221">
        <v>31497</v>
      </c>
      <c r="F221">
        <f>messy_order_items_csv[[#This Row],[unit_price]]*messy_order_items_csv[[#This Row],[quantity]]</f>
        <v>94491</v>
      </c>
    </row>
    <row r="222" spans="1:6" x14ac:dyDescent="0.3">
      <c r="A222">
        <v>221</v>
      </c>
      <c r="B222" t="s">
        <v>2079</v>
      </c>
      <c r="C222" t="s">
        <v>2204</v>
      </c>
      <c r="D222">
        <v>1</v>
      </c>
      <c r="E222">
        <v>31497</v>
      </c>
      <c r="F222">
        <f>messy_order_items_csv[[#This Row],[unit_price]]*messy_order_items_csv[[#This Row],[quantity]]</f>
        <v>31497</v>
      </c>
    </row>
    <row r="223" spans="1:6" x14ac:dyDescent="0.3">
      <c r="A223">
        <v>222</v>
      </c>
      <c r="B223" t="s">
        <v>2110</v>
      </c>
      <c r="C223" t="s">
        <v>2202</v>
      </c>
      <c r="D223">
        <v>3</v>
      </c>
      <c r="E223">
        <v>31497</v>
      </c>
      <c r="F223">
        <f>messy_order_items_csv[[#This Row],[unit_price]]*messy_order_items_csv[[#This Row],[quantity]]</f>
        <v>94491</v>
      </c>
    </row>
    <row r="224" spans="1:6" x14ac:dyDescent="0.3">
      <c r="A224">
        <v>223</v>
      </c>
      <c r="B224" t="s">
        <v>1318</v>
      </c>
      <c r="C224" t="s">
        <v>2261</v>
      </c>
      <c r="D224">
        <v>0</v>
      </c>
      <c r="E224">
        <v>31497</v>
      </c>
      <c r="F224">
        <f>messy_order_items_csv[[#This Row],[unit_price]]*messy_order_items_csv[[#This Row],[quantity]]</f>
        <v>0</v>
      </c>
    </row>
    <row r="225" spans="1:6" x14ac:dyDescent="0.3">
      <c r="A225">
        <v>224</v>
      </c>
      <c r="B225" t="s">
        <v>2102</v>
      </c>
      <c r="C225" t="s">
        <v>2235</v>
      </c>
      <c r="D225">
        <v>3</v>
      </c>
      <c r="E225">
        <v>31497</v>
      </c>
      <c r="F225">
        <f>messy_order_items_csv[[#This Row],[unit_price]]*messy_order_items_csv[[#This Row],[quantity]]</f>
        <v>94491</v>
      </c>
    </row>
    <row r="226" spans="1:6" x14ac:dyDescent="0.3">
      <c r="A226">
        <v>225</v>
      </c>
      <c r="B226" t="s">
        <v>2189</v>
      </c>
      <c r="C226" t="s">
        <v>2238</v>
      </c>
      <c r="D226">
        <v>2</v>
      </c>
      <c r="E226">
        <v>77306</v>
      </c>
      <c r="F226">
        <f>messy_order_items_csv[[#This Row],[unit_price]]*messy_order_items_csv[[#This Row],[quantity]]</f>
        <v>154612</v>
      </c>
    </row>
    <row r="227" spans="1:6" x14ac:dyDescent="0.3">
      <c r="A227">
        <v>226</v>
      </c>
      <c r="B227" t="s">
        <v>1721</v>
      </c>
      <c r="C227" t="s">
        <v>2243</v>
      </c>
      <c r="D227">
        <v>2</v>
      </c>
      <c r="E227">
        <v>50794</v>
      </c>
      <c r="F227">
        <f>messy_order_items_csv[[#This Row],[unit_price]]*messy_order_items_csv[[#This Row],[quantity]]</f>
        <v>101588</v>
      </c>
    </row>
    <row r="228" spans="1:6" x14ac:dyDescent="0.3">
      <c r="A228">
        <v>227</v>
      </c>
      <c r="B228" t="s">
        <v>1736</v>
      </c>
      <c r="C228" t="s">
        <v>2239</v>
      </c>
      <c r="D228">
        <v>4</v>
      </c>
      <c r="E228">
        <v>83748</v>
      </c>
      <c r="F228">
        <f>messy_order_items_csv[[#This Row],[unit_price]]*messy_order_items_csv[[#This Row],[quantity]]</f>
        <v>334992</v>
      </c>
    </row>
    <row r="229" spans="1:6" x14ac:dyDescent="0.3">
      <c r="A229">
        <v>228</v>
      </c>
      <c r="B229" t="s">
        <v>1852</v>
      </c>
      <c r="C229" t="s">
        <v>2268</v>
      </c>
      <c r="D229">
        <v>1</v>
      </c>
      <c r="E229">
        <v>30940</v>
      </c>
      <c r="F229">
        <f>messy_order_items_csv[[#This Row],[unit_price]]*messy_order_items_csv[[#This Row],[quantity]]</f>
        <v>30940</v>
      </c>
    </row>
    <row r="230" spans="1:6" x14ac:dyDescent="0.3">
      <c r="A230">
        <v>229</v>
      </c>
      <c r="B230" t="s">
        <v>1383</v>
      </c>
      <c r="C230" t="s">
        <v>2195</v>
      </c>
      <c r="D230">
        <v>2</v>
      </c>
      <c r="E230">
        <v>47453</v>
      </c>
      <c r="F230">
        <f>messy_order_items_csv[[#This Row],[unit_price]]*messy_order_items_csv[[#This Row],[quantity]]</f>
        <v>94906</v>
      </c>
    </row>
    <row r="231" spans="1:6" x14ac:dyDescent="0.3">
      <c r="A231">
        <v>230</v>
      </c>
      <c r="B231" t="s">
        <v>1321</v>
      </c>
      <c r="C231" t="s">
        <v>2240</v>
      </c>
      <c r="D231">
        <v>0</v>
      </c>
      <c r="E231">
        <v>31497</v>
      </c>
      <c r="F231">
        <f>messy_order_items_csv[[#This Row],[unit_price]]*messy_order_items_csv[[#This Row],[quantity]]</f>
        <v>0</v>
      </c>
    </row>
    <row r="232" spans="1:6" x14ac:dyDescent="0.3">
      <c r="A232">
        <v>231</v>
      </c>
      <c r="B232" t="s">
        <v>1565</v>
      </c>
      <c r="C232" t="s">
        <v>2236</v>
      </c>
      <c r="D232">
        <v>4</v>
      </c>
      <c r="E232">
        <v>6095</v>
      </c>
      <c r="F232">
        <f>messy_order_items_csv[[#This Row],[unit_price]]*messy_order_items_csv[[#This Row],[quantity]]</f>
        <v>24380</v>
      </c>
    </row>
    <row r="233" spans="1:6" x14ac:dyDescent="0.3">
      <c r="A233">
        <v>232</v>
      </c>
      <c r="B233" t="s">
        <v>2134</v>
      </c>
      <c r="C233" t="s">
        <v>2250</v>
      </c>
      <c r="D233">
        <v>3</v>
      </c>
      <c r="E233">
        <v>31497</v>
      </c>
      <c r="F233">
        <f>messy_order_items_csv[[#This Row],[unit_price]]*messy_order_items_csv[[#This Row],[quantity]]</f>
        <v>94491</v>
      </c>
    </row>
    <row r="234" spans="1:6" x14ac:dyDescent="0.3">
      <c r="A234">
        <v>233</v>
      </c>
      <c r="B234" t="s">
        <v>2060</v>
      </c>
      <c r="C234" t="s">
        <v>2233</v>
      </c>
      <c r="E234">
        <v>3756</v>
      </c>
      <c r="F234">
        <f>messy_order_items_csv[[#This Row],[unit_price]]*messy_order_items_csv[[#This Row],[quantity]]</f>
        <v>0</v>
      </c>
    </row>
    <row r="235" spans="1:6" x14ac:dyDescent="0.3">
      <c r="A235">
        <v>234</v>
      </c>
      <c r="B235" t="s">
        <v>2033</v>
      </c>
      <c r="C235" t="s">
        <v>2218</v>
      </c>
      <c r="D235">
        <v>2</v>
      </c>
      <c r="E235">
        <v>65274</v>
      </c>
      <c r="F235">
        <f>messy_order_items_csv[[#This Row],[unit_price]]*messy_order_items_csv[[#This Row],[quantity]]</f>
        <v>130548</v>
      </c>
    </row>
    <row r="236" spans="1:6" x14ac:dyDescent="0.3">
      <c r="A236">
        <v>235</v>
      </c>
      <c r="B236" t="s">
        <v>1299</v>
      </c>
      <c r="C236" t="s">
        <v>2201</v>
      </c>
      <c r="D236">
        <v>4</v>
      </c>
      <c r="E236">
        <v>35845</v>
      </c>
      <c r="F236">
        <f>messy_order_items_csv[[#This Row],[unit_price]]*messy_order_items_csv[[#This Row],[quantity]]</f>
        <v>143380</v>
      </c>
    </row>
    <row r="237" spans="1:6" x14ac:dyDescent="0.3">
      <c r="A237">
        <v>236</v>
      </c>
      <c r="B237" t="s">
        <v>2187</v>
      </c>
      <c r="C237" t="s">
        <v>2225</v>
      </c>
      <c r="D237">
        <v>2</v>
      </c>
      <c r="E237">
        <v>31497</v>
      </c>
      <c r="F237">
        <f>messy_order_items_csv[[#This Row],[unit_price]]*messy_order_items_csv[[#This Row],[quantity]]</f>
        <v>62994</v>
      </c>
    </row>
    <row r="238" spans="1:6" x14ac:dyDescent="0.3">
      <c r="A238">
        <v>237</v>
      </c>
      <c r="B238" t="s">
        <v>1432</v>
      </c>
      <c r="C238" t="s">
        <v>2256</v>
      </c>
      <c r="D238">
        <v>0</v>
      </c>
      <c r="E238">
        <v>83343</v>
      </c>
      <c r="F238">
        <f>messy_order_items_csv[[#This Row],[unit_price]]*messy_order_items_csv[[#This Row],[quantity]]</f>
        <v>0</v>
      </c>
    </row>
    <row r="239" spans="1:6" x14ac:dyDescent="0.3">
      <c r="A239">
        <v>238</v>
      </c>
      <c r="B239" t="s">
        <v>1087</v>
      </c>
      <c r="C239" t="s">
        <v>2227</v>
      </c>
      <c r="D239">
        <v>4</v>
      </c>
      <c r="E239">
        <v>26396</v>
      </c>
      <c r="F239">
        <f>messy_order_items_csv[[#This Row],[unit_price]]*messy_order_items_csv[[#This Row],[quantity]]</f>
        <v>105584</v>
      </c>
    </row>
    <row r="240" spans="1:6" x14ac:dyDescent="0.3">
      <c r="A240">
        <v>239</v>
      </c>
      <c r="B240" t="s">
        <v>1270</v>
      </c>
      <c r="C240" t="s">
        <v>2266</v>
      </c>
      <c r="D240">
        <v>0</v>
      </c>
      <c r="E240">
        <v>3393</v>
      </c>
      <c r="F240">
        <f>messy_order_items_csv[[#This Row],[unit_price]]*messy_order_items_csv[[#This Row],[quantity]]</f>
        <v>0</v>
      </c>
    </row>
    <row r="241" spans="1:6" x14ac:dyDescent="0.3">
      <c r="A241">
        <v>240</v>
      </c>
      <c r="B241" t="s">
        <v>2035</v>
      </c>
      <c r="C241" t="s">
        <v>2212</v>
      </c>
      <c r="D241">
        <v>3</v>
      </c>
      <c r="E241">
        <v>58364</v>
      </c>
      <c r="F241">
        <f>messy_order_items_csv[[#This Row],[unit_price]]*messy_order_items_csv[[#This Row],[quantity]]</f>
        <v>175092</v>
      </c>
    </row>
    <row r="242" spans="1:6" x14ac:dyDescent="0.3">
      <c r="A242">
        <v>241</v>
      </c>
      <c r="B242" t="s">
        <v>1272</v>
      </c>
      <c r="C242" t="s">
        <v>2215</v>
      </c>
      <c r="D242">
        <v>3</v>
      </c>
      <c r="E242">
        <v>34317</v>
      </c>
      <c r="F242">
        <f>messy_order_items_csv[[#This Row],[unit_price]]*messy_order_items_csv[[#This Row],[quantity]]</f>
        <v>102951</v>
      </c>
    </row>
    <row r="243" spans="1:6" x14ac:dyDescent="0.3">
      <c r="A243">
        <v>242</v>
      </c>
      <c r="B243" t="s">
        <v>1186</v>
      </c>
      <c r="C243" t="s">
        <v>2223</v>
      </c>
      <c r="D243">
        <v>3</v>
      </c>
      <c r="E243">
        <v>57368</v>
      </c>
      <c r="F243">
        <f>messy_order_items_csv[[#This Row],[unit_price]]*messy_order_items_csv[[#This Row],[quantity]]</f>
        <v>172104</v>
      </c>
    </row>
    <row r="244" spans="1:6" x14ac:dyDescent="0.3">
      <c r="A244">
        <v>243</v>
      </c>
      <c r="B244" t="s">
        <v>1802</v>
      </c>
      <c r="C244" t="s">
        <v>2269</v>
      </c>
      <c r="D244">
        <v>4</v>
      </c>
      <c r="E244">
        <v>62222</v>
      </c>
      <c r="F244">
        <f>messy_order_items_csv[[#This Row],[unit_price]]*messy_order_items_csv[[#This Row],[quantity]]</f>
        <v>248888</v>
      </c>
    </row>
    <row r="245" spans="1:6" x14ac:dyDescent="0.3">
      <c r="A245">
        <v>244</v>
      </c>
      <c r="B245" t="s">
        <v>1978</v>
      </c>
      <c r="C245" t="s">
        <v>2203</v>
      </c>
      <c r="D245">
        <v>0</v>
      </c>
      <c r="E245">
        <v>76755</v>
      </c>
      <c r="F245">
        <f>messy_order_items_csv[[#This Row],[unit_price]]*messy_order_items_csv[[#This Row],[quantity]]</f>
        <v>0</v>
      </c>
    </row>
    <row r="246" spans="1:6" x14ac:dyDescent="0.3">
      <c r="A246">
        <v>245</v>
      </c>
      <c r="B246" t="s">
        <v>1565</v>
      </c>
      <c r="C246" t="s">
        <v>2203</v>
      </c>
      <c r="D246">
        <v>2</v>
      </c>
      <c r="E246">
        <v>76755</v>
      </c>
      <c r="F246">
        <f>messy_order_items_csv[[#This Row],[unit_price]]*messy_order_items_csv[[#This Row],[quantity]]</f>
        <v>153510</v>
      </c>
    </row>
    <row r="247" spans="1:6" x14ac:dyDescent="0.3">
      <c r="A247">
        <v>246</v>
      </c>
      <c r="B247" t="s">
        <v>1327</v>
      </c>
      <c r="C247" t="s">
        <v>2231</v>
      </c>
      <c r="D247">
        <v>2</v>
      </c>
      <c r="E247">
        <v>28405</v>
      </c>
      <c r="F247">
        <f>messy_order_items_csv[[#This Row],[unit_price]]*messy_order_items_csv[[#This Row],[quantity]]</f>
        <v>56810</v>
      </c>
    </row>
    <row r="248" spans="1:6" x14ac:dyDescent="0.3">
      <c r="A248">
        <v>247</v>
      </c>
      <c r="B248" t="s">
        <v>1706</v>
      </c>
      <c r="C248" t="s">
        <v>2204</v>
      </c>
      <c r="D248">
        <v>3</v>
      </c>
      <c r="E248">
        <v>25651</v>
      </c>
      <c r="F248">
        <f>messy_order_items_csv[[#This Row],[unit_price]]*messy_order_items_csv[[#This Row],[quantity]]</f>
        <v>76953</v>
      </c>
    </row>
    <row r="249" spans="1:6" x14ac:dyDescent="0.3">
      <c r="A249">
        <v>248</v>
      </c>
      <c r="B249" t="s">
        <v>1022</v>
      </c>
      <c r="C249" t="s">
        <v>2269</v>
      </c>
      <c r="D249">
        <v>4</v>
      </c>
      <c r="E249">
        <v>41597</v>
      </c>
      <c r="F249">
        <f>messy_order_items_csv[[#This Row],[unit_price]]*messy_order_items_csv[[#This Row],[quantity]]</f>
        <v>166388</v>
      </c>
    </row>
    <row r="250" spans="1:6" x14ac:dyDescent="0.3">
      <c r="A250">
        <v>249</v>
      </c>
      <c r="B250" t="s">
        <v>1797</v>
      </c>
      <c r="C250" t="s">
        <v>2250</v>
      </c>
      <c r="D250">
        <v>2</v>
      </c>
      <c r="E250">
        <v>31497</v>
      </c>
      <c r="F250">
        <f>messy_order_items_csv[[#This Row],[unit_price]]*messy_order_items_csv[[#This Row],[quantity]]</f>
        <v>62994</v>
      </c>
    </row>
    <row r="251" spans="1:6" x14ac:dyDescent="0.3">
      <c r="A251">
        <v>250</v>
      </c>
      <c r="B251" t="s">
        <v>2018</v>
      </c>
      <c r="C251" t="s">
        <v>2265</v>
      </c>
      <c r="D251">
        <v>4</v>
      </c>
      <c r="E251">
        <v>70582</v>
      </c>
      <c r="F251">
        <f>messy_order_items_csv[[#This Row],[unit_price]]*messy_order_items_csv[[#This Row],[quantity]]</f>
        <v>282328</v>
      </c>
    </row>
    <row r="252" spans="1:6" x14ac:dyDescent="0.3">
      <c r="A252">
        <v>251</v>
      </c>
      <c r="B252" t="s">
        <v>1977</v>
      </c>
      <c r="C252" t="s">
        <v>2202</v>
      </c>
      <c r="D252">
        <v>0</v>
      </c>
      <c r="E252">
        <v>31497</v>
      </c>
      <c r="F252">
        <f>messy_order_items_csv[[#This Row],[unit_price]]*messy_order_items_csv[[#This Row],[quantity]]</f>
        <v>0</v>
      </c>
    </row>
    <row r="253" spans="1:6" x14ac:dyDescent="0.3">
      <c r="A253">
        <v>252</v>
      </c>
      <c r="B253" t="s">
        <v>1242</v>
      </c>
      <c r="C253" t="s">
        <v>2219</v>
      </c>
      <c r="D253">
        <v>2</v>
      </c>
      <c r="E253">
        <v>31497</v>
      </c>
      <c r="F253">
        <f>messy_order_items_csv[[#This Row],[unit_price]]*messy_order_items_csv[[#This Row],[quantity]]</f>
        <v>62994</v>
      </c>
    </row>
    <row r="254" spans="1:6" x14ac:dyDescent="0.3">
      <c r="A254">
        <v>253</v>
      </c>
      <c r="B254" t="s">
        <v>1837</v>
      </c>
      <c r="C254" t="s">
        <v>2206</v>
      </c>
      <c r="D254">
        <v>4</v>
      </c>
      <c r="E254">
        <v>32169</v>
      </c>
      <c r="F254">
        <f>messy_order_items_csv[[#This Row],[unit_price]]*messy_order_items_csv[[#This Row],[quantity]]</f>
        <v>128676</v>
      </c>
    </row>
    <row r="255" spans="1:6" x14ac:dyDescent="0.3">
      <c r="A255">
        <v>254</v>
      </c>
      <c r="B255" t="s">
        <v>1043</v>
      </c>
      <c r="C255" t="s">
        <v>2208</v>
      </c>
      <c r="D255">
        <v>0</v>
      </c>
      <c r="E255">
        <v>65419</v>
      </c>
      <c r="F255">
        <f>messy_order_items_csv[[#This Row],[unit_price]]*messy_order_items_csv[[#This Row],[quantity]]</f>
        <v>0</v>
      </c>
    </row>
    <row r="256" spans="1:6" x14ac:dyDescent="0.3">
      <c r="A256">
        <v>255</v>
      </c>
      <c r="B256" t="s">
        <v>2138</v>
      </c>
      <c r="C256" t="s">
        <v>2262</v>
      </c>
      <c r="D256">
        <v>1</v>
      </c>
      <c r="E256">
        <v>18522</v>
      </c>
      <c r="F256">
        <f>messy_order_items_csv[[#This Row],[unit_price]]*messy_order_items_csv[[#This Row],[quantity]]</f>
        <v>18522</v>
      </c>
    </row>
    <row r="257" spans="1:6" x14ac:dyDescent="0.3">
      <c r="A257">
        <v>256</v>
      </c>
      <c r="B257" t="s">
        <v>2039</v>
      </c>
      <c r="C257" t="s">
        <v>2270</v>
      </c>
      <c r="D257">
        <v>1</v>
      </c>
      <c r="E257">
        <v>80536</v>
      </c>
      <c r="F257">
        <f>messy_order_items_csv[[#This Row],[unit_price]]*messy_order_items_csv[[#This Row],[quantity]]</f>
        <v>80536</v>
      </c>
    </row>
    <row r="258" spans="1:6" x14ac:dyDescent="0.3">
      <c r="A258">
        <v>257</v>
      </c>
      <c r="B258" t="s">
        <v>2018</v>
      </c>
      <c r="C258" t="s">
        <v>2248</v>
      </c>
      <c r="D258">
        <v>2</v>
      </c>
      <c r="E258">
        <v>31497</v>
      </c>
      <c r="F258">
        <f>messy_order_items_csv[[#This Row],[unit_price]]*messy_order_items_csv[[#This Row],[quantity]]</f>
        <v>62994</v>
      </c>
    </row>
    <row r="259" spans="1:6" x14ac:dyDescent="0.3">
      <c r="A259">
        <v>258</v>
      </c>
      <c r="B259" t="s">
        <v>1835</v>
      </c>
      <c r="C259" t="s">
        <v>2271</v>
      </c>
      <c r="D259">
        <v>1</v>
      </c>
      <c r="E259">
        <v>8269</v>
      </c>
      <c r="F259">
        <f>messy_order_items_csv[[#This Row],[unit_price]]*messy_order_items_csv[[#This Row],[quantity]]</f>
        <v>8269</v>
      </c>
    </row>
    <row r="260" spans="1:6" x14ac:dyDescent="0.3">
      <c r="A260">
        <v>259</v>
      </c>
      <c r="B260" t="s">
        <v>2085</v>
      </c>
      <c r="C260" t="s">
        <v>2221</v>
      </c>
      <c r="D260">
        <v>0</v>
      </c>
      <c r="E260">
        <v>65624</v>
      </c>
      <c r="F260">
        <f>messy_order_items_csv[[#This Row],[unit_price]]*messy_order_items_csv[[#This Row],[quantity]]</f>
        <v>0</v>
      </c>
    </row>
    <row r="261" spans="1:6" x14ac:dyDescent="0.3">
      <c r="A261">
        <v>260</v>
      </c>
      <c r="B261" t="s">
        <v>2024</v>
      </c>
      <c r="C261" t="s">
        <v>2258</v>
      </c>
      <c r="E261">
        <v>50612</v>
      </c>
      <c r="F261">
        <f>messy_order_items_csv[[#This Row],[unit_price]]*messy_order_items_csv[[#This Row],[quantity]]</f>
        <v>0</v>
      </c>
    </row>
    <row r="262" spans="1:6" x14ac:dyDescent="0.3">
      <c r="A262">
        <v>261</v>
      </c>
      <c r="B262" t="s">
        <v>2124</v>
      </c>
      <c r="C262" t="s">
        <v>2239</v>
      </c>
      <c r="D262">
        <v>4</v>
      </c>
      <c r="E262">
        <v>83322</v>
      </c>
      <c r="F262">
        <f>messy_order_items_csv[[#This Row],[unit_price]]*messy_order_items_csv[[#This Row],[quantity]]</f>
        <v>333288</v>
      </c>
    </row>
    <row r="263" spans="1:6" x14ac:dyDescent="0.3">
      <c r="A263">
        <v>262</v>
      </c>
      <c r="B263" t="s">
        <v>1260</v>
      </c>
      <c r="C263" t="s">
        <v>2219</v>
      </c>
      <c r="E263">
        <v>9582</v>
      </c>
      <c r="F263">
        <f>messy_order_items_csv[[#This Row],[unit_price]]*messy_order_items_csv[[#This Row],[quantity]]</f>
        <v>0</v>
      </c>
    </row>
    <row r="264" spans="1:6" x14ac:dyDescent="0.3">
      <c r="A264">
        <v>263</v>
      </c>
      <c r="B264" t="s">
        <v>1878</v>
      </c>
      <c r="C264" t="s">
        <v>2201</v>
      </c>
      <c r="E264">
        <v>31497</v>
      </c>
      <c r="F264">
        <f>messy_order_items_csv[[#This Row],[unit_price]]*messy_order_items_csv[[#This Row],[quantity]]</f>
        <v>0</v>
      </c>
    </row>
    <row r="265" spans="1:6" x14ac:dyDescent="0.3">
      <c r="A265">
        <v>264</v>
      </c>
      <c r="B265" t="s">
        <v>1925</v>
      </c>
      <c r="C265" t="s">
        <v>2221</v>
      </c>
      <c r="D265">
        <v>1</v>
      </c>
      <c r="E265">
        <v>31497</v>
      </c>
      <c r="F265">
        <f>messy_order_items_csv[[#This Row],[unit_price]]*messy_order_items_csv[[#This Row],[quantity]]</f>
        <v>31497</v>
      </c>
    </row>
    <row r="266" spans="1:6" x14ac:dyDescent="0.3">
      <c r="A266">
        <v>265</v>
      </c>
      <c r="B266" t="s">
        <v>1853</v>
      </c>
      <c r="C266" t="s">
        <v>2255</v>
      </c>
      <c r="D266">
        <v>0</v>
      </c>
      <c r="E266">
        <v>81129</v>
      </c>
      <c r="F266">
        <f>messy_order_items_csv[[#This Row],[unit_price]]*messy_order_items_csv[[#This Row],[quantity]]</f>
        <v>0</v>
      </c>
    </row>
    <row r="267" spans="1:6" x14ac:dyDescent="0.3">
      <c r="A267">
        <v>266</v>
      </c>
      <c r="B267" t="s">
        <v>1388</v>
      </c>
      <c r="C267" t="s">
        <v>2203</v>
      </c>
      <c r="D267">
        <v>0</v>
      </c>
      <c r="E267">
        <v>79531</v>
      </c>
      <c r="F267">
        <f>messy_order_items_csv[[#This Row],[unit_price]]*messy_order_items_csv[[#This Row],[quantity]]</f>
        <v>0</v>
      </c>
    </row>
    <row r="268" spans="1:6" x14ac:dyDescent="0.3">
      <c r="A268">
        <v>267</v>
      </c>
      <c r="B268" t="s">
        <v>2083</v>
      </c>
      <c r="C268" t="s">
        <v>2253</v>
      </c>
      <c r="D268">
        <v>1</v>
      </c>
      <c r="E268">
        <v>80383</v>
      </c>
      <c r="F268">
        <f>messy_order_items_csv[[#This Row],[unit_price]]*messy_order_items_csv[[#This Row],[quantity]]</f>
        <v>80383</v>
      </c>
    </row>
    <row r="269" spans="1:6" x14ac:dyDescent="0.3">
      <c r="A269">
        <v>268</v>
      </c>
      <c r="B269" t="s">
        <v>1290</v>
      </c>
      <c r="C269" t="s">
        <v>2204</v>
      </c>
      <c r="E269">
        <v>31497</v>
      </c>
      <c r="F269">
        <f>messy_order_items_csv[[#This Row],[unit_price]]*messy_order_items_csv[[#This Row],[quantity]]</f>
        <v>0</v>
      </c>
    </row>
    <row r="270" spans="1:6" x14ac:dyDescent="0.3">
      <c r="A270">
        <v>269</v>
      </c>
      <c r="B270" t="s">
        <v>2123</v>
      </c>
      <c r="C270" t="s">
        <v>2267</v>
      </c>
      <c r="D270">
        <v>2</v>
      </c>
      <c r="E270">
        <v>47054</v>
      </c>
      <c r="F270">
        <f>messy_order_items_csv[[#This Row],[unit_price]]*messy_order_items_csv[[#This Row],[quantity]]</f>
        <v>94108</v>
      </c>
    </row>
    <row r="271" spans="1:6" x14ac:dyDescent="0.3">
      <c r="A271">
        <v>270</v>
      </c>
      <c r="B271" t="s">
        <v>1917</v>
      </c>
      <c r="C271" t="s">
        <v>2237</v>
      </c>
      <c r="D271">
        <v>1</v>
      </c>
      <c r="E271">
        <v>61022</v>
      </c>
      <c r="F271">
        <f>messy_order_items_csv[[#This Row],[unit_price]]*messy_order_items_csv[[#This Row],[quantity]]</f>
        <v>61022</v>
      </c>
    </row>
    <row r="272" spans="1:6" x14ac:dyDescent="0.3">
      <c r="A272">
        <v>271</v>
      </c>
      <c r="B272" t="s">
        <v>1456</v>
      </c>
      <c r="C272" t="s">
        <v>2235</v>
      </c>
      <c r="D272">
        <v>3</v>
      </c>
      <c r="E272">
        <v>31497</v>
      </c>
      <c r="F272">
        <f>messy_order_items_csv[[#This Row],[unit_price]]*messy_order_items_csv[[#This Row],[quantity]]</f>
        <v>94491</v>
      </c>
    </row>
    <row r="273" spans="1:6" x14ac:dyDescent="0.3">
      <c r="A273">
        <v>272</v>
      </c>
      <c r="B273" t="s">
        <v>1131</v>
      </c>
      <c r="C273" t="s">
        <v>2266</v>
      </c>
      <c r="D273">
        <v>4</v>
      </c>
      <c r="E273">
        <v>3393</v>
      </c>
      <c r="F273">
        <f>messy_order_items_csv[[#This Row],[unit_price]]*messy_order_items_csv[[#This Row],[quantity]]</f>
        <v>13572</v>
      </c>
    </row>
    <row r="274" spans="1:6" x14ac:dyDescent="0.3">
      <c r="A274">
        <v>273</v>
      </c>
      <c r="B274" t="s">
        <v>1159</v>
      </c>
      <c r="C274" t="s">
        <v>2243</v>
      </c>
      <c r="D274">
        <v>4</v>
      </c>
      <c r="E274">
        <v>31497</v>
      </c>
      <c r="F274">
        <f>messy_order_items_csv[[#This Row],[unit_price]]*messy_order_items_csv[[#This Row],[quantity]]</f>
        <v>125988</v>
      </c>
    </row>
    <row r="275" spans="1:6" x14ac:dyDescent="0.3">
      <c r="A275">
        <v>274</v>
      </c>
      <c r="B275" t="s">
        <v>1374</v>
      </c>
      <c r="C275" t="s">
        <v>2211</v>
      </c>
      <c r="D275">
        <v>0</v>
      </c>
      <c r="E275">
        <v>63653</v>
      </c>
      <c r="F275">
        <f>messy_order_items_csv[[#This Row],[unit_price]]*messy_order_items_csv[[#This Row],[quantity]]</f>
        <v>0</v>
      </c>
    </row>
    <row r="276" spans="1:6" x14ac:dyDescent="0.3">
      <c r="A276">
        <v>275</v>
      </c>
      <c r="B276" t="s">
        <v>1149</v>
      </c>
      <c r="C276" t="s">
        <v>2202</v>
      </c>
      <c r="E276">
        <v>6915</v>
      </c>
      <c r="F276">
        <f>messy_order_items_csv[[#This Row],[unit_price]]*messy_order_items_csv[[#This Row],[quantity]]</f>
        <v>0</v>
      </c>
    </row>
    <row r="277" spans="1:6" x14ac:dyDescent="0.3">
      <c r="A277">
        <v>276</v>
      </c>
      <c r="B277" t="s">
        <v>1561</v>
      </c>
      <c r="C277" t="s">
        <v>2204</v>
      </c>
      <c r="D277">
        <v>1</v>
      </c>
      <c r="E277">
        <v>20373</v>
      </c>
      <c r="F277">
        <f>messy_order_items_csv[[#This Row],[unit_price]]*messy_order_items_csv[[#This Row],[quantity]]</f>
        <v>20373</v>
      </c>
    </row>
    <row r="278" spans="1:6" x14ac:dyDescent="0.3">
      <c r="A278">
        <v>277</v>
      </c>
      <c r="B278" t="s">
        <v>2129</v>
      </c>
      <c r="C278" t="s">
        <v>2195</v>
      </c>
      <c r="D278">
        <v>1</v>
      </c>
      <c r="E278">
        <v>47453</v>
      </c>
      <c r="F278">
        <f>messy_order_items_csv[[#This Row],[unit_price]]*messy_order_items_csv[[#This Row],[quantity]]</f>
        <v>47453</v>
      </c>
    </row>
    <row r="279" spans="1:6" x14ac:dyDescent="0.3">
      <c r="A279">
        <v>278</v>
      </c>
      <c r="B279" t="s">
        <v>1890</v>
      </c>
      <c r="C279" t="s">
        <v>2207</v>
      </c>
      <c r="D279">
        <v>2</v>
      </c>
      <c r="E279">
        <v>31497</v>
      </c>
      <c r="F279">
        <f>messy_order_items_csv[[#This Row],[unit_price]]*messy_order_items_csv[[#This Row],[quantity]]</f>
        <v>62994</v>
      </c>
    </row>
    <row r="280" spans="1:6" x14ac:dyDescent="0.3">
      <c r="A280">
        <v>279</v>
      </c>
      <c r="B280" t="s">
        <v>2051</v>
      </c>
      <c r="C280" t="s">
        <v>2237</v>
      </c>
      <c r="D280">
        <v>2</v>
      </c>
      <c r="E280">
        <v>70309</v>
      </c>
      <c r="F280">
        <f>messy_order_items_csv[[#This Row],[unit_price]]*messy_order_items_csv[[#This Row],[quantity]]</f>
        <v>140618</v>
      </c>
    </row>
    <row r="281" spans="1:6" x14ac:dyDescent="0.3">
      <c r="A281">
        <v>280</v>
      </c>
      <c r="B281" t="s">
        <v>1238</v>
      </c>
      <c r="C281" t="s">
        <v>2249</v>
      </c>
      <c r="E281">
        <v>31497</v>
      </c>
      <c r="F281">
        <f>messy_order_items_csv[[#This Row],[unit_price]]*messy_order_items_csv[[#This Row],[quantity]]</f>
        <v>0</v>
      </c>
    </row>
    <row r="282" spans="1:6" x14ac:dyDescent="0.3">
      <c r="A282">
        <v>281</v>
      </c>
      <c r="B282" t="s">
        <v>1651</v>
      </c>
      <c r="C282" t="s">
        <v>2236</v>
      </c>
      <c r="D282">
        <v>4</v>
      </c>
      <c r="E282">
        <v>68636</v>
      </c>
      <c r="F282">
        <f>messy_order_items_csv[[#This Row],[unit_price]]*messy_order_items_csv[[#This Row],[quantity]]</f>
        <v>274544</v>
      </c>
    </row>
    <row r="283" spans="1:6" x14ac:dyDescent="0.3">
      <c r="A283">
        <v>282</v>
      </c>
      <c r="B283" t="s">
        <v>1605</v>
      </c>
      <c r="C283" t="s">
        <v>2198</v>
      </c>
      <c r="D283">
        <v>2</v>
      </c>
      <c r="E283">
        <v>31497</v>
      </c>
      <c r="F283">
        <f>messy_order_items_csv[[#This Row],[unit_price]]*messy_order_items_csv[[#This Row],[quantity]]</f>
        <v>62994</v>
      </c>
    </row>
    <row r="284" spans="1:6" x14ac:dyDescent="0.3">
      <c r="A284">
        <v>283</v>
      </c>
      <c r="B284" t="s">
        <v>1156</v>
      </c>
      <c r="C284" t="s">
        <v>2207</v>
      </c>
      <c r="D284">
        <v>3</v>
      </c>
      <c r="E284">
        <v>31497</v>
      </c>
      <c r="F284">
        <f>messy_order_items_csv[[#This Row],[unit_price]]*messy_order_items_csv[[#This Row],[quantity]]</f>
        <v>94491</v>
      </c>
    </row>
    <row r="285" spans="1:6" x14ac:dyDescent="0.3">
      <c r="A285">
        <v>284</v>
      </c>
      <c r="B285" t="s">
        <v>2046</v>
      </c>
      <c r="C285" t="s">
        <v>2272</v>
      </c>
      <c r="D285">
        <v>3</v>
      </c>
      <c r="E285">
        <v>43027</v>
      </c>
      <c r="F285">
        <f>messy_order_items_csv[[#This Row],[unit_price]]*messy_order_items_csv[[#This Row],[quantity]]</f>
        <v>129081</v>
      </c>
    </row>
    <row r="286" spans="1:6" x14ac:dyDescent="0.3">
      <c r="A286">
        <v>285</v>
      </c>
      <c r="B286" t="s">
        <v>1341</v>
      </c>
      <c r="C286" t="s">
        <v>2233</v>
      </c>
      <c r="D286">
        <v>2</v>
      </c>
      <c r="E286">
        <v>1124</v>
      </c>
      <c r="F286">
        <f>messy_order_items_csv[[#This Row],[unit_price]]*messy_order_items_csv[[#This Row],[quantity]]</f>
        <v>2248</v>
      </c>
    </row>
    <row r="287" spans="1:6" x14ac:dyDescent="0.3">
      <c r="A287">
        <v>286</v>
      </c>
      <c r="B287" t="s">
        <v>1899</v>
      </c>
      <c r="C287" t="s">
        <v>2218</v>
      </c>
      <c r="D287">
        <v>0</v>
      </c>
      <c r="E287">
        <v>9421</v>
      </c>
      <c r="F287">
        <f>messy_order_items_csv[[#This Row],[unit_price]]*messy_order_items_csv[[#This Row],[quantity]]</f>
        <v>0</v>
      </c>
    </row>
    <row r="288" spans="1:6" x14ac:dyDescent="0.3">
      <c r="A288">
        <v>287</v>
      </c>
      <c r="B288" t="s">
        <v>1891</v>
      </c>
      <c r="C288" t="s">
        <v>2235</v>
      </c>
      <c r="D288">
        <v>1</v>
      </c>
      <c r="E288">
        <v>21420</v>
      </c>
      <c r="F288">
        <f>messy_order_items_csv[[#This Row],[unit_price]]*messy_order_items_csv[[#This Row],[quantity]]</f>
        <v>21420</v>
      </c>
    </row>
    <row r="289" spans="1:6" x14ac:dyDescent="0.3">
      <c r="A289">
        <v>288</v>
      </c>
      <c r="B289" t="s">
        <v>1082</v>
      </c>
      <c r="C289" t="s">
        <v>2247</v>
      </c>
      <c r="D289">
        <v>3</v>
      </c>
      <c r="E289">
        <v>31497</v>
      </c>
      <c r="F289">
        <f>messy_order_items_csv[[#This Row],[unit_price]]*messy_order_items_csv[[#This Row],[quantity]]</f>
        <v>94491</v>
      </c>
    </row>
    <row r="290" spans="1:6" x14ac:dyDescent="0.3">
      <c r="A290">
        <v>289</v>
      </c>
      <c r="B290" t="s">
        <v>1507</v>
      </c>
      <c r="C290" t="s">
        <v>2259</v>
      </c>
      <c r="D290">
        <v>1</v>
      </c>
      <c r="E290">
        <v>31497</v>
      </c>
      <c r="F290">
        <f>messy_order_items_csv[[#This Row],[unit_price]]*messy_order_items_csv[[#This Row],[quantity]]</f>
        <v>31497</v>
      </c>
    </row>
    <row r="291" spans="1:6" x14ac:dyDescent="0.3">
      <c r="A291">
        <v>290</v>
      </c>
      <c r="B291" t="s">
        <v>1267</v>
      </c>
      <c r="C291" t="s">
        <v>2221</v>
      </c>
      <c r="D291">
        <v>1</v>
      </c>
      <c r="E291">
        <v>31497</v>
      </c>
      <c r="F291">
        <f>messy_order_items_csv[[#This Row],[unit_price]]*messy_order_items_csv[[#This Row],[quantity]]</f>
        <v>31497</v>
      </c>
    </row>
    <row r="292" spans="1:6" x14ac:dyDescent="0.3">
      <c r="A292">
        <v>291</v>
      </c>
      <c r="B292" t="s">
        <v>1240</v>
      </c>
      <c r="C292" t="s">
        <v>2208</v>
      </c>
      <c r="D292">
        <v>2</v>
      </c>
      <c r="E292">
        <v>31497</v>
      </c>
      <c r="F292">
        <f>messy_order_items_csv[[#This Row],[unit_price]]*messy_order_items_csv[[#This Row],[quantity]]</f>
        <v>62994</v>
      </c>
    </row>
    <row r="293" spans="1:6" x14ac:dyDescent="0.3">
      <c r="A293">
        <v>292</v>
      </c>
      <c r="B293" t="s">
        <v>1419</v>
      </c>
      <c r="C293" t="s">
        <v>2263</v>
      </c>
      <c r="D293">
        <v>1</v>
      </c>
      <c r="E293">
        <v>24846</v>
      </c>
      <c r="F293">
        <f>messy_order_items_csv[[#This Row],[unit_price]]*messy_order_items_csv[[#This Row],[quantity]]</f>
        <v>24846</v>
      </c>
    </row>
    <row r="294" spans="1:6" x14ac:dyDescent="0.3">
      <c r="A294">
        <v>293</v>
      </c>
      <c r="B294" t="s">
        <v>993</v>
      </c>
      <c r="C294" t="s">
        <v>2202</v>
      </c>
      <c r="E294">
        <v>31497</v>
      </c>
      <c r="F294">
        <f>messy_order_items_csv[[#This Row],[unit_price]]*messy_order_items_csv[[#This Row],[quantity]]</f>
        <v>0</v>
      </c>
    </row>
    <row r="295" spans="1:6" x14ac:dyDescent="0.3">
      <c r="A295">
        <v>294</v>
      </c>
      <c r="B295" t="s">
        <v>2014</v>
      </c>
      <c r="C295" t="s">
        <v>2252</v>
      </c>
      <c r="D295">
        <v>3</v>
      </c>
      <c r="E295">
        <v>31497</v>
      </c>
      <c r="F295">
        <f>messy_order_items_csv[[#This Row],[unit_price]]*messy_order_items_csv[[#This Row],[quantity]]</f>
        <v>94491</v>
      </c>
    </row>
    <row r="296" spans="1:6" x14ac:dyDescent="0.3">
      <c r="A296">
        <v>295</v>
      </c>
      <c r="B296" t="s">
        <v>2117</v>
      </c>
      <c r="C296" t="s">
        <v>2225</v>
      </c>
      <c r="E296">
        <v>59721</v>
      </c>
      <c r="F296">
        <f>messy_order_items_csv[[#This Row],[unit_price]]*messy_order_items_csv[[#This Row],[quantity]]</f>
        <v>0</v>
      </c>
    </row>
    <row r="297" spans="1:6" x14ac:dyDescent="0.3">
      <c r="A297">
        <v>296</v>
      </c>
      <c r="B297" t="s">
        <v>1770</v>
      </c>
      <c r="C297" t="s">
        <v>2195</v>
      </c>
      <c r="E297">
        <v>47453</v>
      </c>
      <c r="F297">
        <f>messy_order_items_csv[[#This Row],[unit_price]]*messy_order_items_csv[[#This Row],[quantity]]</f>
        <v>0</v>
      </c>
    </row>
    <row r="298" spans="1:6" x14ac:dyDescent="0.3">
      <c r="A298">
        <v>297</v>
      </c>
      <c r="B298" t="s">
        <v>1802</v>
      </c>
      <c r="C298" t="s">
        <v>2247</v>
      </c>
      <c r="E298">
        <v>31497</v>
      </c>
      <c r="F298">
        <f>messy_order_items_csv[[#This Row],[unit_price]]*messy_order_items_csv[[#This Row],[quantity]]</f>
        <v>0</v>
      </c>
    </row>
    <row r="299" spans="1:6" x14ac:dyDescent="0.3">
      <c r="A299">
        <v>298</v>
      </c>
      <c r="B299" t="s">
        <v>1255</v>
      </c>
      <c r="C299" t="s">
        <v>2236</v>
      </c>
      <c r="D299">
        <v>0</v>
      </c>
      <c r="E299">
        <v>6095</v>
      </c>
      <c r="F299">
        <f>messy_order_items_csv[[#This Row],[unit_price]]*messy_order_items_csv[[#This Row],[quantity]]</f>
        <v>0</v>
      </c>
    </row>
    <row r="300" spans="1:6" x14ac:dyDescent="0.3">
      <c r="A300">
        <v>299</v>
      </c>
      <c r="B300" t="s">
        <v>1113</v>
      </c>
      <c r="C300" t="s">
        <v>2248</v>
      </c>
      <c r="D300">
        <v>3</v>
      </c>
      <c r="E300">
        <v>1827</v>
      </c>
      <c r="F300">
        <f>messy_order_items_csv[[#This Row],[unit_price]]*messy_order_items_csv[[#This Row],[quantity]]</f>
        <v>5481</v>
      </c>
    </row>
    <row r="301" spans="1:6" x14ac:dyDescent="0.3">
      <c r="A301">
        <v>300</v>
      </c>
      <c r="B301" t="s">
        <v>1277</v>
      </c>
      <c r="C301" t="s">
        <v>2270</v>
      </c>
      <c r="D301">
        <v>1</v>
      </c>
      <c r="E301">
        <v>37939</v>
      </c>
      <c r="F301">
        <f>messy_order_items_csv[[#This Row],[unit_price]]*messy_order_items_csv[[#This Row],[quantity]]</f>
        <v>37939</v>
      </c>
    </row>
    <row r="302" spans="1:6" x14ac:dyDescent="0.3">
      <c r="A302">
        <v>301</v>
      </c>
      <c r="B302" t="s">
        <v>1285</v>
      </c>
      <c r="C302" t="s">
        <v>2201</v>
      </c>
      <c r="D302">
        <v>2</v>
      </c>
      <c r="E302">
        <v>31497</v>
      </c>
      <c r="F302">
        <f>messy_order_items_csv[[#This Row],[unit_price]]*messy_order_items_csv[[#This Row],[quantity]]</f>
        <v>62994</v>
      </c>
    </row>
    <row r="303" spans="1:6" x14ac:dyDescent="0.3">
      <c r="A303">
        <v>302</v>
      </c>
      <c r="B303" t="s">
        <v>1712</v>
      </c>
      <c r="C303" t="s">
        <v>2241</v>
      </c>
      <c r="D303">
        <v>3</v>
      </c>
      <c r="E303">
        <v>27157</v>
      </c>
      <c r="F303">
        <f>messy_order_items_csv[[#This Row],[unit_price]]*messy_order_items_csv[[#This Row],[quantity]]</f>
        <v>81471</v>
      </c>
    </row>
    <row r="304" spans="1:6" x14ac:dyDescent="0.3">
      <c r="A304">
        <v>303</v>
      </c>
      <c r="B304" t="s">
        <v>1073</v>
      </c>
      <c r="C304" t="s">
        <v>2224</v>
      </c>
      <c r="D304">
        <v>2</v>
      </c>
      <c r="E304">
        <v>31497</v>
      </c>
      <c r="F304">
        <f>messy_order_items_csv[[#This Row],[unit_price]]*messy_order_items_csv[[#This Row],[quantity]]</f>
        <v>62994</v>
      </c>
    </row>
    <row r="305" spans="1:6" x14ac:dyDescent="0.3">
      <c r="A305">
        <v>304</v>
      </c>
      <c r="B305" t="s">
        <v>2024</v>
      </c>
      <c r="C305" t="s">
        <v>2241</v>
      </c>
      <c r="D305">
        <v>0</v>
      </c>
      <c r="E305">
        <v>27157</v>
      </c>
      <c r="F305">
        <f>messy_order_items_csv[[#This Row],[unit_price]]*messy_order_items_csv[[#This Row],[quantity]]</f>
        <v>0</v>
      </c>
    </row>
    <row r="306" spans="1:6" x14ac:dyDescent="0.3">
      <c r="A306">
        <v>305</v>
      </c>
      <c r="B306" t="s">
        <v>1185</v>
      </c>
      <c r="C306" t="s">
        <v>2230</v>
      </c>
      <c r="D306">
        <v>2</v>
      </c>
      <c r="E306">
        <v>31497</v>
      </c>
      <c r="F306">
        <f>messy_order_items_csv[[#This Row],[unit_price]]*messy_order_items_csv[[#This Row],[quantity]]</f>
        <v>62994</v>
      </c>
    </row>
    <row r="307" spans="1:6" x14ac:dyDescent="0.3">
      <c r="A307">
        <v>306</v>
      </c>
      <c r="B307" t="s">
        <v>1344</v>
      </c>
      <c r="C307" t="s">
        <v>2219</v>
      </c>
      <c r="D307">
        <v>0</v>
      </c>
      <c r="E307">
        <v>31497</v>
      </c>
      <c r="F307">
        <f>messy_order_items_csv[[#This Row],[unit_price]]*messy_order_items_csv[[#This Row],[quantity]]</f>
        <v>0</v>
      </c>
    </row>
    <row r="308" spans="1:6" x14ac:dyDescent="0.3">
      <c r="A308">
        <v>307</v>
      </c>
      <c r="B308" t="s">
        <v>1288</v>
      </c>
      <c r="C308" t="s">
        <v>2271</v>
      </c>
      <c r="D308">
        <v>4</v>
      </c>
      <c r="E308">
        <v>31497</v>
      </c>
      <c r="F308">
        <f>messy_order_items_csv[[#This Row],[unit_price]]*messy_order_items_csv[[#This Row],[quantity]]</f>
        <v>125988</v>
      </c>
    </row>
    <row r="309" spans="1:6" x14ac:dyDescent="0.3">
      <c r="A309">
        <v>308</v>
      </c>
      <c r="B309" t="s">
        <v>1004</v>
      </c>
      <c r="C309" t="s">
        <v>2273</v>
      </c>
      <c r="E309">
        <v>58098</v>
      </c>
      <c r="F309">
        <f>messy_order_items_csv[[#This Row],[unit_price]]*messy_order_items_csv[[#This Row],[quantity]]</f>
        <v>0</v>
      </c>
    </row>
    <row r="310" spans="1:6" x14ac:dyDescent="0.3">
      <c r="A310">
        <v>309</v>
      </c>
      <c r="B310" t="s">
        <v>1811</v>
      </c>
      <c r="C310" t="s">
        <v>2242</v>
      </c>
      <c r="E310">
        <v>31497</v>
      </c>
      <c r="F310">
        <f>messy_order_items_csv[[#This Row],[unit_price]]*messy_order_items_csv[[#This Row],[quantity]]</f>
        <v>0</v>
      </c>
    </row>
    <row r="311" spans="1:6" x14ac:dyDescent="0.3">
      <c r="A311">
        <v>310</v>
      </c>
      <c r="B311" t="s">
        <v>2008</v>
      </c>
      <c r="C311" t="s">
        <v>2228</v>
      </c>
      <c r="D311">
        <v>1</v>
      </c>
      <c r="E311">
        <v>39396</v>
      </c>
      <c r="F311">
        <f>messy_order_items_csv[[#This Row],[unit_price]]*messy_order_items_csv[[#This Row],[quantity]]</f>
        <v>39396</v>
      </c>
    </row>
    <row r="312" spans="1:6" x14ac:dyDescent="0.3">
      <c r="A312">
        <v>311</v>
      </c>
      <c r="B312" t="s">
        <v>1438</v>
      </c>
      <c r="C312" t="s">
        <v>2246</v>
      </c>
      <c r="D312">
        <v>3</v>
      </c>
      <c r="E312">
        <v>2571</v>
      </c>
      <c r="F312">
        <f>messy_order_items_csv[[#This Row],[unit_price]]*messy_order_items_csv[[#This Row],[quantity]]</f>
        <v>7713</v>
      </c>
    </row>
    <row r="313" spans="1:6" x14ac:dyDescent="0.3">
      <c r="A313">
        <v>312</v>
      </c>
      <c r="B313" t="s">
        <v>2089</v>
      </c>
      <c r="C313" t="s">
        <v>2243</v>
      </c>
      <c r="D313">
        <v>3</v>
      </c>
      <c r="E313">
        <v>59240</v>
      </c>
      <c r="F313">
        <f>messy_order_items_csv[[#This Row],[unit_price]]*messy_order_items_csv[[#This Row],[quantity]]</f>
        <v>177720</v>
      </c>
    </row>
    <row r="314" spans="1:6" x14ac:dyDescent="0.3">
      <c r="A314">
        <v>313</v>
      </c>
      <c r="B314" t="s">
        <v>1019</v>
      </c>
      <c r="C314" t="s">
        <v>2226</v>
      </c>
      <c r="D314">
        <v>0</v>
      </c>
      <c r="E314">
        <v>63996</v>
      </c>
      <c r="F314">
        <f>messy_order_items_csv[[#This Row],[unit_price]]*messy_order_items_csv[[#This Row],[quantity]]</f>
        <v>0</v>
      </c>
    </row>
    <row r="315" spans="1:6" x14ac:dyDescent="0.3">
      <c r="A315">
        <v>314</v>
      </c>
      <c r="B315" t="s">
        <v>1501</v>
      </c>
      <c r="C315" t="s">
        <v>2237</v>
      </c>
      <c r="E315">
        <v>61022</v>
      </c>
      <c r="F315">
        <f>messy_order_items_csv[[#This Row],[unit_price]]*messy_order_items_csv[[#This Row],[quantity]]</f>
        <v>0</v>
      </c>
    </row>
    <row r="316" spans="1:6" x14ac:dyDescent="0.3">
      <c r="A316">
        <v>315</v>
      </c>
      <c r="B316" t="s">
        <v>1188</v>
      </c>
      <c r="C316" t="s">
        <v>2269</v>
      </c>
      <c r="D316">
        <v>1</v>
      </c>
      <c r="E316">
        <v>75295</v>
      </c>
      <c r="F316">
        <f>messy_order_items_csv[[#This Row],[unit_price]]*messy_order_items_csv[[#This Row],[quantity]]</f>
        <v>75295</v>
      </c>
    </row>
    <row r="317" spans="1:6" x14ac:dyDescent="0.3">
      <c r="A317">
        <v>316</v>
      </c>
      <c r="B317" t="s">
        <v>1372</v>
      </c>
      <c r="C317" t="s">
        <v>2264</v>
      </c>
      <c r="D317">
        <v>3</v>
      </c>
      <c r="E317">
        <v>65815</v>
      </c>
      <c r="F317">
        <f>messy_order_items_csv[[#This Row],[unit_price]]*messy_order_items_csv[[#This Row],[quantity]]</f>
        <v>197445</v>
      </c>
    </row>
    <row r="318" spans="1:6" x14ac:dyDescent="0.3">
      <c r="A318">
        <v>317</v>
      </c>
      <c r="B318" t="s">
        <v>1155</v>
      </c>
      <c r="C318" t="s">
        <v>2262</v>
      </c>
      <c r="D318">
        <v>1</v>
      </c>
      <c r="E318">
        <v>18522</v>
      </c>
      <c r="F318">
        <f>messy_order_items_csv[[#This Row],[unit_price]]*messy_order_items_csv[[#This Row],[quantity]]</f>
        <v>18522</v>
      </c>
    </row>
    <row r="319" spans="1:6" x14ac:dyDescent="0.3">
      <c r="A319">
        <v>318</v>
      </c>
      <c r="B319" t="s">
        <v>1355</v>
      </c>
      <c r="C319" t="s">
        <v>2210</v>
      </c>
      <c r="D319">
        <v>4</v>
      </c>
      <c r="E319">
        <v>31497</v>
      </c>
      <c r="F319">
        <f>messy_order_items_csv[[#This Row],[unit_price]]*messy_order_items_csv[[#This Row],[quantity]]</f>
        <v>125988</v>
      </c>
    </row>
    <row r="320" spans="1:6" x14ac:dyDescent="0.3">
      <c r="A320">
        <v>319</v>
      </c>
      <c r="B320" t="s">
        <v>1851</v>
      </c>
      <c r="C320" t="s">
        <v>2202</v>
      </c>
      <c r="D320">
        <v>4</v>
      </c>
      <c r="E320">
        <v>45952</v>
      </c>
      <c r="F320">
        <f>messy_order_items_csv[[#This Row],[unit_price]]*messy_order_items_csv[[#This Row],[quantity]]</f>
        <v>183808</v>
      </c>
    </row>
    <row r="321" spans="1:6" x14ac:dyDescent="0.3">
      <c r="A321">
        <v>320</v>
      </c>
      <c r="B321" t="s">
        <v>1088</v>
      </c>
      <c r="C321" t="s">
        <v>2207</v>
      </c>
      <c r="D321">
        <v>1</v>
      </c>
      <c r="E321">
        <v>31497</v>
      </c>
      <c r="F321">
        <f>messy_order_items_csv[[#This Row],[unit_price]]*messy_order_items_csv[[#This Row],[quantity]]</f>
        <v>31497</v>
      </c>
    </row>
    <row r="322" spans="1:6" x14ac:dyDescent="0.3">
      <c r="A322">
        <v>321</v>
      </c>
      <c r="B322" t="s">
        <v>2110</v>
      </c>
      <c r="C322" t="s">
        <v>2262</v>
      </c>
      <c r="D322">
        <v>0</v>
      </c>
      <c r="E322">
        <v>21448</v>
      </c>
      <c r="F322">
        <f>messy_order_items_csv[[#This Row],[unit_price]]*messy_order_items_csv[[#This Row],[quantity]]</f>
        <v>0</v>
      </c>
    </row>
    <row r="323" spans="1:6" x14ac:dyDescent="0.3">
      <c r="A323">
        <v>322</v>
      </c>
      <c r="B323" t="s">
        <v>2128</v>
      </c>
      <c r="C323" t="s">
        <v>2219</v>
      </c>
      <c r="E323">
        <v>17811</v>
      </c>
      <c r="F323">
        <f>messy_order_items_csv[[#This Row],[unit_price]]*messy_order_items_csv[[#This Row],[quantity]]</f>
        <v>0</v>
      </c>
    </row>
    <row r="324" spans="1:6" x14ac:dyDescent="0.3">
      <c r="A324">
        <v>323</v>
      </c>
      <c r="B324" t="s">
        <v>1890</v>
      </c>
      <c r="C324" t="s">
        <v>2270</v>
      </c>
      <c r="D324">
        <v>4</v>
      </c>
      <c r="E324">
        <v>62359</v>
      </c>
      <c r="F324">
        <f>messy_order_items_csv[[#This Row],[unit_price]]*messy_order_items_csv[[#This Row],[quantity]]</f>
        <v>249436</v>
      </c>
    </row>
    <row r="325" spans="1:6" x14ac:dyDescent="0.3">
      <c r="A325">
        <v>324</v>
      </c>
      <c r="B325" t="s">
        <v>1236</v>
      </c>
      <c r="C325" t="s">
        <v>2206</v>
      </c>
      <c r="D325">
        <v>4</v>
      </c>
      <c r="E325">
        <v>15249</v>
      </c>
      <c r="F325">
        <f>messy_order_items_csv[[#This Row],[unit_price]]*messy_order_items_csv[[#This Row],[quantity]]</f>
        <v>60996</v>
      </c>
    </row>
    <row r="326" spans="1:6" x14ac:dyDescent="0.3">
      <c r="A326">
        <v>325</v>
      </c>
      <c r="B326" t="s">
        <v>1571</v>
      </c>
      <c r="C326" t="s">
        <v>2200</v>
      </c>
      <c r="D326">
        <v>3</v>
      </c>
      <c r="E326">
        <v>31497</v>
      </c>
      <c r="F326">
        <f>messy_order_items_csv[[#This Row],[unit_price]]*messy_order_items_csv[[#This Row],[quantity]]</f>
        <v>94491</v>
      </c>
    </row>
    <row r="327" spans="1:6" x14ac:dyDescent="0.3">
      <c r="A327">
        <v>326</v>
      </c>
      <c r="B327" t="s">
        <v>1358</v>
      </c>
      <c r="C327" t="s">
        <v>2219</v>
      </c>
      <c r="D327">
        <v>0</v>
      </c>
      <c r="E327">
        <v>4278</v>
      </c>
      <c r="F327">
        <f>messy_order_items_csv[[#This Row],[unit_price]]*messy_order_items_csv[[#This Row],[quantity]]</f>
        <v>0</v>
      </c>
    </row>
    <row r="328" spans="1:6" x14ac:dyDescent="0.3">
      <c r="A328">
        <v>327</v>
      </c>
      <c r="B328" t="s">
        <v>2036</v>
      </c>
      <c r="C328" t="s">
        <v>2213</v>
      </c>
      <c r="D328">
        <v>4</v>
      </c>
      <c r="E328">
        <v>31497</v>
      </c>
      <c r="F328">
        <f>messy_order_items_csv[[#This Row],[unit_price]]*messy_order_items_csv[[#This Row],[quantity]]</f>
        <v>125988</v>
      </c>
    </row>
    <row r="329" spans="1:6" x14ac:dyDescent="0.3">
      <c r="A329">
        <v>328</v>
      </c>
      <c r="B329" t="s">
        <v>1928</v>
      </c>
      <c r="C329" t="s">
        <v>2264</v>
      </c>
      <c r="D329">
        <v>1</v>
      </c>
      <c r="E329">
        <v>62400</v>
      </c>
      <c r="F329">
        <f>messy_order_items_csv[[#This Row],[unit_price]]*messy_order_items_csv[[#This Row],[quantity]]</f>
        <v>62400</v>
      </c>
    </row>
    <row r="330" spans="1:6" x14ac:dyDescent="0.3">
      <c r="A330">
        <v>329</v>
      </c>
      <c r="B330" t="s">
        <v>1595</v>
      </c>
      <c r="C330" t="s">
        <v>2248</v>
      </c>
      <c r="D330">
        <v>0</v>
      </c>
      <c r="E330">
        <v>31497</v>
      </c>
      <c r="F330">
        <f>messy_order_items_csv[[#This Row],[unit_price]]*messy_order_items_csv[[#This Row],[quantity]]</f>
        <v>0</v>
      </c>
    </row>
    <row r="331" spans="1:6" x14ac:dyDescent="0.3">
      <c r="A331">
        <v>330</v>
      </c>
      <c r="B331" t="s">
        <v>1570</v>
      </c>
      <c r="C331" t="s">
        <v>2202</v>
      </c>
      <c r="D331">
        <v>2</v>
      </c>
      <c r="E331">
        <v>41654</v>
      </c>
      <c r="F331">
        <f>messy_order_items_csv[[#This Row],[unit_price]]*messy_order_items_csv[[#This Row],[quantity]]</f>
        <v>83308</v>
      </c>
    </row>
    <row r="332" spans="1:6" x14ac:dyDescent="0.3">
      <c r="A332">
        <v>331</v>
      </c>
      <c r="B332" t="s">
        <v>1460</v>
      </c>
      <c r="C332" t="s">
        <v>2248</v>
      </c>
      <c r="D332">
        <v>4</v>
      </c>
      <c r="E332">
        <v>49705</v>
      </c>
      <c r="F332">
        <f>messy_order_items_csv[[#This Row],[unit_price]]*messy_order_items_csv[[#This Row],[quantity]]</f>
        <v>198820</v>
      </c>
    </row>
    <row r="333" spans="1:6" x14ac:dyDescent="0.3">
      <c r="A333">
        <v>332</v>
      </c>
      <c r="B333" t="s">
        <v>2149</v>
      </c>
      <c r="C333" t="s">
        <v>2202</v>
      </c>
      <c r="D333">
        <v>4</v>
      </c>
      <c r="E333">
        <v>48916</v>
      </c>
      <c r="F333">
        <f>messy_order_items_csv[[#This Row],[unit_price]]*messy_order_items_csv[[#This Row],[quantity]]</f>
        <v>195664</v>
      </c>
    </row>
    <row r="334" spans="1:6" x14ac:dyDescent="0.3">
      <c r="A334">
        <v>333</v>
      </c>
      <c r="B334" t="s">
        <v>2076</v>
      </c>
      <c r="C334" t="s">
        <v>2220</v>
      </c>
      <c r="D334">
        <v>2</v>
      </c>
      <c r="E334">
        <v>10020</v>
      </c>
      <c r="F334">
        <f>messy_order_items_csv[[#This Row],[unit_price]]*messy_order_items_csv[[#This Row],[quantity]]</f>
        <v>20040</v>
      </c>
    </row>
    <row r="335" spans="1:6" x14ac:dyDescent="0.3">
      <c r="A335">
        <v>334</v>
      </c>
      <c r="B335" t="s">
        <v>1586</v>
      </c>
      <c r="C335" t="s">
        <v>2214</v>
      </c>
      <c r="D335">
        <v>1</v>
      </c>
      <c r="E335">
        <v>77444</v>
      </c>
      <c r="F335">
        <f>messy_order_items_csv[[#This Row],[unit_price]]*messy_order_items_csv[[#This Row],[quantity]]</f>
        <v>77444</v>
      </c>
    </row>
    <row r="336" spans="1:6" x14ac:dyDescent="0.3">
      <c r="A336">
        <v>335</v>
      </c>
      <c r="B336" t="s">
        <v>1121</v>
      </c>
      <c r="C336" t="s">
        <v>2219</v>
      </c>
      <c r="D336">
        <v>0</v>
      </c>
      <c r="E336">
        <v>47007</v>
      </c>
      <c r="F336">
        <f>messy_order_items_csv[[#This Row],[unit_price]]*messy_order_items_csv[[#This Row],[quantity]]</f>
        <v>0</v>
      </c>
    </row>
    <row r="337" spans="1:6" x14ac:dyDescent="0.3">
      <c r="A337">
        <v>336</v>
      </c>
      <c r="B337" t="s">
        <v>2143</v>
      </c>
      <c r="C337" t="s">
        <v>2206</v>
      </c>
      <c r="D337">
        <v>2</v>
      </c>
      <c r="E337">
        <v>32438</v>
      </c>
      <c r="F337">
        <f>messy_order_items_csv[[#This Row],[unit_price]]*messy_order_items_csv[[#This Row],[quantity]]</f>
        <v>64876</v>
      </c>
    </row>
    <row r="338" spans="1:6" x14ac:dyDescent="0.3">
      <c r="A338">
        <v>337</v>
      </c>
      <c r="B338" t="s">
        <v>1082</v>
      </c>
      <c r="C338" t="s">
        <v>2235</v>
      </c>
      <c r="D338">
        <v>3</v>
      </c>
      <c r="E338">
        <v>51530</v>
      </c>
      <c r="F338">
        <f>messy_order_items_csv[[#This Row],[unit_price]]*messy_order_items_csv[[#This Row],[quantity]]</f>
        <v>154590</v>
      </c>
    </row>
    <row r="339" spans="1:6" x14ac:dyDescent="0.3">
      <c r="A339">
        <v>338</v>
      </c>
      <c r="B339" t="s">
        <v>1458</v>
      </c>
      <c r="C339" t="s">
        <v>2255</v>
      </c>
      <c r="D339">
        <v>0</v>
      </c>
      <c r="E339">
        <v>81129</v>
      </c>
      <c r="F339">
        <f>messy_order_items_csv[[#This Row],[unit_price]]*messy_order_items_csv[[#This Row],[quantity]]</f>
        <v>0</v>
      </c>
    </row>
    <row r="340" spans="1:6" x14ac:dyDescent="0.3">
      <c r="A340">
        <v>339</v>
      </c>
      <c r="B340" t="s">
        <v>1509</v>
      </c>
      <c r="C340" t="s">
        <v>2255</v>
      </c>
      <c r="E340">
        <v>81129</v>
      </c>
      <c r="F340">
        <f>messy_order_items_csv[[#This Row],[unit_price]]*messy_order_items_csv[[#This Row],[quantity]]</f>
        <v>0</v>
      </c>
    </row>
    <row r="341" spans="1:6" x14ac:dyDescent="0.3">
      <c r="A341">
        <v>340</v>
      </c>
      <c r="B341" t="s">
        <v>1767</v>
      </c>
      <c r="C341" t="s">
        <v>2223</v>
      </c>
      <c r="D341">
        <v>1</v>
      </c>
      <c r="E341">
        <v>31497</v>
      </c>
      <c r="F341">
        <f>messy_order_items_csv[[#This Row],[unit_price]]*messy_order_items_csv[[#This Row],[quantity]]</f>
        <v>31497</v>
      </c>
    </row>
    <row r="342" spans="1:6" x14ac:dyDescent="0.3">
      <c r="A342">
        <v>341</v>
      </c>
      <c r="B342" t="s">
        <v>1312</v>
      </c>
      <c r="C342" t="s">
        <v>2198</v>
      </c>
      <c r="D342">
        <v>3</v>
      </c>
      <c r="E342">
        <v>31497</v>
      </c>
      <c r="F342">
        <f>messy_order_items_csv[[#This Row],[unit_price]]*messy_order_items_csv[[#This Row],[quantity]]</f>
        <v>94491</v>
      </c>
    </row>
    <row r="343" spans="1:6" x14ac:dyDescent="0.3">
      <c r="A343">
        <v>342</v>
      </c>
      <c r="B343" t="s">
        <v>1907</v>
      </c>
      <c r="C343" t="s">
        <v>2273</v>
      </c>
      <c r="D343">
        <v>4</v>
      </c>
      <c r="E343">
        <v>40149</v>
      </c>
      <c r="F343">
        <f>messy_order_items_csv[[#This Row],[unit_price]]*messy_order_items_csv[[#This Row],[quantity]]</f>
        <v>160596</v>
      </c>
    </row>
    <row r="344" spans="1:6" x14ac:dyDescent="0.3">
      <c r="A344">
        <v>343</v>
      </c>
      <c r="B344" t="s">
        <v>1206</v>
      </c>
      <c r="C344" t="s">
        <v>2213</v>
      </c>
      <c r="D344">
        <v>4</v>
      </c>
      <c r="E344">
        <v>31497</v>
      </c>
      <c r="F344">
        <f>messy_order_items_csv[[#This Row],[unit_price]]*messy_order_items_csv[[#This Row],[quantity]]</f>
        <v>125988</v>
      </c>
    </row>
    <row r="345" spans="1:6" x14ac:dyDescent="0.3">
      <c r="A345">
        <v>344</v>
      </c>
      <c r="B345" t="s">
        <v>1454</v>
      </c>
      <c r="C345" t="s">
        <v>2205</v>
      </c>
      <c r="D345">
        <v>0</v>
      </c>
      <c r="E345">
        <v>31497</v>
      </c>
      <c r="F345">
        <f>messy_order_items_csv[[#This Row],[unit_price]]*messy_order_items_csv[[#This Row],[quantity]]</f>
        <v>0</v>
      </c>
    </row>
    <row r="346" spans="1:6" x14ac:dyDescent="0.3">
      <c r="A346">
        <v>345</v>
      </c>
      <c r="B346" t="s">
        <v>1020</v>
      </c>
      <c r="C346" t="s">
        <v>2204</v>
      </c>
      <c r="D346">
        <v>2</v>
      </c>
      <c r="E346">
        <v>13111</v>
      </c>
      <c r="F346">
        <f>messy_order_items_csv[[#This Row],[unit_price]]*messy_order_items_csv[[#This Row],[quantity]]</f>
        <v>26222</v>
      </c>
    </row>
    <row r="347" spans="1:6" x14ac:dyDescent="0.3">
      <c r="A347">
        <v>346</v>
      </c>
      <c r="B347" t="s">
        <v>1826</v>
      </c>
      <c r="C347" t="s">
        <v>2223</v>
      </c>
      <c r="E347">
        <v>40575</v>
      </c>
      <c r="F347">
        <f>messy_order_items_csv[[#This Row],[unit_price]]*messy_order_items_csv[[#This Row],[quantity]]</f>
        <v>0</v>
      </c>
    </row>
    <row r="348" spans="1:6" x14ac:dyDescent="0.3">
      <c r="A348">
        <v>347</v>
      </c>
      <c r="B348" t="s">
        <v>1549</v>
      </c>
      <c r="C348" t="s">
        <v>2265</v>
      </c>
      <c r="D348">
        <v>2</v>
      </c>
      <c r="E348">
        <v>73525</v>
      </c>
      <c r="F348">
        <f>messy_order_items_csv[[#This Row],[unit_price]]*messy_order_items_csv[[#This Row],[quantity]]</f>
        <v>147050</v>
      </c>
    </row>
    <row r="349" spans="1:6" x14ac:dyDescent="0.3">
      <c r="A349">
        <v>348</v>
      </c>
      <c r="B349" t="s">
        <v>1676</v>
      </c>
      <c r="C349" t="s">
        <v>2230</v>
      </c>
      <c r="D349">
        <v>4</v>
      </c>
      <c r="E349">
        <v>31497</v>
      </c>
      <c r="F349">
        <f>messy_order_items_csv[[#This Row],[unit_price]]*messy_order_items_csv[[#This Row],[quantity]]</f>
        <v>125988</v>
      </c>
    </row>
    <row r="350" spans="1:6" x14ac:dyDescent="0.3">
      <c r="A350">
        <v>349</v>
      </c>
      <c r="B350" t="s">
        <v>1167</v>
      </c>
      <c r="C350" t="s">
        <v>2205</v>
      </c>
      <c r="D350">
        <v>1</v>
      </c>
      <c r="E350">
        <v>64844</v>
      </c>
      <c r="F350">
        <f>messy_order_items_csv[[#This Row],[unit_price]]*messy_order_items_csv[[#This Row],[quantity]]</f>
        <v>64844</v>
      </c>
    </row>
    <row r="351" spans="1:6" x14ac:dyDescent="0.3">
      <c r="A351">
        <v>350</v>
      </c>
      <c r="B351" t="s">
        <v>1148</v>
      </c>
      <c r="C351" t="s">
        <v>2215</v>
      </c>
      <c r="D351">
        <v>0</v>
      </c>
      <c r="E351">
        <v>53824</v>
      </c>
      <c r="F351">
        <f>messy_order_items_csv[[#This Row],[unit_price]]*messy_order_items_csv[[#This Row],[quantity]]</f>
        <v>0</v>
      </c>
    </row>
    <row r="352" spans="1:6" x14ac:dyDescent="0.3">
      <c r="A352">
        <v>351</v>
      </c>
      <c r="B352" t="s">
        <v>1165</v>
      </c>
      <c r="C352" t="s">
        <v>2229</v>
      </c>
      <c r="D352">
        <v>4</v>
      </c>
      <c r="E352">
        <v>31530</v>
      </c>
      <c r="F352">
        <f>messy_order_items_csv[[#This Row],[unit_price]]*messy_order_items_csv[[#This Row],[quantity]]</f>
        <v>126120</v>
      </c>
    </row>
    <row r="353" spans="1:6" x14ac:dyDescent="0.3">
      <c r="A353">
        <v>352</v>
      </c>
      <c r="B353" t="s">
        <v>1373</v>
      </c>
      <c r="C353" t="s">
        <v>2252</v>
      </c>
      <c r="D353">
        <v>4</v>
      </c>
      <c r="E353">
        <v>31497</v>
      </c>
      <c r="F353">
        <f>messy_order_items_csv[[#This Row],[unit_price]]*messy_order_items_csv[[#This Row],[quantity]]</f>
        <v>125988</v>
      </c>
    </row>
    <row r="354" spans="1:6" x14ac:dyDescent="0.3">
      <c r="A354">
        <v>353</v>
      </c>
      <c r="B354" t="s">
        <v>2184</v>
      </c>
      <c r="C354" t="s">
        <v>2242</v>
      </c>
      <c r="D354">
        <v>0</v>
      </c>
      <c r="E354">
        <v>31497</v>
      </c>
      <c r="F354">
        <f>messy_order_items_csv[[#This Row],[unit_price]]*messy_order_items_csv[[#This Row],[quantity]]</f>
        <v>0</v>
      </c>
    </row>
    <row r="355" spans="1:6" x14ac:dyDescent="0.3">
      <c r="A355">
        <v>354</v>
      </c>
      <c r="B355" t="s">
        <v>1175</v>
      </c>
      <c r="C355" t="s">
        <v>2227</v>
      </c>
      <c r="D355">
        <v>0</v>
      </c>
      <c r="E355">
        <v>86726</v>
      </c>
      <c r="F355">
        <f>messy_order_items_csv[[#This Row],[unit_price]]*messy_order_items_csv[[#This Row],[quantity]]</f>
        <v>0</v>
      </c>
    </row>
    <row r="356" spans="1:6" x14ac:dyDescent="0.3">
      <c r="A356">
        <v>355</v>
      </c>
      <c r="B356" t="s">
        <v>2100</v>
      </c>
      <c r="C356" t="s">
        <v>2207</v>
      </c>
      <c r="D356">
        <v>1</v>
      </c>
      <c r="E356">
        <v>25987</v>
      </c>
      <c r="F356">
        <f>messy_order_items_csv[[#This Row],[unit_price]]*messy_order_items_csv[[#This Row],[quantity]]</f>
        <v>25987</v>
      </c>
    </row>
    <row r="357" spans="1:6" x14ac:dyDescent="0.3">
      <c r="A357">
        <v>356</v>
      </c>
      <c r="B357" t="s">
        <v>1050</v>
      </c>
      <c r="C357" t="s">
        <v>2216</v>
      </c>
      <c r="D357">
        <v>0</v>
      </c>
      <c r="E357">
        <v>31497</v>
      </c>
      <c r="F357">
        <f>messy_order_items_csv[[#This Row],[unit_price]]*messy_order_items_csv[[#This Row],[quantity]]</f>
        <v>0</v>
      </c>
    </row>
    <row r="358" spans="1:6" x14ac:dyDescent="0.3">
      <c r="A358">
        <v>357</v>
      </c>
      <c r="B358" t="s">
        <v>1989</v>
      </c>
      <c r="C358" t="s">
        <v>2202</v>
      </c>
      <c r="D358">
        <v>1</v>
      </c>
      <c r="E358">
        <v>73733</v>
      </c>
      <c r="F358">
        <f>messy_order_items_csv[[#This Row],[unit_price]]*messy_order_items_csv[[#This Row],[quantity]]</f>
        <v>73733</v>
      </c>
    </row>
    <row r="359" spans="1:6" x14ac:dyDescent="0.3">
      <c r="A359">
        <v>358</v>
      </c>
      <c r="B359" t="s">
        <v>1045</v>
      </c>
      <c r="C359" t="s">
        <v>2228</v>
      </c>
      <c r="D359">
        <v>2</v>
      </c>
      <c r="E359">
        <v>82192</v>
      </c>
      <c r="F359">
        <f>messy_order_items_csv[[#This Row],[unit_price]]*messy_order_items_csv[[#This Row],[quantity]]</f>
        <v>164384</v>
      </c>
    </row>
    <row r="360" spans="1:6" x14ac:dyDescent="0.3">
      <c r="A360">
        <v>359</v>
      </c>
      <c r="B360" t="s">
        <v>2090</v>
      </c>
      <c r="C360" t="s">
        <v>2239</v>
      </c>
      <c r="D360">
        <v>1</v>
      </c>
      <c r="E360">
        <v>59279</v>
      </c>
      <c r="F360">
        <f>messy_order_items_csv[[#This Row],[unit_price]]*messy_order_items_csv[[#This Row],[quantity]]</f>
        <v>59279</v>
      </c>
    </row>
    <row r="361" spans="1:6" x14ac:dyDescent="0.3">
      <c r="A361">
        <v>360</v>
      </c>
      <c r="B361" t="s">
        <v>1513</v>
      </c>
      <c r="C361" t="s">
        <v>2206</v>
      </c>
      <c r="D361">
        <v>0</v>
      </c>
      <c r="E361">
        <v>49730</v>
      </c>
      <c r="F361">
        <f>messy_order_items_csv[[#This Row],[unit_price]]*messy_order_items_csv[[#This Row],[quantity]]</f>
        <v>0</v>
      </c>
    </row>
    <row r="362" spans="1:6" x14ac:dyDescent="0.3">
      <c r="A362">
        <v>361</v>
      </c>
      <c r="B362" t="s">
        <v>1662</v>
      </c>
      <c r="C362" t="s">
        <v>2255</v>
      </c>
      <c r="D362">
        <v>2</v>
      </c>
      <c r="E362">
        <v>81129</v>
      </c>
      <c r="F362">
        <f>messy_order_items_csv[[#This Row],[unit_price]]*messy_order_items_csv[[#This Row],[quantity]]</f>
        <v>162258</v>
      </c>
    </row>
    <row r="363" spans="1:6" x14ac:dyDescent="0.3">
      <c r="A363">
        <v>362</v>
      </c>
      <c r="B363" t="s">
        <v>1251</v>
      </c>
      <c r="C363" t="s">
        <v>2253</v>
      </c>
      <c r="D363">
        <v>2</v>
      </c>
      <c r="E363">
        <v>84046</v>
      </c>
      <c r="F363">
        <f>messy_order_items_csv[[#This Row],[unit_price]]*messy_order_items_csv[[#This Row],[quantity]]</f>
        <v>168092</v>
      </c>
    </row>
    <row r="364" spans="1:6" x14ac:dyDescent="0.3">
      <c r="A364">
        <v>363</v>
      </c>
      <c r="B364" t="s">
        <v>1068</v>
      </c>
      <c r="C364" t="s">
        <v>2207</v>
      </c>
      <c r="D364">
        <v>4</v>
      </c>
      <c r="E364">
        <v>76107</v>
      </c>
      <c r="F364">
        <f>messy_order_items_csv[[#This Row],[unit_price]]*messy_order_items_csv[[#This Row],[quantity]]</f>
        <v>304428</v>
      </c>
    </row>
    <row r="365" spans="1:6" x14ac:dyDescent="0.3">
      <c r="A365">
        <v>364</v>
      </c>
      <c r="B365" t="s">
        <v>1492</v>
      </c>
      <c r="C365" t="s">
        <v>2195</v>
      </c>
      <c r="D365">
        <v>4</v>
      </c>
      <c r="E365">
        <v>47453</v>
      </c>
      <c r="F365">
        <f>messy_order_items_csv[[#This Row],[unit_price]]*messy_order_items_csv[[#This Row],[quantity]]</f>
        <v>189812</v>
      </c>
    </row>
    <row r="366" spans="1:6" x14ac:dyDescent="0.3">
      <c r="A366">
        <v>365</v>
      </c>
      <c r="B366" t="s">
        <v>2189</v>
      </c>
      <c r="C366" t="s">
        <v>2256</v>
      </c>
      <c r="D366">
        <v>1</v>
      </c>
      <c r="E366">
        <v>78227</v>
      </c>
      <c r="F366">
        <f>messy_order_items_csv[[#This Row],[unit_price]]*messy_order_items_csv[[#This Row],[quantity]]</f>
        <v>78227</v>
      </c>
    </row>
    <row r="367" spans="1:6" x14ac:dyDescent="0.3">
      <c r="A367">
        <v>366</v>
      </c>
      <c r="B367" t="s">
        <v>1228</v>
      </c>
      <c r="C367" t="s">
        <v>2206</v>
      </c>
      <c r="D367">
        <v>0</v>
      </c>
      <c r="E367">
        <v>42292</v>
      </c>
      <c r="F367">
        <f>messy_order_items_csv[[#This Row],[unit_price]]*messy_order_items_csv[[#This Row],[quantity]]</f>
        <v>0</v>
      </c>
    </row>
    <row r="368" spans="1:6" x14ac:dyDescent="0.3">
      <c r="A368">
        <v>367</v>
      </c>
      <c r="B368" t="s">
        <v>1272</v>
      </c>
      <c r="C368" t="s">
        <v>2231</v>
      </c>
      <c r="D368">
        <v>4</v>
      </c>
      <c r="E368">
        <v>40595</v>
      </c>
      <c r="F368">
        <f>messy_order_items_csv[[#This Row],[unit_price]]*messy_order_items_csv[[#This Row],[quantity]]</f>
        <v>162380</v>
      </c>
    </row>
    <row r="369" spans="1:6" x14ac:dyDescent="0.3">
      <c r="A369">
        <v>368</v>
      </c>
      <c r="B369" t="s">
        <v>1306</v>
      </c>
      <c r="C369" t="s">
        <v>2221</v>
      </c>
      <c r="D369">
        <v>1</v>
      </c>
      <c r="E369">
        <v>31497</v>
      </c>
      <c r="F369">
        <f>messy_order_items_csv[[#This Row],[unit_price]]*messy_order_items_csv[[#This Row],[quantity]]</f>
        <v>31497</v>
      </c>
    </row>
    <row r="370" spans="1:6" x14ac:dyDescent="0.3">
      <c r="A370">
        <v>369</v>
      </c>
      <c r="B370" t="s">
        <v>1408</v>
      </c>
      <c r="C370" t="s">
        <v>2270</v>
      </c>
      <c r="D370">
        <v>4</v>
      </c>
      <c r="E370">
        <v>1072</v>
      </c>
      <c r="F370">
        <f>messy_order_items_csv[[#This Row],[unit_price]]*messy_order_items_csv[[#This Row],[quantity]]</f>
        <v>4288</v>
      </c>
    </row>
    <row r="371" spans="1:6" x14ac:dyDescent="0.3">
      <c r="A371">
        <v>370</v>
      </c>
      <c r="B371" t="s">
        <v>1840</v>
      </c>
      <c r="C371" t="s">
        <v>2232</v>
      </c>
      <c r="D371">
        <v>0</v>
      </c>
      <c r="E371">
        <v>18948</v>
      </c>
      <c r="F371">
        <f>messy_order_items_csv[[#This Row],[unit_price]]*messy_order_items_csv[[#This Row],[quantity]]</f>
        <v>0</v>
      </c>
    </row>
    <row r="372" spans="1:6" x14ac:dyDescent="0.3">
      <c r="A372">
        <v>371</v>
      </c>
      <c r="B372" t="s">
        <v>1031</v>
      </c>
      <c r="C372" t="s">
        <v>2211</v>
      </c>
      <c r="D372">
        <v>0</v>
      </c>
      <c r="E372">
        <v>28000</v>
      </c>
      <c r="F372">
        <f>messy_order_items_csv[[#This Row],[unit_price]]*messy_order_items_csv[[#This Row],[quantity]]</f>
        <v>0</v>
      </c>
    </row>
    <row r="373" spans="1:6" x14ac:dyDescent="0.3">
      <c r="A373">
        <v>372</v>
      </c>
      <c r="B373" t="s">
        <v>1354</v>
      </c>
      <c r="C373" t="s">
        <v>2213</v>
      </c>
      <c r="D373">
        <v>4</v>
      </c>
      <c r="E373">
        <v>31497</v>
      </c>
      <c r="F373">
        <f>messy_order_items_csv[[#This Row],[unit_price]]*messy_order_items_csv[[#This Row],[quantity]]</f>
        <v>125988</v>
      </c>
    </row>
    <row r="374" spans="1:6" x14ac:dyDescent="0.3">
      <c r="A374">
        <v>373</v>
      </c>
      <c r="B374" t="s">
        <v>1120</v>
      </c>
      <c r="C374" t="s">
        <v>2248</v>
      </c>
      <c r="D374">
        <v>3</v>
      </c>
      <c r="E374">
        <v>53187</v>
      </c>
      <c r="F374">
        <f>messy_order_items_csv[[#This Row],[unit_price]]*messy_order_items_csv[[#This Row],[quantity]]</f>
        <v>159561</v>
      </c>
    </row>
    <row r="375" spans="1:6" x14ac:dyDescent="0.3">
      <c r="A375">
        <v>374</v>
      </c>
      <c r="B375" t="s">
        <v>1052</v>
      </c>
      <c r="C375" t="s">
        <v>2251</v>
      </c>
      <c r="D375">
        <v>1</v>
      </c>
      <c r="E375">
        <v>39900</v>
      </c>
      <c r="F375">
        <f>messy_order_items_csv[[#This Row],[unit_price]]*messy_order_items_csv[[#This Row],[quantity]]</f>
        <v>39900</v>
      </c>
    </row>
    <row r="376" spans="1:6" x14ac:dyDescent="0.3">
      <c r="A376">
        <v>375</v>
      </c>
      <c r="B376" t="s">
        <v>1819</v>
      </c>
      <c r="C376" t="s">
        <v>2226</v>
      </c>
      <c r="E376">
        <v>84776</v>
      </c>
      <c r="F376">
        <f>messy_order_items_csv[[#This Row],[unit_price]]*messy_order_items_csv[[#This Row],[quantity]]</f>
        <v>0</v>
      </c>
    </row>
    <row r="377" spans="1:6" x14ac:dyDescent="0.3">
      <c r="A377">
        <v>376</v>
      </c>
      <c r="B377" t="s">
        <v>2080</v>
      </c>
      <c r="C377" t="s">
        <v>2219</v>
      </c>
      <c r="D377">
        <v>0</v>
      </c>
      <c r="E377">
        <v>31497</v>
      </c>
      <c r="F377">
        <f>messy_order_items_csv[[#This Row],[unit_price]]*messy_order_items_csv[[#This Row],[quantity]]</f>
        <v>0</v>
      </c>
    </row>
    <row r="378" spans="1:6" x14ac:dyDescent="0.3">
      <c r="A378">
        <v>377</v>
      </c>
      <c r="B378" t="s">
        <v>2139</v>
      </c>
      <c r="C378" t="s">
        <v>2229</v>
      </c>
      <c r="E378">
        <v>47676</v>
      </c>
      <c r="F378">
        <f>messy_order_items_csv[[#This Row],[unit_price]]*messy_order_items_csv[[#This Row],[quantity]]</f>
        <v>0</v>
      </c>
    </row>
    <row r="379" spans="1:6" x14ac:dyDescent="0.3">
      <c r="A379">
        <v>378</v>
      </c>
      <c r="B379" t="s">
        <v>1275</v>
      </c>
      <c r="C379" t="s">
        <v>2253</v>
      </c>
      <c r="D379">
        <v>3</v>
      </c>
      <c r="E379">
        <v>68501</v>
      </c>
      <c r="F379">
        <f>messy_order_items_csv[[#This Row],[unit_price]]*messy_order_items_csv[[#This Row],[quantity]]</f>
        <v>205503</v>
      </c>
    </row>
    <row r="380" spans="1:6" x14ac:dyDescent="0.3">
      <c r="A380">
        <v>379</v>
      </c>
      <c r="B380" t="s">
        <v>1314</v>
      </c>
      <c r="C380" t="s">
        <v>2238</v>
      </c>
      <c r="D380">
        <v>0</v>
      </c>
      <c r="E380">
        <v>60638</v>
      </c>
      <c r="F380">
        <f>messy_order_items_csv[[#This Row],[unit_price]]*messy_order_items_csv[[#This Row],[quantity]]</f>
        <v>0</v>
      </c>
    </row>
    <row r="381" spans="1:6" x14ac:dyDescent="0.3">
      <c r="A381">
        <v>380</v>
      </c>
      <c r="B381" t="s">
        <v>1986</v>
      </c>
      <c r="C381" t="s">
        <v>2225</v>
      </c>
      <c r="D381">
        <v>0</v>
      </c>
      <c r="E381">
        <v>74550</v>
      </c>
      <c r="F381">
        <f>messy_order_items_csv[[#This Row],[unit_price]]*messy_order_items_csv[[#This Row],[quantity]]</f>
        <v>0</v>
      </c>
    </row>
    <row r="382" spans="1:6" x14ac:dyDescent="0.3">
      <c r="A382">
        <v>381</v>
      </c>
      <c r="B382" t="s">
        <v>1910</v>
      </c>
      <c r="C382" t="s">
        <v>2195</v>
      </c>
      <c r="D382">
        <v>0</v>
      </c>
      <c r="E382">
        <v>47453</v>
      </c>
      <c r="F382">
        <f>messy_order_items_csv[[#This Row],[unit_price]]*messy_order_items_csv[[#This Row],[quantity]]</f>
        <v>0</v>
      </c>
    </row>
    <row r="383" spans="1:6" x14ac:dyDescent="0.3">
      <c r="A383">
        <v>382</v>
      </c>
      <c r="B383" t="s">
        <v>1544</v>
      </c>
      <c r="C383" t="s">
        <v>2235</v>
      </c>
      <c r="D383">
        <v>2</v>
      </c>
      <c r="E383">
        <v>31497</v>
      </c>
      <c r="F383">
        <f>messy_order_items_csv[[#This Row],[unit_price]]*messy_order_items_csv[[#This Row],[quantity]]</f>
        <v>62994</v>
      </c>
    </row>
    <row r="384" spans="1:6" x14ac:dyDescent="0.3">
      <c r="A384">
        <v>383</v>
      </c>
      <c r="B384" t="s">
        <v>1035</v>
      </c>
      <c r="C384" t="s">
        <v>2243</v>
      </c>
      <c r="D384">
        <v>3</v>
      </c>
      <c r="E384">
        <v>31497</v>
      </c>
      <c r="F384">
        <f>messy_order_items_csv[[#This Row],[unit_price]]*messy_order_items_csv[[#This Row],[quantity]]</f>
        <v>94491</v>
      </c>
    </row>
    <row r="385" spans="1:6" x14ac:dyDescent="0.3">
      <c r="A385">
        <v>384</v>
      </c>
      <c r="B385" t="s">
        <v>1039</v>
      </c>
      <c r="C385" t="s">
        <v>2207</v>
      </c>
      <c r="D385">
        <v>3</v>
      </c>
      <c r="E385">
        <v>31497</v>
      </c>
      <c r="F385">
        <f>messy_order_items_csv[[#This Row],[unit_price]]*messy_order_items_csv[[#This Row],[quantity]]</f>
        <v>94491</v>
      </c>
    </row>
    <row r="386" spans="1:6" x14ac:dyDescent="0.3">
      <c r="A386">
        <v>385</v>
      </c>
      <c r="B386" t="s">
        <v>1092</v>
      </c>
      <c r="C386" t="s">
        <v>2210</v>
      </c>
      <c r="D386">
        <v>3</v>
      </c>
      <c r="E386">
        <v>31497</v>
      </c>
      <c r="F386">
        <f>messy_order_items_csv[[#This Row],[unit_price]]*messy_order_items_csv[[#This Row],[quantity]]</f>
        <v>94491</v>
      </c>
    </row>
    <row r="387" spans="1:6" x14ac:dyDescent="0.3">
      <c r="A387">
        <v>386</v>
      </c>
      <c r="B387" t="s">
        <v>1423</v>
      </c>
      <c r="C387" t="s">
        <v>2216</v>
      </c>
      <c r="D387">
        <v>1</v>
      </c>
      <c r="E387">
        <v>84615</v>
      </c>
      <c r="F387">
        <f>messy_order_items_csv[[#This Row],[unit_price]]*messy_order_items_csv[[#This Row],[quantity]]</f>
        <v>84615</v>
      </c>
    </row>
    <row r="388" spans="1:6" x14ac:dyDescent="0.3">
      <c r="A388">
        <v>387</v>
      </c>
      <c r="B388" t="s">
        <v>1358</v>
      </c>
      <c r="C388" t="s">
        <v>2209</v>
      </c>
      <c r="D388">
        <v>1</v>
      </c>
      <c r="E388">
        <v>13294</v>
      </c>
      <c r="F388">
        <f>messy_order_items_csv[[#This Row],[unit_price]]*messy_order_items_csv[[#This Row],[quantity]]</f>
        <v>13294</v>
      </c>
    </row>
    <row r="389" spans="1:6" x14ac:dyDescent="0.3">
      <c r="A389">
        <v>388</v>
      </c>
      <c r="B389" t="s">
        <v>1056</v>
      </c>
      <c r="C389" t="s">
        <v>2264</v>
      </c>
      <c r="D389">
        <v>3</v>
      </c>
      <c r="E389">
        <v>12365</v>
      </c>
      <c r="F389">
        <f>messy_order_items_csv[[#This Row],[unit_price]]*messy_order_items_csv[[#This Row],[quantity]]</f>
        <v>37095</v>
      </c>
    </row>
    <row r="390" spans="1:6" x14ac:dyDescent="0.3">
      <c r="A390">
        <v>389</v>
      </c>
      <c r="B390" t="s">
        <v>1638</v>
      </c>
      <c r="C390" t="s">
        <v>2255</v>
      </c>
      <c r="D390">
        <v>3</v>
      </c>
      <c r="E390">
        <v>81129</v>
      </c>
      <c r="F390">
        <f>messy_order_items_csv[[#This Row],[unit_price]]*messy_order_items_csv[[#This Row],[quantity]]</f>
        <v>243387</v>
      </c>
    </row>
    <row r="391" spans="1:6" x14ac:dyDescent="0.3">
      <c r="A391">
        <v>390</v>
      </c>
      <c r="B391" t="s">
        <v>1778</v>
      </c>
      <c r="C391" t="s">
        <v>2209</v>
      </c>
      <c r="D391">
        <v>4</v>
      </c>
      <c r="E391">
        <v>82660</v>
      </c>
      <c r="F391">
        <f>messy_order_items_csv[[#This Row],[unit_price]]*messy_order_items_csv[[#This Row],[quantity]]</f>
        <v>330640</v>
      </c>
    </row>
    <row r="392" spans="1:6" x14ac:dyDescent="0.3">
      <c r="A392">
        <v>391</v>
      </c>
      <c r="B392" t="s">
        <v>1173</v>
      </c>
      <c r="C392" t="s">
        <v>2207</v>
      </c>
      <c r="D392">
        <v>2</v>
      </c>
      <c r="E392">
        <v>63332</v>
      </c>
      <c r="F392">
        <f>messy_order_items_csv[[#This Row],[unit_price]]*messy_order_items_csv[[#This Row],[quantity]]</f>
        <v>126664</v>
      </c>
    </row>
    <row r="393" spans="1:6" x14ac:dyDescent="0.3">
      <c r="A393">
        <v>392</v>
      </c>
      <c r="B393" t="s">
        <v>1688</v>
      </c>
      <c r="C393" t="s">
        <v>2235</v>
      </c>
      <c r="D393">
        <v>2</v>
      </c>
      <c r="E393">
        <v>33013</v>
      </c>
      <c r="F393">
        <f>messy_order_items_csv[[#This Row],[unit_price]]*messy_order_items_csv[[#This Row],[quantity]]</f>
        <v>66026</v>
      </c>
    </row>
    <row r="394" spans="1:6" x14ac:dyDescent="0.3">
      <c r="A394">
        <v>393</v>
      </c>
      <c r="B394" t="s">
        <v>2024</v>
      </c>
      <c r="C394" t="s">
        <v>2245</v>
      </c>
      <c r="D394">
        <v>0</v>
      </c>
      <c r="E394">
        <v>70378</v>
      </c>
      <c r="F394">
        <f>messy_order_items_csv[[#This Row],[unit_price]]*messy_order_items_csv[[#This Row],[quantity]]</f>
        <v>0</v>
      </c>
    </row>
    <row r="395" spans="1:6" x14ac:dyDescent="0.3">
      <c r="A395">
        <v>394</v>
      </c>
      <c r="B395" t="s">
        <v>1458</v>
      </c>
      <c r="C395" t="s">
        <v>2236</v>
      </c>
      <c r="D395">
        <v>2</v>
      </c>
      <c r="E395">
        <v>6095</v>
      </c>
      <c r="F395">
        <f>messy_order_items_csv[[#This Row],[unit_price]]*messy_order_items_csv[[#This Row],[quantity]]</f>
        <v>12190</v>
      </c>
    </row>
    <row r="396" spans="1:6" x14ac:dyDescent="0.3">
      <c r="A396">
        <v>395</v>
      </c>
      <c r="B396" t="s">
        <v>1895</v>
      </c>
      <c r="C396" t="s">
        <v>2195</v>
      </c>
      <c r="E396">
        <v>47453</v>
      </c>
      <c r="F396">
        <f>messy_order_items_csv[[#This Row],[unit_price]]*messy_order_items_csv[[#This Row],[quantity]]</f>
        <v>0</v>
      </c>
    </row>
    <row r="397" spans="1:6" x14ac:dyDescent="0.3">
      <c r="A397">
        <v>396</v>
      </c>
      <c r="B397" t="s">
        <v>1455</v>
      </c>
      <c r="C397" t="s">
        <v>2213</v>
      </c>
      <c r="D397">
        <v>0</v>
      </c>
      <c r="E397">
        <v>65775</v>
      </c>
      <c r="F397">
        <f>messy_order_items_csv[[#This Row],[unit_price]]*messy_order_items_csv[[#This Row],[quantity]]</f>
        <v>0</v>
      </c>
    </row>
    <row r="398" spans="1:6" x14ac:dyDescent="0.3">
      <c r="A398">
        <v>397</v>
      </c>
      <c r="B398" t="s">
        <v>1299</v>
      </c>
      <c r="C398" t="s">
        <v>2255</v>
      </c>
      <c r="D398">
        <v>3</v>
      </c>
      <c r="E398">
        <v>81129</v>
      </c>
      <c r="F398">
        <f>messy_order_items_csv[[#This Row],[unit_price]]*messy_order_items_csv[[#This Row],[quantity]]</f>
        <v>243387</v>
      </c>
    </row>
    <row r="399" spans="1:6" x14ac:dyDescent="0.3">
      <c r="A399">
        <v>398</v>
      </c>
      <c r="B399" t="s">
        <v>1428</v>
      </c>
      <c r="C399" t="s">
        <v>2226</v>
      </c>
      <c r="D399">
        <v>0</v>
      </c>
      <c r="E399">
        <v>84776</v>
      </c>
      <c r="F399">
        <f>messy_order_items_csv[[#This Row],[unit_price]]*messy_order_items_csv[[#This Row],[quantity]]</f>
        <v>0</v>
      </c>
    </row>
    <row r="400" spans="1:6" x14ac:dyDescent="0.3">
      <c r="A400">
        <v>399</v>
      </c>
      <c r="B400" t="s">
        <v>1043</v>
      </c>
      <c r="C400" t="s">
        <v>2264</v>
      </c>
      <c r="E400">
        <v>31497</v>
      </c>
      <c r="F400">
        <f>messy_order_items_csv[[#This Row],[unit_price]]*messy_order_items_csv[[#This Row],[quantity]]</f>
        <v>0</v>
      </c>
    </row>
    <row r="401" spans="1:6" x14ac:dyDescent="0.3">
      <c r="A401">
        <v>400</v>
      </c>
      <c r="B401" t="s">
        <v>1896</v>
      </c>
      <c r="C401" t="s">
        <v>2205</v>
      </c>
      <c r="D401">
        <v>0</v>
      </c>
      <c r="E401">
        <v>31497</v>
      </c>
      <c r="F401">
        <f>messy_order_items_csv[[#This Row],[unit_price]]*messy_order_items_csv[[#This Row],[quantity]]</f>
        <v>0</v>
      </c>
    </row>
    <row r="402" spans="1:6" x14ac:dyDescent="0.3">
      <c r="A402">
        <v>401</v>
      </c>
      <c r="B402" t="s">
        <v>1645</v>
      </c>
      <c r="C402" t="s">
        <v>2260</v>
      </c>
      <c r="D402">
        <v>3</v>
      </c>
      <c r="E402">
        <v>31497</v>
      </c>
      <c r="F402">
        <f>messy_order_items_csv[[#This Row],[unit_price]]*messy_order_items_csv[[#This Row],[quantity]]</f>
        <v>94491</v>
      </c>
    </row>
    <row r="403" spans="1:6" x14ac:dyDescent="0.3">
      <c r="A403">
        <v>402</v>
      </c>
      <c r="B403" t="s">
        <v>1265</v>
      </c>
      <c r="C403" t="s">
        <v>2221</v>
      </c>
      <c r="D403">
        <v>2</v>
      </c>
      <c r="E403">
        <v>31497</v>
      </c>
      <c r="F403">
        <f>messy_order_items_csv[[#This Row],[unit_price]]*messy_order_items_csv[[#This Row],[quantity]]</f>
        <v>62994</v>
      </c>
    </row>
    <row r="404" spans="1:6" x14ac:dyDescent="0.3">
      <c r="A404">
        <v>403</v>
      </c>
      <c r="B404" t="s">
        <v>1180</v>
      </c>
      <c r="C404" t="s">
        <v>2206</v>
      </c>
      <c r="D404">
        <v>1</v>
      </c>
      <c r="E404">
        <v>15249</v>
      </c>
      <c r="F404">
        <f>messy_order_items_csv[[#This Row],[unit_price]]*messy_order_items_csv[[#This Row],[quantity]]</f>
        <v>15249</v>
      </c>
    </row>
    <row r="405" spans="1:6" x14ac:dyDescent="0.3">
      <c r="A405">
        <v>404</v>
      </c>
      <c r="B405" t="s">
        <v>1168</v>
      </c>
      <c r="C405" t="s">
        <v>2237</v>
      </c>
      <c r="D405">
        <v>2</v>
      </c>
      <c r="E405">
        <v>61022</v>
      </c>
      <c r="F405">
        <f>messy_order_items_csv[[#This Row],[unit_price]]*messy_order_items_csv[[#This Row],[quantity]]</f>
        <v>122044</v>
      </c>
    </row>
    <row r="406" spans="1:6" x14ac:dyDescent="0.3">
      <c r="A406">
        <v>405</v>
      </c>
      <c r="B406" t="s">
        <v>1412</v>
      </c>
      <c r="C406" t="s">
        <v>2259</v>
      </c>
      <c r="D406">
        <v>3</v>
      </c>
      <c r="E406">
        <v>31497</v>
      </c>
      <c r="F406">
        <f>messy_order_items_csv[[#This Row],[unit_price]]*messy_order_items_csv[[#This Row],[quantity]]</f>
        <v>94491</v>
      </c>
    </row>
    <row r="407" spans="1:6" x14ac:dyDescent="0.3">
      <c r="A407">
        <v>406</v>
      </c>
      <c r="B407" t="s">
        <v>1462</v>
      </c>
      <c r="C407" t="s">
        <v>2202</v>
      </c>
      <c r="D407">
        <v>3</v>
      </c>
      <c r="E407">
        <v>31497</v>
      </c>
      <c r="F407">
        <f>messy_order_items_csv[[#This Row],[unit_price]]*messy_order_items_csv[[#This Row],[quantity]]</f>
        <v>94491</v>
      </c>
    </row>
    <row r="408" spans="1:6" x14ac:dyDescent="0.3">
      <c r="A408">
        <v>407</v>
      </c>
      <c r="B408" t="s">
        <v>2047</v>
      </c>
      <c r="C408" t="s">
        <v>2198</v>
      </c>
      <c r="D408">
        <v>1</v>
      </c>
      <c r="E408">
        <v>65410</v>
      </c>
      <c r="F408">
        <f>messy_order_items_csv[[#This Row],[unit_price]]*messy_order_items_csv[[#This Row],[quantity]]</f>
        <v>65410</v>
      </c>
    </row>
    <row r="409" spans="1:6" x14ac:dyDescent="0.3">
      <c r="A409">
        <v>408</v>
      </c>
      <c r="B409" t="s">
        <v>1471</v>
      </c>
      <c r="C409" t="s">
        <v>2248</v>
      </c>
      <c r="D409">
        <v>2</v>
      </c>
      <c r="E409">
        <v>31497</v>
      </c>
      <c r="F409">
        <f>messy_order_items_csv[[#This Row],[unit_price]]*messy_order_items_csv[[#This Row],[quantity]]</f>
        <v>62994</v>
      </c>
    </row>
    <row r="410" spans="1:6" x14ac:dyDescent="0.3">
      <c r="A410">
        <v>409</v>
      </c>
      <c r="B410" t="s">
        <v>997</v>
      </c>
      <c r="C410" t="s">
        <v>2242</v>
      </c>
      <c r="D410">
        <v>4</v>
      </c>
      <c r="E410">
        <v>31497</v>
      </c>
      <c r="F410">
        <f>messy_order_items_csv[[#This Row],[unit_price]]*messy_order_items_csv[[#This Row],[quantity]]</f>
        <v>125988</v>
      </c>
    </row>
    <row r="411" spans="1:6" x14ac:dyDescent="0.3">
      <c r="A411">
        <v>410</v>
      </c>
      <c r="B411" t="s">
        <v>1034</v>
      </c>
      <c r="C411" t="s">
        <v>2209</v>
      </c>
      <c r="D411">
        <v>2</v>
      </c>
      <c r="E411">
        <v>13294</v>
      </c>
      <c r="F411">
        <f>messy_order_items_csv[[#This Row],[unit_price]]*messy_order_items_csv[[#This Row],[quantity]]</f>
        <v>26588</v>
      </c>
    </row>
    <row r="412" spans="1:6" x14ac:dyDescent="0.3">
      <c r="A412">
        <v>411</v>
      </c>
      <c r="B412" t="s">
        <v>2044</v>
      </c>
      <c r="C412" t="s">
        <v>2207</v>
      </c>
      <c r="D412">
        <v>0</v>
      </c>
      <c r="E412">
        <v>85189</v>
      </c>
      <c r="F412">
        <f>messy_order_items_csv[[#This Row],[unit_price]]*messy_order_items_csv[[#This Row],[quantity]]</f>
        <v>0</v>
      </c>
    </row>
    <row r="413" spans="1:6" x14ac:dyDescent="0.3">
      <c r="A413">
        <v>412</v>
      </c>
      <c r="B413" t="s">
        <v>1630</v>
      </c>
      <c r="C413" t="s">
        <v>2216</v>
      </c>
      <c r="D413">
        <v>0</v>
      </c>
      <c r="E413">
        <v>11246</v>
      </c>
      <c r="F413">
        <f>messy_order_items_csv[[#This Row],[unit_price]]*messy_order_items_csv[[#This Row],[quantity]]</f>
        <v>0</v>
      </c>
    </row>
    <row r="414" spans="1:6" x14ac:dyDescent="0.3">
      <c r="A414">
        <v>413</v>
      </c>
      <c r="B414" t="s">
        <v>1577</v>
      </c>
      <c r="C414" t="s">
        <v>2220</v>
      </c>
      <c r="E414">
        <v>6682</v>
      </c>
      <c r="F414">
        <f>messy_order_items_csv[[#This Row],[unit_price]]*messy_order_items_csv[[#This Row],[quantity]]</f>
        <v>0</v>
      </c>
    </row>
    <row r="415" spans="1:6" x14ac:dyDescent="0.3">
      <c r="A415">
        <v>414</v>
      </c>
      <c r="B415" t="s">
        <v>1745</v>
      </c>
      <c r="C415" t="s">
        <v>2206</v>
      </c>
      <c r="D415">
        <v>4</v>
      </c>
      <c r="E415">
        <v>61671</v>
      </c>
      <c r="F415">
        <f>messy_order_items_csv[[#This Row],[unit_price]]*messy_order_items_csv[[#This Row],[quantity]]</f>
        <v>246684</v>
      </c>
    </row>
    <row r="416" spans="1:6" x14ac:dyDescent="0.3">
      <c r="A416">
        <v>415</v>
      </c>
      <c r="B416" t="s">
        <v>1746</v>
      </c>
      <c r="C416" t="s">
        <v>2238</v>
      </c>
      <c r="D416">
        <v>3</v>
      </c>
      <c r="E416">
        <v>77306</v>
      </c>
      <c r="F416">
        <f>messy_order_items_csv[[#This Row],[unit_price]]*messy_order_items_csv[[#This Row],[quantity]]</f>
        <v>231918</v>
      </c>
    </row>
    <row r="417" spans="1:6" x14ac:dyDescent="0.3">
      <c r="A417">
        <v>416</v>
      </c>
      <c r="B417" t="s">
        <v>1943</v>
      </c>
      <c r="C417" t="s">
        <v>2226</v>
      </c>
      <c r="D417">
        <v>4</v>
      </c>
      <c r="E417">
        <v>84776</v>
      </c>
      <c r="F417">
        <f>messy_order_items_csv[[#This Row],[unit_price]]*messy_order_items_csv[[#This Row],[quantity]]</f>
        <v>339104</v>
      </c>
    </row>
    <row r="418" spans="1:6" x14ac:dyDescent="0.3">
      <c r="A418">
        <v>417</v>
      </c>
      <c r="B418" t="s">
        <v>1542</v>
      </c>
      <c r="C418" t="s">
        <v>2231</v>
      </c>
      <c r="D418">
        <v>3</v>
      </c>
      <c r="E418">
        <v>89775</v>
      </c>
      <c r="F418">
        <f>messy_order_items_csv[[#This Row],[unit_price]]*messy_order_items_csv[[#This Row],[quantity]]</f>
        <v>269325</v>
      </c>
    </row>
    <row r="419" spans="1:6" x14ac:dyDescent="0.3">
      <c r="A419">
        <v>418</v>
      </c>
      <c r="B419" t="s">
        <v>1245</v>
      </c>
      <c r="C419" t="s">
        <v>2226</v>
      </c>
      <c r="D419">
        <v>0</v>
      </c>
      <c r="E419">
        <v>84776</v>
      </c>
      <c r="F419">
        <f>messy_order_items_csv[[#This Row],[unit_price]]*messy_order_items_csv[[#This Row],[quantity]]</f>
        <v>0</v>
      </c>
    </row>
    <row r="420" spans="1:6" x14ac:dyDescent="0.3">
      <c r="A420">
        <v>419</v>
      </c>
      <c r="B420" t="s">
        <v>1010</v>
      </c>
      <c r="C420" t="s">
        <v>2272</v>
      </c>
      <c r="D420">
        <v>0</v>
      </c>
      <c r="E420">
        <v>43027</v>
      </c>
      <c r="F420">
        <f>messy_order_items_csv[[#This Row],[unit_price]]*messy_order_items_csv[[#This Row],[quantity]]</f>
        <v>0</v>
      </c>
    </row>
    <row r="421" spans="1:6" x14ac:dyDescent="0.3">
      <c r="A421">
        <v>420</v>
      </c>
      <c r="B421" t="s">
        <v>2154</v>
      </c>
      <c r="C421" t="s">
        <v>2251</v>
      </c>
      <c r="E421">
        <v>64992</v>
      </c>
      <c r="F421">
        <f>messy_order_items_csv[[#This Row],[unit_price]]*messy_order_items_csv[[#This Row],[quantity]]</f>
        <v>0</v>
      </c>
    </row>
    <row r="422" spans="1:6" x14ac:dyDescent="0.3">
      <c r="A422">
        <v>421</v>
      </c>
      <c r="B422" t="s">
        <v>1567</v>
      </c>
      <c r="C422" t="s">
        <v>2227</v>
      </c>
      <c r="D422">
        <v>0</v>
      </c>
      <c r="E422">
        <v>34177</v>
      </c>
      <c r="F422">
        <f>messy_order_items_csv[[#This Row],[unit_price]]*messy_order_items_csv[[#This Row],[quantity]]</f>
        <v>0</v>
      </c>
    </row>
    <row r="423" spans="1:6" x14ac:dyDescent="0.3">
      <c r="A423">
        <v>422</v>
      </c>
      <c r="B423" t="s">
        <v>1988</v>
      </c>
      <c r="C423" t="s">
        <v>2271</v>
      </c>
      <c r="D423">
        <v>4</v>
      </c>
      <c r="E423">
        <v>75133</v>
      </c>
      <c r="F423">
        <f>messy_order_items_csv[[#This Row],[unit_price]]*messy_order_items_csv[[#This Row],[quantity]]</f>
        <v>300532</v>
      </c>
    </row>
    <row r="424" spans="1:6" x14ac:dyDescent="0.3">
      <c r="A424">
        <v>423</v>
      </c>
      <c r="B424" t="s">
        <v>1469</v>
      </c>
      <c r="C424" t="s">
        <v>2272</v>
      </c>
      <c r="D424">
        <v>1</v>
      </c>
      <c r="E424">
        <v>43027</v>
      </c>
      <c r="F424">
        <f>messy_order_items_csv[[#This Row],[unit_price]]*messy_order_items_csv[[#This Row],[quantity]]</f>
        <v>43027</v>
      </c>
    </row>
    <row r="425" spans="1:6" x14ac:dyDescent="0.3">
      <c r="A425">
        <v>424</v>
      </c>
      <c r="B425" t="s">
        <v>1450</v>
      </c>
      <c r="C425" t="s">
        <v>2240</v>
      </c>
      <c r="D425">
        <v>2</v>
      </c>
      <c r="E425">
        <v>31497</v>
      </c>
      <c r="F425">
        <f>messy_order_items_csv[[#This Row],[unit_price]]*messy_order_items_csv[[#This Row],[quantity]]</f>
        <v>62994</v>
      </c>
    </row>
    <row r="426" spans="1:6" x14ac:dyDescent="0.3">
      <c r="A426">
        <v>425</v>
      </c>
      <c r="B426" t="s">
        <v>2047</v>
      </c>
      <c r="C426" t="s">
        <v>2261</v>
      </c>
      <c r="D426">
        <v>1</v>
      </c>
      <c r="E426">
        <v>84345</v>
      </c>
      <c r="F426">
        <f>messy_order_items_csv[[#This Row],[unit_price]]*messy_order_items_csv[[#This Row],[quantity]]</f>
        <v>84345</v>
      </c>
    </row>
    <row r="427" spans="1:6" x14ac:dyDescent="0.3">
      <c r="A427">
        <v>426</v>
      </c>
      <c r="B427" t="s">
        <v>1586</v>
      </c>
      <c r="C427" t="s">
        <v>2230</v>
      </c>
      <c r="D427">
        <v>4</v>
      </c>
      <c r="E427">
        <v>55174</v>
      </c>
      <c r="F427">
        <f>messy_order_items_csv[[#This Row],[unit_price]]*messy_order_items_csv[[#This Row],[quantity]]</f>
        <v>220696</v>
      </c>
    </row>
    <row r="428" spans="1:6" x14ac:dyDescent="0.3">
      <c r="A428">
        <v>427</v>
      </c>
      <c r="B428" t="s">
        <v>1600</v>
      </c>
      <c r="C428" t="s">
        <v>2268</v>
      </c>
      <c r="D428">
        <v>4</v>
      </c>
      <c r="E428">
        <v>28151</v>
      </c>
      <c r="F428">
        <f>messy_order_items_csv[[#This Row],[unit_price]]*messy_order_items_csv[[#This Row],[quantity]]</f>
        <v>112604</v>
      </c>
    </row>
    <row r="429" spans="1:6" x14ac:dyDescent="0.3">
      <c r="A429">
        <v>428</v>
      </c>
      <c r="B429" t="s">
        <v>1564</v>
      </c>
      <c r="C429" t="s">
        <v>2212</v>
      </c>
      <c r="D429">
        <v>1</v>
      </c>
      <c r="E429">
        <v>58364</v>
      </c>
      <c r="F429">
        <f>messy_order_items_csv[[#This Row],[unit_price]]*messy_order_items_csv[[#This Row],[quantity]]</f>
        <v>58364</v>
      </c>
    </row>
    <row r="430" spans="1:6" x14ac:dyDescent="0.3">
      <c r="A430">
        <v>429</v>
      </c>
      <c r="B430" t="s">
        <v>1509</v>
      </c>
      <c r="C430" t="s">
        <v>2225</v>
      </c>
      <c r="D430">
        <v>0</v>
      </c>
      <c r="E430">
        <v>18830</v>
      </c>
      <c r="F430">
        <f>messy_order_items_csv[[#This Row],[unit_price]]*messy_order_items_csv[[#This Row],[quantity]]</f>
        <v>0</v>
      </c>
    </row>
    <row r="431" spans="1:6" x14ac:dyDescent="0.3">
      <c r="A431">
        <v>430</v>
      </c>
      <c r="B431" t="s">
        <v>1373</v>
      </c>
      <c r="C431" t="s">
        <v>2221</v>
      </c>
      <c r="D431">
        <v>2</v>
      </c>
      <c r="E431">
        <v>20031</v>
      </c>
      <c r="F431">
        <f>messy_order_items_csv[[#This Row],[unit_price]]*messy_order_items_csv[[#This Row],[quantity]]</f>
        <v>40062</v>
      </c>
    </row>
    <row r="432" spans="1:6" x14ac:dyDescent="0.3">
      <c r="A432">
        <v>431</v>
      </c>
      <c r="B432" t="s">
        <v>1202</v>
      </c>
      <c r="C432" t="s">
        <v>2230</v>
      </c>
      <c r="E432">
        <v>56043</v>
      </c>
      <c r="F432">
        <f>messy_order_items_csv[[#This Row],[unit_price]]*messy_order_items_csv[[#This Row],[quantity]]</f>
        <v>0</v>
      </c>
    </row>
    <row r="433" spans="1:6" x14ac:dyDescent="0.3">
      <c r="A433">
        <v>432</v>
      </c>
      <c r="B433" t="s">
        <v>1168</v>
      </c>
      <c r="C433" t="s">
        <v>2238</v>
      </c>
      <c r="D433">
        <v>1</v>
      </c>
      <c r="E433">
        <v>77306</v>
      </c>
      <c r="F433">
        <f>messy_order_items_csv[[#This Row],[unit_price]]*messy_order_items_csv[[#This Row],[quantity]]</f>
        <v>77306</v>
      </c>
    </row>
    <row r="434" spans="1:6" x14ac:dyDescent="0.3">
      <c r="A434">
        <v>433</v>
      </c>
      <c r="B434" t="s">
        <v>1145</v>
      </c>
      <c r="C434" t="s">
        <v>2242</v>
      </c>
      <c r="D434">
        <v>0</v>
      </c>
      <c r="E434">
        <v>31497</v>
      </c>
      <c r="F434">
        <f>messy_order_items_csv[[#This Row],[unit_price]]*messy_order_items_csv[[#This Row],[quantity]]</f>
        <v>0</v>
      </c>
    </row>
    <row r="435" spans="1:6" x14ac:dyDescent="0.3">
      <c r="A435">
        <v>434</v>
      </c>
      <c r="B435" t="s">
        <v>1582</v>
      </c>
      <c r="C435" t="s">
        <v>2210</v>
      </c>
      <c r="E435">
        <v>31497</v>
      </c>
      <c r="F435">
        <f>messy_order_items_csv[[#This Row],[unit_price]]*messy_order_items_csv[[#This Row],[quantity]]</f>
        <v>0</v>
      </c>
    </row>
    <row r="436" spans="1:6" x14ac:dyDescent="0.3">
      <c r="A436">
        <v>435</v>
      </c>
      <c r="B436" t="s">
        <v>1513</v>
      </c>
      <c r="C436" t="s">
        <v>2214</v>
      </c>
      <c r="D436">
        <v>2</v>
      </c>
      <c r="E436">
        <v>31497</v>
      </c>
      <c r="F436">
        <f>messy_order_items_csv[[#This Row],[unit_price]]*messy_order_items_csv[[#This Row],[quantity]]</f>
        <v>62994</v>
      </c>
    </row>
    <row r="437" spans="1:6" x14ac:dyDescent="0.3">
      <c r="A437">
        <v>436</v>
      </c>
      <c r="B437" t="s">
        <v>1376</v>
      </c>
      <c r="C437" t="s">
        <v>2241</v>
      </c>
      <c r="D437">
        <v>3</v>
      </c>
      <c r="E437">
        <v>31320</v>
      </c>
      <c r="F437">
        <f>messy_order_items_csv[[#This Row],[unit_price]]*messy_order_items_csv[[#This Row],[quantity]]</f>
        <v>93960</v>
      </c>
    </row>
    <row r="438" spans="1:6" x14ac:dyDescent="0.3">
      <c r="A438">
        <v>437</v>
      </c>
      <c r="B438" t="s">
        <v>2061</v>
      </c>
      <c r="C438" t="s">
        <v>2217</v>
      </c>
      <c r="D438">
        <v>1</v>
      </c>
      <c r="E438">
        <v>7170</v>
      </c>
      <c r="F438">
        <f>messy_order_items_csv[[#This Row],[unit_price]]*messy_order_items_csv[[#This Row],[quantity]]</f>
        <v>7170</v>
      </c>
    </row>
    <row r="439" spans="1:6" x14ac:dyDescent="0.3">
      <c r="A439">
        <v>438</v>
      </c>
      <c r="B439" t="s">
        <v>1481</v>
      </c>
      <c r="C439" t="s">
        <v>2252</v>
      </c>
      <c r="D439">
        <v>1</v>
      </c>
      <c r="E439">
        <v>13134</v>
      </c>
      <c r="F439">
        <f>messy_order_items_csv[[#This Row],[unit_price]]*messy_order_items_csv[[#This Row],[quantity]]</f>
        <v>13134</v>
      </c>
    </row>
    <row r="440" spans="1:6" x14ac:dyDescent="0.3">
      <c r="A440">
        <v>439</v>
      </c>
      <c r="B440" t="s">
        <v>1713</v>
      </c>
      <c r="C440" t="s">
        <v>2202</v>
      </c>
      <c r="D440">
        <v>0</v>
      </c>
      <c r="E440">
        <v>28649</v>
      </c>
      <c r="F440">
        <f>messy_order_items_csv[[#This Row],[unit_price]]*messy_order_items_csv[[#This Row],[quantity]]</f>
        <v>0</v>
      </c>
    </row>
    <row r="441" spans="1:6" x14ac:dyDescent="0.3">
      <c r="A441">
        <v>440</v>
      </c>
      <c r="B441" t="s">
        <v>1554</v>
      </c>
      <c r="C441" t="s">
        <v>2253</v>
      </c>
      <c r="D441">
        <v>0</v>
      </c>
      <c r="E441">
        <v>69520</v>
      </c>
      <c r="F441">
        <f>messy_order_items_csv[[#This Row],[unit_price]]*messy_order_items_csv[[#This Row],[quantity]]</f>
        <v>0</v>
      </c>
    </row>
    <row r="442" spans="1:6" x14ac:dyDescent="0.3">
      <c r="A442">
        <v>441</v>
      </c>
      <c r="B442" t="s">
        <v>1945</v>
      </c>
      <c r="C442" t="s">
        <v>2261</v>
      </c>
      <c r="E442">
        <v>79031</v>
      </c>
      <c r="F442">
        <f>messy_order_items_csv[[#This Row],[unit_price]]*messy_order_items_csv[[#This Row],[quantity]]</f>
        <v>0</v>
      </c>
    </row>
    <row r="443" spans="1:6" x14ac:dyDescent="0.3">
      <c r="A443">
        <v>442</v>
      </c>
      <c r="B443" t="s">
        <v>2183</v>
      </c>
      <c r="C443" t="s">
        <v>2267</v>
      </c>
      <c r="D443">
        <v>2</v>
      </c>
      <c r="E443">
        <v>6562</v>
      </c>
      <c r="F443">
        <f>messy_order_items_csv[[#This Row],[unit_price]]*messy_order_items_csv[[#This Row],[quantity]]</f>
        <v>13124</v>
      </c>
    </row>
    <row r="444" spans="1:6" x14ac:dyDescent="0.3">
      <c r="A444">
        <v>443</v>
      </c>
      <c r="B444" t="s">
        <v>1030</v>
      </c>
      <c r="C444" t="s">
        <v>2207</v>
      </c>
      <c r="D444">
        <v>2</v>
      </c>
      <c r="E444">
        <v>31497</v>
      </c>
      <c r="F444">
        <f>messy_order_items_csv[[#This Row],[unit_price]]*messy_order_items_csv[[#This Row],[quantity]]</f>
        <v>62994</v>
      </c>
    </row>
    <row r="445" spans="1:6" x14ac:dyDescent="0.3">
      <c r="A445">
        <v>444</v>
      </c>
      <c r="B445" t="s">
        <v>1108</v>
      </c>
      <c r="C445" t="s">
        <v>2231</v>
      </c>
      <c r="D445">
        <v>4</v>
      </c>
      <c r="E445">
        <v>40595</v>
      </c>
      <c r="F445">
        <f>messy_order_items_csv[[#This Row],[unit_price]]*messy_order_items_csv[[#This Row],[quantity]]</f>
        <v>162380</v>
      </c>
    </row>
    <row r="446" spans="1:6" x14ac:dyDescent="0.3">
      <c r="A446">
        <v>445</v>
      </c>
      <c r="B446" t="s">
        <v>1240</v>
      </c>
      <c r="C446" t="s">
        <v>2235</v>
      </c>
      <c r="D446">
        <v>0</v>
      </c>
      <c r="E446">
        <v>31497</v>
      </c>
      <c r="F446">
        <f>messy_order_items_csv[[#This Row],[unit_price]]*messy_order_items_csv[[#This Row],[quantity]]</f>
        <v>0</v>
      </c>
    </row>
    <row r="447" spans="1:6" x14ac:dyDescent="0.3">
      <c r="A447">
        <v>446</v>
      </c>
      <c r="B447" t="s">
        <v>2035</v>
      </c>
      <c r="C447" t="s">
        <v>2196</v>
      </c>
      <c r="D447">
        <v>0</v>
      </c>
      <c r="E447">
        <v>7238</v>
      </c>
      <c r="F447">
        <f>messy_order_items_csv[[#This Row],[unit_price]]*messy_order_items_csv[[#This Row],[quantity]]</f>
        <v>0</v>
      </c>
    </row>
    <row r="448" spans="1:6" x14ac:dyDescent="0.3">
      <c r="A448">
        <v>447</v>
      </c>
      <c r="B448" t="s">
        <v>2047</v>
      </c>
      <c r="C448" t="s">
        <v>2206</v>
      </c>
      <c r="D448">
        <v>1</v>
      </c>
      <c r="E448">
        <v>65737</v>
      </c>
      <c r="F448">
        <f>messy_order_items_csv[[#This Row],[unit_price]]*messy_order_items_csv[[#This Row],[quantity]]</f>
        <v>65737</v>
      </c>
    </row>
    <row r="449" spans="1:6" x14ac:dyDescent="0.3">
      <c r="A449">
        <v>448</v>
      </c>
      <c r="B449" t="s">
        <v>1344</v>
      </c>
      <c r="C449" t="s">
        <v>2256</v>
      </c>
      <c r="D449">
        <v>1</v>
      </c>
      <c r="E449">
        <v>17905</v>
      </c>
      <c r="F449">
        <f>messy_order_items_csv[[#This Row],[unit_price]]*messy_order_items_csv[[#This Row],[quantity]]</f>
        <v>17905</v>
      </c>
    </row>
    <row r="450" spans="1:6" x14ac:dyDescent="0.3">
      <c r="A450">
        <v>449</v>
      </c>
      <c r="B450" t="s">
        <v>1211</v>
      </c>
      <c r="C450" t="s">
        <v>2264</v>
      </c>
      <c r="D450">
        <v>0</v>
      </c>
      <c r="E450">
        <v>31497</v>
      </c>
      <c r="F450">
        <f>messy_order_items_csv[[#This Row],[unit_price]]*messy_order_items_csv[[#This Row],[quantity]]</f>
        <v>0</v>
      </c>
    </row>
    <row r="451" spans="1:6" x14ac:dyDescent="0.3">
      <c r="A451">
        <v>450</v>
      </c>
      <c r="B451" t="s">
        <v>1986</v>
      </c>
      <c r="C451" t="s">
        <v>2243</v>
      </c>
      <c r="D451">
        <v>2</v>
      </c>
      <c r="E451">
        <v>74529</v>
      </c>
      <c r="F451">
        <f>messy_order_items_csv[[#This Row],[unit_price]]*messy_order_items_csv[[#This Row],[quantity]]</f>
        <v>149058</v>
      </c>
    </row>
    <row r="452" spans="1:6" x14ac:dyDescent="0.3">
      <c r="A452">
        <v>451</v>
      </c>
      <c r="B452" t="s">
        <v>1637</v>
      </c>
      <c r="C452" t="s">
        <v>2214</v>
      </c>
      <c r="D452">
        <v>4</v>
      </c>
      <c r="E452">
        <v>20321</v>
      </c>
      <c r="F452">
        <f>messy_order_items_csv[[#This Row],[unit_price]]*messy_order_items_csv[[#This Row],[quantity]]</f>
        <v>81284</v>
      </c>
    </row>
    <row r="453" spans="1:6" x14ac:dyDescent="0.3">
      <c r="A453">
        <v>452</v>
      </c>
      <c r="B453" t="s">
        <v>2079</v>
      </c>
      <c r="C453" t="s">
        <v>2263</v>
      </c>
      <c r="D453">
        <v>3</v>
      </c>
      <c r="E453">
        <v>31497</v>
      </c>
      <c r="F453">
        <f>messy_order_items_csv[[#This Row],[unit_price]]*messy_order_items_csv[[#This Row],[quantity]]</f>
        <v>94491</v>
      </c>
    </row>
    <row r="454" spans="1:6" x14ac:dyDescent="0.3">
      <c r="A454">
        <v>453</v>
      </c>
      <c r="B454" t="s">
        <v>1745</v>
      </c>
      <c r="C454" t="s">
        <v>2254</v>
      </c>
      <c r="D454">
        <v>1</v>
      </c>
      <c r="E454">
        <v>27615</v>
      </c>
      <c r="F454">
        <f>messy_order_items_csv[[#This Row],[unit_price]]*messy_order_items_csv[[#This Row],[quantity]]</f>
        <v>27615</v>
      </c>
    </row>
    <row r="455" spans="1:6" x14ac:dyDescent="0.3">
      <c r="A455">
        <v>454</v>
      </c>
      <c r="B455" t="s">
        <v>1769</v>
      </c>
      <c r="C455" t="s">
        <v>2262</v>
      </c>
      <c r="D455">
        <v>4</v>
      </c>
      <c r="E455">
        <v>18522</v>
      </c>
      <c r="F455">
        <f>messy_order_items_csv[[#This Row],[unit_price]]*messy_order_items_csv[[#This Row],[quantity]]</f>
        <v>74088</v>
      </c>
    </row>
    <row r="456" spans="1:6" x14ac:dyDescent="0.3">
      <c r="A456">
        <v>455</v>
      </c>
      <c r="B456" t="s">
        <v>1635</v>
      </c>
      <c r="C456" t="s">
        <v>2206</v>
      </c>
      <c r="D456">
        <v>1</v>
      </c>
      <c r="E456">
        <v>15249</v>
      </c>
      <c r="F456">
        <f>messy_order_items_csv[[#This Row],[unit_price]]*messy_order_items_csv[[#This Row],[quantity]]</f>
        <v>15249</v>
      </c>
    </row>
    <row r="457" spans="1:6" x14ac:dyDescent="0.3">
      <c r="A457">
        <v>456</v>
      </c>
      <c r="B457" t="s">
        <v>2027</v>
      </c>
      <c r="C457" t="s">
        <v>2273</v>
      </c>
      <c r="E457">
        <v>31497</v>
      </c>
      <c r="F457">
        <f>messy_order_items_csv[[#This Row],[unit_price]]*messy_order_items_csv[[#This Row],[quantity]]</f>
        <v>0</v>
      </c>
    </row>
    <row r="458" spans="1:6" x14ac:dyDescent="0.3">
      <c r="A458">
        <v>457</v>
      </c>
      <c r="B458" t="s">
        <v>2115</v>
      </c>
      <c r="C458" t="s">
        <v>2197</v>
      </c>
      <c r="D458">
        <v>0</v>
      </c>
      <c r="E458">
        <v>38475</v>
      </c>
      <c r="F458">
        <f>messy_order_items_csv[[#This Row],[unit_price]]*messy_order_items_csv[[#This Row],[quantity]]</f>
        <v>0</v>
      </c>
    </row>
    <row r="459" spans="1:6" x14ac:dyDescent="0.3">
      <c r="A459">
        <v>458</v>
      </c>
      <c r="B459" t="s">
        <v>1990</v>
      </c>
      <c r="C459" t="s">
        <v>2225</v>
      </c>
      <c r="D459">
        <v>3</v>
      </c>
      <c r="E459">
        <v>31497</v>
      </c>
      <c r="F459">
        <f>messy_order_items_csv[[#This Row],[unit_price]]*messy_order_items_csv[[#This Row],[quantity]]</f>
        <v>94491</v>
      </c>
    </row>
    <row r="460" spans="1:6" x14ac:dyDescent="0.3">
      <c r="A460">
        <v>459</v>
      </c>
      <c r="B460" t="s">
        <v>1123</v>
      </c>
      <c r="C460" t="s">
        <v>2204</v>
      </c>
      <c r="D460">
        <v>2</v>
      </c>
      <c r="E460">
        <v>59761</v>
      </c>
      <c r="F460">
        <f>messy_order_items_csv[[#This Row],[unit_price]]*messy_order_items_csv[[#This Row],[quantity]]</f>
        <v>119522</v>
      </c>
    </row>
    <row r="461" spans="1:6" x14ac:dyDescent="0.3">
      <c r="A461">
        <v>460</v>
      </c>
      <c r="B461" t="s">
        <v>1344</v>
      </c>
      <c r="C461" t="s">
        <v>2195</v>
      </c>
      <c r="D461">
        <v>4</v>
      </c>
      <c r="E461">
        <v>59239</v>
      </c>
      <c r="F461">
        <f>messy_order_items_csv[[#This Row],[unit_price]]*messy_order_items_csv[[#This Row],[quantity]]</f>
        <v>236956</v>
      </c>
    </row>
    <row r="462" spans="1:6" x14ac:dyDescent="0.3">
      <c r="A462">
        <v>461</v>
      </c>
      <c r="B462" t="s">
        <v>2097</v>
      </c>
      <c r="C462" t="s">
        <v>2203</v>
      </c>
      <c r="D462">
        <v>2</v>
      </c>
      <c r="E462">
        <v>25406</v>
      </c>
      <c r="F462">
        <f>messy_order_items_csv[[#This Row],[unit_price]]*messy_order_items_csv[[#This Row],[quantity]]</f>
        <v>50812</v>
      </c>
    </row>
    <row r="463" spans="1:6" x14ac:dyDescent="0.3">
      <c r="A463">
        <v>462</v>
      </c>
      <c r="B463" t="s">
        <v>1355</v>
      </c>
      <c r="C463" t="s">
        <v>2203</v>
      </c>
      <c r="D463">
        <v>3</v>
      </c>
      <c r="E463">
        <v>78823</v>
      </c>
      <c r="F463">
        <f>messy_order_items_csv[[#This Row],[unit_price]]*messy_order_items_csv[[#This Row],[quantity]]</f>
        <v>236469</v>
      </c>
    </row>
    <row r="464" spans="1:6" x14ac:dyDescent="0.3">
      <c r="A464">
        <v>463</v>
      </c>
      <c r="B464" t="s">
        <v>1013</v>
      </c>
      <c r="C464" t="s">
        <v>2261</v>
      </c>
      <c r="D464">
        <v>1</v>
      </c>
      <c r="E464">
        <v>31497</v>
      </c>
      <c r="F464">
        <f>messy_order_items_csv[[#This Row],[unit_price]]*messy_order_items_csv[[#This Row],[quantity]]</f>
        <v>31497</v>
      </c>
    </row>
    <row r="465" spans="1:6" x14ac:dyDescent="0.3">
      <c r="A465">
        <v>464</v>
      </c>
      <c r="B465" t="s">
        <v>1630</v>
      </c>
      <c r="C465" t="s">
        <v>2265</v>
      </c>
      <c r="D465">
        <v>0</v>
      </c>
      <c r="E465">
        <v>59337</v>
      </c>
      <c r="F465">
        <f>messy_order_items_csv[[#This Row],[unit_price]]*messy_order_items_csv[[#This Row],[quantity]]</f>
        <v>0</v>
      </c>
    </row>
    <row r="466" spans="1:6" x14ac:dyDescent="0.3">
      <c r="A466">
        <v>465</v>
      </c>
      <c r="B466" t="s">
        <v>1612</v>
      </c>
      <c r="C466" t="s">
        <v>2249</v>
      </c>
      <c r="D466">
        <v>2</v>
      </c>
      <c r="E466">
        <v>31497</v>
      </c>
      <c r="F466">
        <f>messy_order_items_csv[[#This Row],[unit_price]]*messy_order_items_csv[[#This Row],[quantity]]</f>
        <v>62994</v>
      </c>
    </row>
    <row r="467" spans="1:6" x14ac:dyDescent="0.3">
      <c r="A467">
        <v>466</v>
      </c>
      <c r="B467" t="s">
        <v>1989</v>
      </c>
      <c r="C467" t="s">
        <v>2222</v>
      </c>
      <c r="D467">
        <v>4</v>
      </c>
      <c r="E467">
        <v>34450</v>
      </c>
      <c r="F467">
        <f>messy_order_items_csv[[#This Row],[unit_price]]*messy_order_items_csv[[#This Row],[quantity]]</f>
        <v>137800</v>
      </c>
    </row>
    <row r="468" spans="1:6" x14ac:dyDescent="0.3">
      <c r="A468">
        <v>467</v>
      </c>
      <c r="B468" t="s">
        <v>1150</v>
      </c>
      <c r="C468" t="s">
        <v>2206</v>
      </c>
      <c r="D468">
        <v>2</v>
      </c>
      <c r="E468">
        <v>58608</v>
      </c>
      <c r="F468">
        <f>messy_order_items_csv[[#This Row],[unit_price]]*messy_order_items_csv[[#This Row],[quantity]]</f>
        <v>117216</v>
      </c>
    </row>
    <row r="469" spans="1:6" x14ac:dyDescent="0.3">
      <c r="A469">
        <v>468</v>
      </c>
      <c r="B469" t="s">
        <v>2079</v>
      </c>
      <c r="C469" t="s">
        <v>2234</v>
      </c>
      <c r="E469">
        <v>31497</v>
      </c>
      <c r="F469">
        <f>messy_order_items_csv[[#This Row],[unit_price]]*messy_order_items_csv[[#This Row],[quantity]]</f>
        <v>0</v>
      </c>
    </row>
    <row r="470" spans="1:6" x14ac:dyDescent="0.3">
      <c r="A470">
        <v>469</v>
      </c>
      <c r="B470" t="s">
        <v>1077</v>
      </c>
      <c r="C470" t="s">
        <v>2254</v>
      </c>
      <c r="E470">
        <v>24826</v>
      </c>
      <c r="F470">
        <f>messy_order_items_csv[[#This Row],[unit_price]]*messy_order_items_csv[[#This Row],[quantity]]</f>
        <v>0</v>
      </c>
    </row>
    <row r="471" spans="1:6" x14ac:dyDescent="0.3">
      <c r="A471">
        <v>470</v>
      </c>
      <c r="B471" t="s">
        <v>1980</v>
      </c>
      <c r="C471" t="s">
        <v>2265</v>
      </c>
      <c r="D471">
        <v>3</v>
      </c>
      <c r="E471">
        <v>70582</v>
      </c>
      <c r="F471">
        <f>messy_order_items_csv[[#This Row],[unit_price]]*messy_order_items_csv[[#This Row],[quantity]]</f>
        <v>211746</v>
      </c>
    </row>
    <row r="472" spans="1:6" x14ac:dyDescent="0.3">
      <c r="A472">
        <v>471</v>
      </c>
      <c r="B472" t="s">
        <v>1672</v>
      </c>
      <c r="C472" t="s">
        <v>2203</v>
      </c>
      <c r="D472">
        <v>3</v>
      </c>
      <c r="E472">
        <v>76755</v>
      </c>
      <c r="F472">
        <f>messy_order_items_csv[[#This Row],[unit_price]]*messy_order_items_csv[[#This Row],[quantity]]</f>
        <v>230265</v>
      </c>
    </row>
    <row r="473" spans="1:6" x14ac:dyDescent="0.3">
      <c r="A473">
        <v>472</v>
      </c>
      <c r="B473" t="s">
        <v>1621</v>
      </c>
      <c r="C473" t="s">
        <v>2202</v>
      </c>
      <c r="E473">
        <v>31497</v>
      </c>
      <c r="F473">
        <f>messy_order_items_csv[[#This Row],[unit_price]]*messy_order_items_csv[[#This Row],[quantity]]</f>
        <v>0</v>
      </c>
    </row>
    <row r="474" spans="1:6" x14ac:dyDescent="0.3">
      <c r="A474">
        <v>473</v>
      </c>
      <c r="B474" t="s">
        <v>2153</v>
      </c>
      <c r="C474" t="s">
        <v>2269</v>
      </c>
      <c r="D474">
        <v>1</v>
      </c>
      <c r="E474">
        <v>41597</v>
      </c>
      <c r="F474">
        <f>messy_order_items_csv[[#This Row],[unit_price]]*messy_order_items_csv[[#This Row],[quantity]]</f>
        <v>41597</v>
      </c>
    </row>
    <row r="475" spans="1:6" x14ac:dyDescent="0.3">
      <c r="A475">
        <v>474</v>
      </c>
      <c r="B475" t="s">
        <v>2168</v>
      </c>
      <c r="C475" t="s">
        <v>2204</v>
      </c>
      <c r="D475">
        <v>3</v>
      </c>
      <c r="E475">
        <v>31497</v>
      </c>
      <c r="F475">
        <f>messy_order_items_csv[[#This Row],[unit_price]]*messy_order_items_csv[[#This Row],[quantity]]</f>
        <v>94491</v>
      </c>
    </row>
    <row r="476" spans="1:6" x14ac:dyDescent="0.3">
      <c r="A476">
        <v>475</v>
      </c>
      <c r="B476" t="s">
        <v>1897</v>
      </c>
      <c r="C476" t="s">
        <v>2210</v>
      </c>
      <c r="D476">
        <v>3</v>
      </c>
      <c r="E476">
        <v>34379</v>
      </c>
      <c r="F476">
        <f>messy_order_items_csv[[#This Row],[unit_price]]*messy_order_items_csv[[#This Row],[quantity]]</f>
        <v>103137</v>
      </c>
    </row>
    <row r="477" spans="1:6" x14ac:dyDescent="0.3">
      <c r="A477">
        <v>476</v>
      </c>
      <c r="B477" t="s">
        <v>1200</v>
      </c>
      <c r="C477" t="s">
        <v>2269</v>
      </c>
      <c r="D477">
        <v>0</v>
      </c>
      <c r="E477">
        <v>21450</v>
      </c>
      <c r="F477">
        <f>messy_order_items_csv[[#This Row],[unit_price]]*messy_order_items_csv[[#This Row],[quantity]]</f>
        <v>0</v>
      </c>
    </row>
    <row r="478" spans="1:6" x14ac:dyDescent="0.3">
      <c r="A478">
        <v>477</v>
      </c>
      <c r="B478" t="s">
        <v>1195</v>
      </c>
      <c r="C478" t="s">
        <v>2263</v>
      </c>
      <c r="D478">
        <v>0</v>
      </c>
      <c r="E478">
        <v>31497</v>
      </c>
      <c r="F478">
        <f>messy_order_items_csv[[#This Row],[unit_price]]*messy_order_items_csv[[#This Row],[quantity]]</f>
        <v>0</v>
      </c>
    </row>
    <row r="479" spans="1:6" x14ac:dyDescent="0.3">
      <c r="A479">
        <v>478</v>
      </c>
      <c r="B479" t="s">
        <v>2156</v>
      </c>
      <c r="C479" t="s">
        <v>2245</v>
      </c>
      <c r="D479">
        <v>2</v>
      </c>
      <c r="E479">
        <v>70378</v>
      </c>
      <c r="F479">
        <f>messy_order_items_csv[[#This Row],[unit_price]]*messy_order_items_csv[[#This Row],[quantity]]</f>
        <v>140756</v>
      </c>
    </row>
    <row r="480" spans="1:6" x14ac:dyDescent="0.3">
      <c r="A480">
        <v>479</v>
      </c>
      <c r="B480" t="s">
        <v>1164</v>
      </c>
      <c r="C480" t="s">
        <v>2254</v>
      </c>
      <c r="D480">
        <v>2</v>
      </c>
      <c r="E480">
        <v>29009</v>
      </c>
      <c r="F480">
        <f>messy_order_items_csv[[#This Row],[unit_price]]*messy_order_items_csv[[#This Row],[quantity]]</f>
        <v>58018</v>
      </c>
    </row>
    <row r="481" spans="1:6" x14ac:dyDescent="0.3">
      <c r="A481">
        <v>480</v>
      </c>
      <c r="B481" t="s">
        <v>993</v>
      </c>
      <c r="C481" t="s">
        <v>2200</v>
      </c>
      <c r="D481">
        <v>4</v>
      </c>
      <c r="E481">
        <v>40971</v>
      </c>
      <c r="F481">
        <f>messy_order_items_csv[[#This Row],[unit_price]]*messy_order_items_csv[[#This Row],[quantity]]</f>
        <v>163884</v>
      </c>
    </row>
    <row r="482" spans="1:6" x14ac:dyDescent="0.3">
      <c r="A482">
        <v>481</v>
      </c>
      <c r="B482" t="s">
        <v>1768</v>
      </c>
      <c r="C482" t="s">
        <v>2267</v>
      </c>
      <c r="D482">
        <v>4</v>
      </c>
      <c r="E482">
        <v>21285</v>
      </c>
      <c r="F482">
        <f>messy_order_items_csv[[#This Row],[unit_price]]*messy_order_items_csv[[#This Row],[quantity]]</f>
        <v>85140</v>
      </c>
    </row>
    <row r="483" spans="1:6" x14ac:dyDescent="0.3">
      <c r="A483">
        <v>482</v>
      </c>
      <c r="B483" t="s">
        <v>2180</v>
      </c>
      <c r="C483" t="s">
        <v>2197</v>
      </c>
      <c r="D483">
        <v>4</v>
      </c>
      <c r="E483">
        <v>85492</v>
      </c>
      <c r="F483">
        <f>messy_order_items_csv[[#This Row],[unit_price]]*messy_order_items_csv[[#This Row],[quantity]]</f>
        <v>341968</v>
      </c>
    </row>
    <row r="484" spans="1:6" x14ac:dyDescent="0.3">
      <c r="A484">
        <v>483</v>
      </c>
      <c r="B484" t="s">
        <v>1772</v>
      </c>
      <c r="C484" t="s">
        <v>2200</v>
      </c>
      <c r="E484">
        <v>31497</v>
      </c>
      <c r="F484">
        <f>messy_order_items_csv[[#This Row],[unit_price]]*messy_order_items_csv[[#This Row],[quantity]]</f>
        <v>0</v>
      </c>
    </row>
    <row r="485" spans="1:6" x14ac:dyDescent="0.3">
      <c r="A485">
        <v>484</v>
      </c>
      <c r="B485" t="s">
        <v>1279</v>
      </c>
      <c r="C485" t="s">
        <v>2237</v>
      </c>
      <c r="D485">
        <v>3</v>
      </c>
      <c r="E485">
        <v>61022</v>
      </c>
      <c r="F485">
        <f>messy_order_items_csv[[#This Row],[unit_price]]*messy_order_items_csv[[#This Row],[quantity]]</f>
        <v>183066</v>
      </c>
    </row>
    <row r="486" spans="1:6" x14ac:dyDescent="0.3">
      <c r="A486">
        <v>485</v>
      </c>
      <c r="B486" t="s">
        <v>2167</v>
      </c>
      <c r="C486" t="s">
        <v>2216</v>
      </c>
      <c r="D486">
        <v>0</v>
      </c>
      <c r="E486">
        <v>31497</v>
      </c>
      <c r="F486">
        <f>messy_order_items_csv[[#This Row],[unit_price]]*messy_order_items_csv[[#This Row],[quantity]]</f>
        <v>0</v>
      </c>
    </row>
    <row r="487" spans="1:6" x14ac:dyDescent="0.3">
      <c r="A487">
        <v>486</v>
      </c>
      <c r="B487" t="s">
        <v>1844</v>
      </c>
      <c r="C487" t="s">
        <v>2247</v>
      </c>
      <c r="D487">
        <v>2</v>
      </c>
      <c r="E487">
        <v>85411</v>
      </c>
      <c r="F487">
        <f>messy_order_items_csv[[#This Row],[unit_price]]*messy_order_items_csv[[#This Row],[quantity]]</f>
        <v>170822</v>
      </c>
    </row>
    <row r="488" spans="1:6" x14ac:dyDescent="0.3">
      <c r="A488">
        <v>487</v>
      </c>
      <c r="B488" t="s">
        <v>1932</v>
      </c>
      <c r="C488" t="s">
        <v>2196</v>
      </c>
      <c r="E488">
        <v>31497</v>
      </c>
      <c r="F488">
        <f>messy_order_items_csv[[#This Row],[unit_price]]*messy_order_items_csv[[#This Row],[quantity]]</f>
        <v>0</v>
      </c>
    </row>
    <row r="489" spans="1:6" x14ac:dyDescent="0.3">
      <c r="A489">
        <v>488</v>
      </c>
      <c r="B489" t="s">
        <v>1223</v>
      </c>
      <c r="C489" t="s">
        <v>2225</v>
      </c>
      <c r="D489">
        <v>0</v>
      </c>
      <c r="E489">
        <v>31497</v>
      </c>
      <c r="F489">
        <f>messy_order_items_csv[[#This Row],[unit_price]]*messy_order_items_csv[[#This Row],[quantity]]</f>
        <v>0</v>
      </c>
    </row>
    <row r="490" spans="1:6" x14ac:dyDescent="0.3">
      <c r="A490">
        <v>489</v>
      </c>
      <c r="B490" t="s">
        <v>2013</v>
      </c>
      <c r="C490" t="s">
        <v>2265</v>
      </c>
      <c r="D490">
        <v>3</v>
      </c>
      <c r="E490">
        <v>70582</v>
      </c>
      <c r="F490">
        <f>messy_order_items_csv[[#This Row],[unit_price]]*messy_order_items_csv[[#This Row],[quantity]]</f>
        <v>211746</v>
      </c>
    </row>
    <row r="491" spans="1:6" x14ac:dyDescent="0.3">
      <c r="A491">
        <v>490</v>
      </c>
      <c r="B491" t="s">
        <v>1890</v>
      </c>
      <c r="C491" t="s">
        <v>2220</v>
      </c>
      <c r="D491">
        <v>3</v>
      </c>
      <c r="E491">
        <v>73092</v>
      </c>
      <c r="F491">
        <f>messy_order_items_csv[[#This Row],[unit_price]]*messy_order_items_csv[[#This Row],[quantity]]</f>
        <v>219276</v>
      </c>
    </row>
    <row r="492" spans="1:6" x14ac:dyDescent="0.3">
      <c r="A492">
        <v>491</v>
      </c>
      <c r="B492" t="s">
        <v>1328</v>
      </c>
      <c r="C492" t="s">
        <v>2270</v>
      </c>
      <c r="E492">
        <v>33581</v>
      </c>
      <c r="F492">
        <f>messy_order_items_csv[[#This Row],[unit_price]]*messy_order_items_csv[[#This Row],[quantity]]</f>
        <v>0</v>
      </c>
    </row>
    <row r="493" spans="1:6" x14ac:dyDescent="0.3">
      <c r="A493">
        <v>492</v>
      </c>
      <c r="B493" t="s">
        <v>1596</v>
      </c>
      <c r="C493" t="s">
        <v>2199</v>
      </c>
      <c r="D493">
        <v>3</v>
      </c>
      <c r="E493">
        <v>31497</v>
      </c>
      <c r="F493">
        <f>messy_order_items_csv[[#This Row],[unit_price]]*messy_order_items_csv[[#This Row],[quantity]]</f>
        <v>94491</v>
      </c>
    </row>
    <row r="494" spans="1:6" x14ac:dyDescent="0.3">
      <c r="A494">
        <v>493</v>
      </c>
      <c r="B494" t="s">
        <v>1257</v>
      </c>
      <c r="C494" t="s">
        <v>2195</v>
      </c>
      <c r="D494">
        <v>0</v>
      </c>
      <c r="E494">
        <v>47453</v>
      </c>
      <c r="F494">
        <f>messy_order_items_csv[[#This Row],[unit_price]]*messy_order_items_csv[[#This Row],[quantity]]</f>
        <v>0</v>
      </c>
    </row>
    <row r="495" spans="1:6" x14ac:dyDescent="0.3">
      <c r="A495">
        <v>494</v>
      </c>
      <c r="B495" t="s">
        <v>1861</v>
      </c>
      <c r="C495" t="s">
        <v>2256</v>
      </c>
      <c r="D495">
        <v>1</v>
      </c>
      <c r="E495">
        <v>31497</v>
      </c>
      <c r="F495">
        <f>messy_order_items_csv[[#This Row],[unit_price]]*messy_order_items_csv[[#This Row],[quantity]]</f>
        <v>31497</v>
      </c>
    </row>
    <row r="496" spans="1:6" x14ac:dyDescent="0.3">
      <c r="A496">
        <v>495</v>
      </c>
      <c r="B496" t="s">
        <v>1037</v>
      </c>
      <c r="C496" t="s">
        <v>2266</v>
      </c>
      <c r="D496">
        <v>3</v>
      </c>
      <c r="E496">
        <v>3393</v>
      </c>
      <c r="F496">
        <f>messy_order_items_csv[[#This Row],[unit_price]]*messy_order_items_csv[[#This Row],[quantity]]</f>
        <v>10179</v>
      </c>
    </row>
    <row r="497" spans="1:6" x14ac:dyDescent="0.3">
      <c r="A497">
        <v>496</v>
      </c>
      <c r="B497" t="s">
        <v>2072</v>
      </c>
      <c r="C497" t="s">
        <v>2206</v>
      </c>
      <c r="E497">
        <v>15249</v>
      </c>
      <c r="F497">
        <f>messy_order_items_csv[[#This Row],[unit_price]]*messy_order_items_csv[[#This Row],[quantity]]</f>
        <v>0</v>
      </c>
    </row>
    <row r="498" spans="1:6" x14ac:dyDescent="0.3">
      <c r="A498">
        <v>497</v>
      </c>
      <c r="B498" t="s">
        <v>1494</v>
      </c>
      <c r="C498" t="s">
        <v>2273</v>
      </c>
      <c r="D498">
        <v>4</v>
      </c>
      <c r="E498">
        <v>72340</v>
      </c>
      <c r="F498">
        <f>messy_order_items_csv[[#This Row],[unit_price]]*messy_order_items_csv[[#This Row],[quantity]]</f>
        <v>289360</v>
      </c>
    </row>
    <row r="499" spans="1:6" x14ac:dyDescent="0.3">
      <c r="A499">
        <v>498</v>
      </c>
      <c r="B499" t="s">
        <v>1848</v>
      </c>
      <c r="C499" t="s">
        <v>2242</v>
      </c>
      <c r="D499">
        <v>1</v>
      </c>
      <c r="E499">
        <v>41014</v>
      </c>
      <c r="F499">
        <f>messy_order_items_csv[[#This Row],[unit_price]]*messy_order_items_csv[[#This Row],[quantity]]</f>
        <v>41014</v>
      </c>
    </row>
    <row r="500" spans="1:6" x14ac:dyDescent="0.3">
      <c r="A500">
        <v>499</v>
      </c>
      <c r="B500" t="s">
        <v>1495</v>
      </c>
      <c r="C500" t="s">
        <v>2233</v>
      </c>
      <c r="D500">
        <v>4</v>
      </c>
      <c r="E500">
        <v>86598</v>
      </c>
      <c r="F500">
        <f>messy_order_items_csv[[#This Row],[unit_price]]*messy_order_items_csv[[#This Row],[quantity]]</f>
        <v>346392</v>
      </c>
    </row>
    <row r="501" spans="1:6" x14ac:dyDescent="0.3">
      <c r="A501">
        <v>500</v>
      </c>
      <c r="B501" t="s">
        <v>1367</v>
      </c>
      <c r="C501" t="s">
        <v>2218</v>
      </c>
      <c r="D501">
        <v>3</v>
      </c>
      <c r="E501">
        <v>65274</v>
      </c>
      <c r="F501">
        <f>messy_order_items_csv[[#This Row],[unit_price]]*messy_order_items_csv[[#This Row],[quantity]]</f>
        <v>195822</v>
      </c>
    </row>
    <row r="502" spans="1:6" x14ac:dyDescent="0.3">
      <c r="A502">
        <v>501</v>
      </c>
      <c r="B502" t="s">
        <v>2160</v>
      </c>
      <c r="C502" t="s">
        <v>2245</v>
      </c>
      <c r="D502">
        <v>0</v>
      </c>
      <c r="E502">
        <v>43461</v>
      </c>
      <c r="F502">
        <f>messy_order_items_csv[[#This Row],[unit_price]]*messy_order_items_csv[[#This Row],[quantity]]</f>
        <v>0</v>
      </c>
    </row>
    <row r="503" spans="1:6" x14ac:dyDescent="0.3">
      <c r="A503">
        <v>502</v>
      </c>
      <c r="B503" t="s">
        <v>1263</v>
      </c>
      <c r="C503" t="s">
        <v>2199</v>
      </c>
      <c r="D503">
        <v>3</v>
      </c>
      <c r="E503">
        <v>31497</v>
      </c>
      <c r="F503">
        <f>messy_order_items_csv[[#This Row],[unit_price]]*messy_order_items_csv[[#This Row],[quantity]]</f>
        <v>94491</v>
      </c>
    </row>
    <row r="504" spans="1:6" x14ac:dyDescent="0.3">
      <c r="A504">
        <v>503</v>
      </c>
      <c r="B504" t="s">
        <v>1835</v>
      </c>
      <c r="C504" t="s">
        <v>2217</v>
      </c>
      <c r="D504">
        <v>1</v>
      </c>
      <c r="E504">
        <v>12124</v>
      </c>
      <c r="F504">
        <f>messy_order_items_csv[[#This Row],[unit_price]]*messy_order_items_csv[[#This Row],[quantity]]</f>
        <v>12124</v>
      </c>
    </row>
    <row r="505" spans="1:6" x14ac:dyDescent="0.3">
      <c r="A505">
        <v>504</v>
      </c>
      <c r="B505" t="s">
        <v>1472</v>
      </c>
      <c r="C505" t="s">
        <v>2198</v>
      </c>
      <c r="E505">
        <v>25471</v>
      </c>
      <c r="F505">
        <f>messy_order_items_csv[[#This Row],[unit_price]]*messy_order_items_csv[[#This Row],[quantity]]</f>
        <v>0</v>
      </c>
    </row>
    <row r="506" spans="1:6" x14ac:dyDescent="0.3">
      <c r="A506">
        <v>505</v>
      </c>
      <c r="B506" t="s">
        <v>1003</v>
      </c>
      <c r="C506" t="s">
        <v>2209</v>
      </c>
      <c r="D506">
        <v>3</v>
      </c>
      <c r="E506">
        <v>13294</v>
      </c>
      <c r="F506">
        <f>messy_order_items_csv[[#This Row],[unit_price]]*messy_order_items_csv[[#This Row],[quantity]]</f>
        <v>39882</v>
      </c>
    </row>
    <row r="507" spans="1:6" x14ac:dyDescent="0.3">
      <c r="A507">
        <v>506</v>
      </c>
      <c r="B507" t="s">
        <v>1973</v>
      </c>
      <c r="C507" t="s">
        <v>2206</v>
      </c>
      <c r="D507">
        <v>0</v>
      </c>
      <c r="E507">
        <v>68653</v>
      </c>
      <c r="F507">
        <f>messy_order_items_csv[[#This Row],[unit_price]]*messy_order_items_csv[[#This Row],[quantity]]</f>
        <v>0</v>
      </c>
    </row>
    <row r="508" spans="1:6" x14ac:dyDescent="0.3">
      <c r="A508">
        <v>507</v>
      </c>
      <c r="B508" t="s">
        <v>1868</v>
      </c>
      <c r="C508" t="s">
        <v>2200</v>
      </c>
      <c r="E508">
        <v>31497</v>
      </c>
      <c r="F508">
        <f>messy_order_items_csv[[#This Row],[unit_price]]*messy_order_items_csv[[#This Row],[quantity]]</f>
        <v>0</v>
      </c>
    </row>
    <row r="509" spans="1:6" x14ac:dyDescent="0.3">
      <c r="A509">
        <v>508</v>
      </c>
      <c r="B509" t="s">
        <v>2080</v>
      </c>
      <c r="C509" t="s">
        <v>2271</v>
      </c>
      <c r="D509">
        <v>2</v>
      </c>
      <c r="E509">
        <v>49207</v>
      </c>
      <c r="F509">
        <f>messy_order_items_csv[[#This Row],[unit_price]]*messy_order_items_csv[[#This Row],[quantity]]</f>
        <v>98414</v>
      </c>
    </row>
    <row r="510" spans="1:6" x14ac:dyDescent="0.3">
      <c r="A510">
        <v>509</v>
      </c>
      <c r="B510" t="s">
        <v>2010</v>
      </c>
      <c r="C510" t="s">
        <v>2247</v>
      </c>
      <c r="E510">
        <v>55972</v>
      </c>
      <c r="F510">
        <f>messy_order_items_csv[[#This Row],[unit_price]]*messy_order_items_csv[[#This Row],[quantity]]</f>
        <v>0</v>
      </c>
    </row>
    <row r="511" spans="1:6" x14ac:dyDescent="0.3">
      <c r="A511">
        <v>510</v>
      </c>
      <c r="B511" t="s">
        <v>1882</v>
      </c>
      <c r="C511" t="s">
        <v>2204</v>
      </c>
      <c r="D511">
        <v>1</v>
      </c>
      <c r="E511">
        <v>31497</v>
      </c>
      <c r="F511">
        <f>messy_order_items_csv[[#This Row],[unit_price]]*messy_order_items_csv[[#This Row],[quantity]]</f>
        <v>31497</v>
      </c>
    </row>
    <row r="512" spans="1:6" x14ac:dyDescent="0.3">
      <c r="A512">
        <v>511</v>
      </c>
      <c r="B512" t="s">
        <v>1506</v>
      </c>
      <c r="C512" t="s">
        <v>2251</v>
      </c>
      <c r="D512">
        <v>0</v>
      </c>
      <c r="E512">
        <v>31497</v>
      </c>
      <c r="F512">
        <f>messy_order_items_csv[[#This Row],[unit_price]]*messy_order_items_csv[[#This Row],[quantity]]</f>
        <v>0</v>
      </c>
    </row>
    <row r="513" spans="1:6" x14ac:dyDescent="0.3">
      <c r="A513">
        <v>512</v>
      </c>
      <c r="B513" t="s">
        <v>1387</v>
      </c>
      <c r="C513" t="s">
        <v>2271</v>
      </c>
      <c r="E513">
        <v>31497</v>
      </c>
      <c r="F513">
        <f>messy_order_items_csv[[#This Row],[unit_price]]*messy_order_items_csv[[#This Row],[quantity]]</f>
        <v>0</v>
      </c>
    </row>
    <row r="514" spans="1:6" x14ac:dyDescent="0.3">
      <c r="A514">
        <v>513</v>
      </c>
      <c r="B514" t="s">
        <v>2114</v>
      </c>
      <c r="C514" t="s">
        <v>2230</v>
      </c>
      <c r="D514">
        <v>3</v>
      </c>
      <c r="E514">
        <v>31497</v>
      </c>
      <c r="F514">
        <f>messy_order_items_csv[[#This Row],[unit_price]]*messy_order_items_csv[[#This Row],[quantity]]</f>
        <v>94491</v>
      </c>
    </row>
    <row r="515" spans="1:6" x14ac:dyDescent="0.3">
      <c r="A515">
        <v>514</v>
      </c>
      <c r="B515" t="s">
        <v>1004</v>
      </c>
      <c r="C515" t="s">
        <v>2212</v>
      </c>
      <c r="D515">
        <v>0</v>
      </c>
      <c r="E515">
        <v>21697</v>
      </c>
      <c r="F515">
        <f>messy_order_items_csv[[#This Row],[unit_price]]*messy_order_items_csv[[#This Row],[quantity]]</f>
        <v>0</v>
      </c>
    </row>
    <row r="516" spans="1:6" x14ac:dyDescent="0.3">
      <c r="A516">
        <v>515</v>
      </c>
      <c r="B516" t="s">
        <v>1497</v>
      </c>
      <c r="C516" t="s">
        <v>2230</v>
      </c>
      <c r="D516">
        <v>2</v>
      </c>
      <c r="E516">
        <v>72109</v>
      </c>
      <c r="F516">
        <f>messy_order_items_csv[[#This Row],[unit_price]]*messy_order_items_csv[[#This Row],[quantity]]</f>
        <v>144218</v>
      </c>
    </row>
    <row r="517" spans="1:6" x14ac:dyDescent="0.3">
      <c r="A517">
        <v>516</v>
      </c>
      <c r="B517" t="s">
        <v>1464</v>
      </c>
      <c r="C517" t="s">
        <v>2257</v>
      </c>
      <c r="D517">
        <v>2</v>
      </c>
      <c r="E517">
        <v>18536</v>
      </c>
      <c r="F517">
        <f>messy_order_items_csv[[#This Row],[unit_price]]*messy_order_items_csv[[#This Row],[quantity]]</f>
        <v>37072</v>
      </c>
    </row>
    <row r="518" spans="1:6" x14ac:dyDescent="0.3">
      <c r="A518">
        <v>517</v>
      </c>
      <c r="B518" t="s">
        <v>1516</v>
      </c>
      <c r="C518" t="s">
        <v>2204</v>
      </c>
      <c r="D518">
        <v>4</v>
      </c>
      <c r="E518">
        <v>31497</v>
      </c>
      <c r="F518">
        <f>messy_order_items_csv[[#This Row],[unit_price]]*messy_order_items_csv[[#This Row],[quantity]]</f>
        <v>125988</v>
      </c>
    </row>
    <row r="519" spans="1:6" x14ac:dyDescent="0.3">
      <c r="A519">
        <v>518</v>
      </c>
      <c r="B519" t="s">
        <v>1119</v>
      </c>
      <c r="C519" t="s">
        <v>2230</v>
      </c>
      <c r="D519">
        <v>3</v>
      </c>
      <c r="E519">
        <v>31497</v>
      </c>
      <c r="F519">
        <f>messy_order_items_csv[[#This Row],[unit_price]]*messy_order_items_csv[[#This Row],[quantity]]</f>
        <v>94491</v>
      </c>
    </row>
    <row r="520" spans="1:6" x14ac:dyDescent="0.3">
      <c r="A520">
        <v>519</v>
      </c>
      <c r="B520" t="s">
        <v>1339</v>
      </c>
      <c r="C520" t="s">
        <v>2218</v>
      </c>
      <c r="D520">
        <v>3</v>
      </c>
      <c r="E520">
        <v>65274</v>
      </c>
      <c r="F520">
        <f>messy_order_items_csv[[#This Row],[unit_price]]*messy_order_items_csv[[#This Row],[quantity]]</f>
        <v>195822</v>
      </c>
    </row>
    <row r="521" spans="1:6" x14ac:dyDescent="0.3">
      <c r="A521">
        <v>520</v>
      </c>
      <c r="B521" t="s">
        <v>1746</v>
      </c>
      <c r="C521" t="s">
        <v>2225</v>
      </c>
      <c r="D521">
        <v>3</v>
      </c>
      <c r="E521">
        <v>12513</v>
      </c>
      <c r="F521">
        <f>messy_order_items_csv[[#This Row],[unit_price]]*messy_order_items_csv[[#This Row],[quantity]]</f>
        <v>37539</v>
      </c>
    </row>
    <row r="522" spans="1:6" x14ac:dyDescent="0.3">
      <c r="A522">
        <v>521</v>
      </c>
      <c r="B522" t="s">
        <v>1403</v>
      </c>
      <c r="C522" t="s">
        <v>2245</v>
      </c>
      <c r="D522">
        <v>4</v>
      </c>
      <c r="E522">
        <v>70378</v>
      </c>
      <c r="F522">
        <f>messy_order_items_csv[[#This Row],[unit_price]]*messy_order_items_csv[[#This Row],[quantity]]</f>
        <v>281512</v>
      </c>
    </row>
    <row r="523" spans="1:6" x14ac:dyDescent="0.3">
      <c r="A523">
        <v>522</v>
      </c>
      <c r="B523" t="s">
        <v>2101</v>
      </c>
      <c r="C523" t="s">
        <v>2266</v>
      </c>
      <c r="D523">
        <v>3</v>
      </c>
      <c r="E523">
        <v>3393</v>
      </c>
      <c r="F523">
        <f>messy_order_items_csv[[#This Row],[unit_price]]*messy_order_items_csv[[#This Row],[quantity]]</f>
        <v>10179</v>
      </c>
    </row>
    <row r="524" spans="1:6" x14ac:dyDescent="0.3">
      <c r="A524">
        <v>523</v>
      </c>
      <c r="B524" t="s">
        <v>2122</v>
      </c>
      <c r="C524" t="s">
        <v>2223</v>
      </c>
      <c r="D524">
        <v>3</v>
      </c>
      <c r="E524">
        <v>43209</v>
      </c>
      <c r="F524">
        <f>messy_order_items_csv[[#This Row],[unit_price]]*messy_order_items_csv[[#This Row],[quantity]]</f>
        <v>129627</v>
      </c>
    </row>
    <row r="525" spans="1:6" x14ac:dyDescent="0.3">
      <c r="A525">
        <v>524</v>
      </c>
      <c r="B525" t="s">
        <v>2100</v>
      </c>
      <c r="C525" t="s">
        <v>2251</v>
      </c>
      <c r="E525">
        <v>31497</v>
      </c>
      <c r="F525">
        <f>messy_order_items_csv[[#This Row],[unit_price]]*messy_order_items_csv[[#This Row],[quantity]]</f>
        <v>0</v>
      </c>
    </row>
    <row r="526" spans="1:6" x14ac:dyDescent="0.3">
      <c r="A526">
        <v>525</v>
      </c>
      <c r="B526" t="s">
        <v>1000</v>
      </c>
      <c r="C526" t="s">
        <v>2252</v>
      </c>
      <c r="D526">
        <v>0</v>
      </c>
      <c r="E526">
        <v>56246</v>
      </c>
      <c r="F526">
        <f>messy_order_items_csv[[#This Row],[unit_price]]*messy_order_items_csv[[#This Row],[quantity]]</f>
        <v>0</v>
      </c>
    </row>
    <row r="527" spans="1:6" x14ac:dyDescent="0.3">
      <c r="A527">
        <v>526</v>
      </c>
      <c r="B527" t="s">
        <v>1018</v>
      </c>
      <c r="C527" t="s">
        <v>2257</v>
      </c>
      <c r="D527">
        <v>1</v>
      </c>
      <c r="E527">
        <v>20064</v>
      </c>
      <c r="F527">
        <f>messy_order_items_csv[[#This Row],[unit_price]]*messy_order_items_csv[[#This Row],[quantity]]</f>
        <v>20064</v>
      </c>
    </row>
    <row r="528" spans="1:6" x14ac:dyDescent="0.3">
      <c r="A528">
        <v>527</v>
      </c>
      <c r="B528" t="s">
        <v>1312</v>
      </c>
      <c r="C528" t="s">
        <v>2242</v>
      </c>
      <c r="D528">
        <v>1</v>
      </c>
      <c r="E528">
        <v>49701</v>
      </c>
      <c r="F528">
        <f>messy_order_items_csv[[#This Row],[unit_price]]*messy_order_items_csv[[#This Row],[quantity]]</f>
        <v>49701</v>
      </c>
    </row>
    <row r="529" spans="1:6" x14ac:dyDescent="0.3">
      <c r="A529">
        <v>528</v>
      </c>
      <c r="B529" t="s">
        <v>1104</v>
      </c>
      <c r="C529" t="s">
        <v>2209</v>
      </c>
      <c r="D529">
        <v>0</v>
      </c>
      <c r="E529">
        <v>21140</v>
      </c>
      <c r="F529">
        <f>messy_order_items_csv[[#This Row],[unit_price]]*messy_order_items_csv[[#This Row],[quantity]]</f>
        <v>0</v>
      </c>
    </row>
    <row r="530" spans="1:6" x14ac:dyDescent="0.3">
      <c r="A530">
        <v>529</v>
      </c>
      <c r="B530" t="s">
        <v>1814</v>
      </c>
      <c r="C530" t="s">
        <v>2242</v>
      </c>
      <c r="D530">
        <v>0</v>
      </c>
      <c r="E530">
        <v>6728</v>
      </c>
      <c r="F530">
        <f>messy_order_items_csv[[#This Row],[unit_price]]*messy_order_items_csv[[#This Row],[quantity]]</f>
        <v>0</v>
      </c>
    </row>
    <row r="531" spans="1:6" x14ac:dyDescent="0.3">
      <c r="A531">
        <v>530</v>
      </c>
      <c r="B531" t="s">
        <v>1155</v>
      </c>
      <c r="C531" t="s">
        <v>2253</v>
      </c>
      <c r="D531">
        <v>3</v>
      </c>
      <c r="E531">
        <v>69520</v>
      </c>
      <c r="F531">
        <f>messy_order_items_csv[[#This Row],[unit_price]]*messy_order_items_csv[[#This Row],[quantity]]</f>
        <v>208560</v>
      </c>
    </row>
    <row r="532" spans="1:6" x14ac:dyDescent="0.3">
      <c r="A532">
        <v>531</v>
      </c>
      <c r="B532" t="s">
        <v>1278</v>
      </c>
      <c r="C532" t="s">
        <v>2257</v>
      </c>
      <c r="D532">
        <v>1</v>
      </c>
      <c r="E532">
        <v>47300</v>
      </c>
      <c r="F532">
        <f>messy_order_items_csv[[#This Row],[unit_price]]*messy_order_items_csv[[#This Row],[quantity]]</f>
        <v>47300</v>
      </c>
    </row>
    <row r="533" spans="1:6" x14ac:dyDescent="0.3">
      <c r="A533">
        <v>532</v>
      </c>
      <c r="B533" t="s">
        <v>1784</v>
      </c>
      <c r="C533" t="s">
        <v>2196</v>
      </c>
      <c r="D533">
        <v>3</v>
      </c>
      <c r="E533">
        <v>73601</v>
      </c>
      <c r="F533">
        <f>messy_order_items_csv[[#This Row],[unit_price]]*messy_order_items_csv[[#This Row],[quantity]]</f>
        <v>220803</v>
      </c>
    </row>
    <row r="534" spans="1:6" x14ac:dyDescent="0.3">
      <c r="A534">
        <v>533</v>
      </c>
      <c r="B534" t="s">
        <v>1703</v>
      </c>
      <c r="C534" t="s">
        <v>2269</v>
      </c>
      <c r="D534">
        <v>3</v>
      </c>
      <c r="E534">
        <v>41597</v>
      </c>
      <c r="F534">
        <f>messy_order_items_csv[[#This Row],[unit_price]]*messy_order_items_csv[[#This Row],[quantity]]</f>
        <v>124791</v>
      </c>
    </row>
    <row r="535" spans="1:6" x14ac:dyDescent="0.3">
      <c r="A535">
        <v>534</v>
      </c>
      <c r="B535" t="s">
        <v>1130</v>
      </c>
      <c r="C535" t="s">
        <v>2208</v>
      </c>
      <c r="D535">
        <v>0</v>
      </c>
      <c r="E535">
        <v>31497</v>
      </c>
      <c r="F535">
        <f>messy_order_items_csv[[#This Row],[unit_price]]*messy_order_items_csv[[#This Row],[quantity]]</f>
        <v>0</v>
      </c>
    </row>
    <row r="536" spans="1:6" x14ac:dyDescent="0.3">
      <c r="A536">
        <v>535</v>
      </c>
      <c r="B536" t="s">
        <v>1105</v>
      </c>
      <c r="C536" t="s">
        <v>2223</v>
      </c>
      <c r="D536">
        <v>4</v>
      </c>
      <c r="E536">
        <v>31497</v>
      </c>
      <c r="F536">
        <f>messy_order_items_csv[[#This Row],[unit_price]]*messy_order_items_csv[[#This Row],[quantity]]</f>
        <v>125988</v>
      </c>
    </row>
    <row r="537" spans="1:6" x14ac:dyDescent="0.3">
      <c r="A537">
        <v>536</v>
      </c>
      <c r="B537" t="s">
        <v>1055</v>
      </c>
      <c r="C537" t="s">
        <v>2272</v>
      </c>
      <c r="D537">
        <v>3</v>
      </c>
      <c r="E537">
        <v>43027</v>
      </c>
      <c r="F537">
        <f>messy_order_items_csv[[#This Row],[unit_price]]*messy_order_items_csv[[#This Row],[quantity]]</f>
        <v>129081</v>
      </c>
    </row>
    <row r="538" spans="1:6" x14ac:dyDescent="0.3">
      <c r="A538">
        <v>537</v>
      </c>
      <c r="B538" t="s">
        <v>1032</v>
      </c>
      <c r="C538" t="s">
        <v>2219</v>
      </c>
      <c r="E538">
        <v>31497</v>
      </c>
      <c r="F538">
        <f>messy_order_items_csv[[#This Row],[unit_price]]*messy_order_items_csv[[#This Row],[quantity]]</f>
        <v>0</v>
      </c>
    </row>
    <row r="539" spans="1:6" x14ac:dyDescent="0.3">
      <c r="A539">
        <v>538</v>
      </c>
      <c r="B539" t="s">
        <v>1375</v>
      </c>
      <c r="C539" t="s">
        <v>2247</v>
      </c>
      <c r="D539">
        <v>2</v>
      </c>
      <c r="E539">
        <v>31497</v>
      </c>
      <c r="F539">
        <f>messy_order_items_csv[[#This Row],[unit_price]]*messy_order_items_csv[[#This Row],[quantity]]</f>
        <v>62994</v>
      </c>
    </row>
    <row r="540" spans="1:6" x14ac:dyDescent="0.3">
      <c r="A540">
        <v>539</v>
      </c>
      <c r="B540" t="s">
        <v>1193</v>
      </c>
      <c r="C540" t="s">
        <v>2225</v>
      </c>
      <c r="D540">
        <v>4</v>
      </c>
      <c r="E540">
        <v>31497</v>
      </c>
      <c r="F540">
        <f>messy_order_items_csv[[#This Row],[unit_price]]*messy_order_items_csv[[#This Row],[quantity]]</f>
        <v>125988</v>
      </c>
    </row>
    <row r="541" spans="1:6" x14ac:dyDescent="0.3">
      <c r="A541">
        <v>540</v>
      </c>
      <c r="B541" t="s">
        <v>1937</v>
      </c>
      <c r="C541" t="s">
        <v>2273</v>
      </c>
      <c r="D541">
        <v>1</v>
      </c>
      <c r="E541">
        <v>31497</v>
      </c>
      <c r="F541">
        <f>messy_order_items_csv[[#This Row],[unit_price]]*messy_order_items_csv[[#This Row],[quantity]]</f>
        <v>31497</v>
      </c>
    </row>
    <row r="542" spans="1:6" x14ac:dyDescent="0.3">
      <c r="A542">
        <v>541</v>
      </c>
      <c r="B542" t="s">
        <v>1803</v>
      </c>
      <c r="C542" t="s">
        <v>2273</v>
      </c>
      <c r="D542">
        <v>2</v>
      </c>
      <c r="E542">
        <v>31497</v>
      </c>
      <c r="F542">
        <f>messy_order_items_csv[[#This Row],[unit_price]]*messy_order_items_csv[[#This Row],[quantity]]</f>
        <v>62994</v>
      </c>
    </row>
    <row r="543" spans="1:6" x14ac:dyDescent="0.3">
      <c r="A543">
        <v>542</v>
      </c>
      <c r="B543" t="s">
        <v>1099</v>
      </c>
      <c r="C543" t="s">
        <v>2224</v>
      </c>
      <c r="E543">
        <v>76518</v>
      </c>
      <c r="F543">
        <f>messy_order_items_csv[[#This Row],[unit_price]]*messy_order_items_csv[[#This Row],[quantity]]</f>
        <v>0</v>
      </c>
    </row>
    <row r="544" spans="1:6" x14ac:dyDescent="0.3">
      <c r="A544">
        <v>543</v>
      </c>
      <c r="B544" t="s">
        <v>1382</v>
      </c>
      <c r="C544" t="s">
        <v>2202</v>
      </c>
      <c r="D544">
        <v>3</v>
      </c>
      <c r="E544">
        <v>31497</v>
      </c>
      <c r="F544">
        <f>messy_order_items_csv[[#This Row],[unit_price]]*messy_order_items_csv[[#This Row],[quantity]]</f>
        <v>94491</v>
      </c>
    </row>
    <row r="545" spans="1:6" x14ac:dyDescent="0.3">
      <c r="A545">
        <v>544</v>
      </c>
      <c r="B545" t="s">
        <v>1213</v>
      </c>
      <c r="C545" t="s">
        <v>2196</v>
      </c>
      <c r="D545">
        <v>3</v>
      </c>
      <c r="E545">
        <v>40871</v>
      </c>
      <c r="F545">
        <f>messy_order_items_csv[[#This Row],[unit_price]]*messy_order_items_csv[[#This Row],[quantity]]</f>
        <v>122613</v>
      </c>
    </row>
    <row r="546" spans="1:6" x14ac:dyDescent="0.3">
      <c r="A546">
        <v>545</v>
      </c>
      <c r="B546" t="s">
        <v>2172</v>
      </c>
      <c r="C546" t="s">
        <v>2215</v>
      </c>
      <c r="D546">
        <v>3</v>
      </c>
      <c r="E546">
        <v>31497</v>
      </c>
      <c r="F546">
        <f>messy_order_items_csv[[#This Row],[unit_price]]*messy_order_items_csv[[#This Row],[quantity]]</f>
        <v>94491</v>
      </c>
    </row>
    <row r="547" spans="1:6" x14ac:dyDescent="0.3">
      <c r="A547">
        <v>546</v>
      </c>
      <c r="B547" t="s">
        <v>1626</v>
      </c>
      <c r="C547" t="s">
        <v>2196</v>
      </c>
      <c r="E547">
        <v>31497</v>
      </c>
      <c r="F547">
        <f>messy_order_items_csv[[#This Row],[unit_price]]*messy_order_items_csv[[#This Row],[quantity]]</f>
        <v>0</v>
      </c>
    </row>
    <row r="548" spans="1:6" x14ac:dyDescent="0.3">
      <c r="A548">
        <v>547</v>
      </c>
      <c r="B548" t="s">
        <v>1324</v>
      </c>
      <c r="C548" t="s">
        <v>2266</v>
      </c>
      <c r="E548">
        <v>87651</v>
      </c>
      <c r="F548">
        <f>messy_order_items_csv[[#This Row],[unit_price]]*messy_order_items_csv[[#This Row],[quantity]]</f>
        <v>0</v>
      </c>
    </row>
    <row r="549" spans="1:6" x14ac:dyDescent="0.3">
      <c r="A549">
        <v>548</v>
      </c>
      <c r="B549" t="s">
        <v>991</v>
      </c>
      <c r="C549" t="s">
        <v>2230</v>
      </c>
      <c r="D549">
        <v>1</v>
      </c>
      <c r="E549">
        <v>31497</v>
      </c>
      <c r="F549">
        <f>messy_order_items_csv[[#This Row],[unit_price]]*messy_order_items_csv[[#This Row],[quantity]]</f>
        <v>31497</v>
      </c>
    </row>
    <row r="550" spans="1:6" x14ac:dyDescent="0.3">
      <c r="A550">
        <v>549</v>
      </c>
      <c r="B550" t="s">
        <v>1671</v>
      </c>
      <c r="C550" t="s">
        <v>2239</v>
      </c>
      <c r="D550">
        <v>3</v>
      </c>
      <c r="E550">
        <v>63663</v>
      </c>
      <c r="F550">
        <f>messy_order_items_csv[[#This Row],[unit_price]]*messy_order_items_csv[[#This Row],[quantity]]</f>
        <v>190989</v>
      </c>
    </row>
    <row r="551" spans="1:6" x14ac:dyDescent="0.3">
      <c r="A551">
        <v>550</v>
      </c>
      <c r="B551" t="s">
        <v>1621</v>
      </c>
      <c r="C551" t="s">
        <v>2229</v>
      </c>
      <c r="E551">
        <v>4605</v>
      </c>
      <c r="F551">
        <f>messy_order_items_csv[[#This Row],[unit_price]]*messy_order_items_csv[[#This Row],[quantity]]</f>
        <v>0</v>
      </c>
    </row>
    <row r="552" spans="1:6" x14ac:dyDescent="0.3">
      <c r="A552">
        <v>551</v>
      </c>
      <c r="B552" t="s">
        <v>1535</v>
      </c>
      <c r="C552" t="s">
        <v>2205</v>
      </c>
      <c r="D552">
        <v>1</v>
      </c>
      <c r="E552">
        <v>31497</v>
      </c>
      <c r="F552">
        <f>messy_order_items_csv[[#This Row],[unit_price]]*messy_order_items_csv[[#This Row],[quantity]]</f>
        <v>31497</v>
      </c>
    </row>
    <row r="553" spans="1:6" x14ac:dyDescent="0.3">
      <c r="A553">
        <v>552</v>
      </c>
      <c r="B553" t="s">
        <v>1419</v>
      </c>
      <c r="C553" t="s">
        <v>2241</v>
      </c>
      <c r="E553">
        <v>53458</v>
      </c>
      <c r="F553">
        <f>messy_order_items_csv[[#This Row],[unit_price]]*messy_order_items_csv[[#This Row],[quantity]]</f>
        <v>0</v>
      </c>
    </row>
    <row r="554" spans="1:6" x14ac:dyDescent="0.3">
      <c r="A554">
        <v>553</v>
      </c>
      <c r="B554" t="s">
        <v>1584</v>
      </c>
      <c r="C554" t="s">
        <v>2217</v>
      </c>
      <c r="D554">
        <v>3</v>
      </c>
      <c r="E554">
        <v>86838</v>
      </c>
      <c r="F554">
        <f>messy_order_items_csv[[#This Row],[unit_price]]*messy_order_items_csv[[#This Row],[quantity]]</f>
        <v>260514</v>
      </c>
    </row>
    <row r="555" spans="1:6" x14ac:dyDescent="0.3">
      <c r="A555">
        <v>554</v>
      </c>
      <c r="B555" t="s">
        <v>2168</v>
      </c>
      <c r="C555" t="s">
        <v>2207</v>
      </c>
      <c r="D555">
        <v>1</v>
      </c>
      <c r="E555">
        <v>59291</v>
      </c>
      <c r="F555">
        <f>messy_order_items_csv[[#This Row],[unit_price]]*messy_order_items_csv[[#This Row],[quantity]]</f>
        <v>59291</v>
      </c>
    </row>
    <row r="556" spans="1:6" x14ac:dyDescent="0.3">
      <c r="A556">
        <v>555</v>
      </c>
      <c r="B556" t="s">
        <v>1761</v>
      </c>
      <c r="C556" t="s">
        <v>2259</v>
      </c>
      <c r="D556">
        <v>3</v>
      </c>
      <c r="E556">
        <v>70508</v>
      </c>
      <c r="F556">
        <f>messy_order_items_csv[[#This Row],[unit_price]]*messy_order_items_csv[[#This Row],[quantity]]</f>
        <v>211524</v>
      </c>
    </row>
    <row r="557" spans="1:6" x14ac:dyDescent="0.3">
      <c r="A557">
        <v>556</v>
      </c>
      <c r="B557" t="s">
        <v>1865</v>
      </c>
      <c r="C557" t="s">
        <v>2221</v>
      </c>
      <c r="D557">
        <v>0</v>
      </c>
      <c r="E557">
        <v>29487</v>
      </c>
      <c r="F557">
        <f>messy_order_items_csv[[#This Row],[unit_price]]*messy_order_items_csv[[#This Row],[quantity]]</f>
        <v>0</v>
      </c>
    </row>
    <row r="558" spans="1:6" x14ac:dyDescent="0.3">
      <c r="A558">
        <v>557</v>
      </c>
      <c r="B558" t="s">
        <v>1938</v>
      </c>
      <c r="C558" t="s">
        <v>2196</v>
      </c>
      <c r="D558">
        <v>4</v>
      </c>
      <c r="E558">
        <v>17209</v>
      </c>
      <c r="F558">
        <f>messy_order_items_csv[[#This Row],[unit_price]]*messy_order_items_csv[[#This Row],[quantity]]</f>
        <v>68836</v>
      </c>
    </row>
    <row r="559" spans="1:6" x14ac:dyDescent="0.3">
      <c r="A559">
        <v>558</v>
      </c>
      <c r="B559" t="s">
        <v>1519</v>
      </c>
      <c r="C559" t="s">
        <v>2230</v>
      </c>
      <c r="E559">
        <v>31497</v>
      </c>
      <c r="F559">
        <f>messy_order_items_csv[[#This Row],[unit_price]]*messy_order_items_csv[[#This Row],[quantity]]</f>
        <v>0</v>
      </c>
    </row>
    <row r="560" spans="1:6" x14ac:dyDescent="0.3">
      <c r="A560">
        <v>559</v>
      </c>
      <c r="B560" t="s">
        <v>1014</v>
      </c>
      <c r="C560" t="s">
        <v>2273</v>
      </c>
      <c r="D560">
        <v>2</v>
      </c>
      <c r="E560">
        <v>31497</v>
      </c>
      <c r="F560">
        <f>messy_order_items_csv[[#This Row],[unit_price]]*messy_order_items_csv[[#This Row],[quantity]]</f>
        <v>62994</v>
      </c>
    </row>
    <row r="561" spans="1:6" x14ac:dyDescent="0.3">
      <c r="A561">
        <v>560</v>
      </c>
      <c r="B561" t="s">
        <v>1308</v>
      </c>
      <c r="C561" t="s">
        <v>2209</v>
      </c>
      <c r="D561">
        <v>1</v>
      </c>
      <c r="E561">
        <v>53600</v>
      </c>
      <c r="F561">
        <f>messy_order_items_csv[[#This Row],[unit_price]]*messy_order_items_csv[[#This Row],[quantity]]</f>
        <v>53600</v>
      </c>
    </row>
    <row r="562" spans="1:6" x14ac:dyDescent="0.3">
      <c r="A562">
        <v>561</v>
      </c>
      <c r="B562" t="s">
        <v>1103</v>
      </c>
      <c r="C562" t="s">
        <v>2246</v>
      </c>
      <c r="D562">
        <v>1</v>
      </c>
      <c r="E562">
        <v>2991</v>
      </c>
      <c r="F562">
        <f>messy_order_items_csv[[#This Row],[unit_price]]*messy_order_items_csv[[#This Row],[quantity]]</f>
        <v>2991</v>
      </c>
    </row>
    <row r="563" spans="1:6" x14ac:dyDescent="0.3">
      <c r="A563">
        <v>562</v>
      </c>
      <c r="B563" t="s">
        <v>1797</v>
      </c>
      <c r="C563" t="s">
        <v>2253</v>
      </c>
      <c r="D563">
        <v>0</v>
      </c>
      <c r="E563">
        <v>74538</v>
      </c>
      <c r="F563">
        <f>messy_order_items_csv[[#This Row],[unit_price]]*messy_order_items_csv[[#This Row],[quantity]]</f>
        <v>0</v>
      </c>
    </row>
    <row r="564" spans="1:6" x14ac:dyDescent="0.3">
      <c r="A564">
        <v>563</v>
      </c>
      <c r="B564" t="s">
        <v>1402</v>
      </c>
      <c r="C564" t="s">
        <v>2227</v>
      </c>
      <c r="D564">
        <v>0</v>
      </c>
      <c r="E564">
        <v>31497</v>
      </c>
      <c r="F564">
        <f>messy_order_items_csv[[#This Row],[unit_price]]*messy_order_items_csv[[#This Row],[quantity]]</f>
        <v>0</v>
      </c>
    </row>
    <row r="565" spans="1:6" x14ac:dyDescent="0.3">
      <c r="A565">
        <v>564</v>
      </c>
      <c r="B565" t="s">
        <v>1303</v>
      </c>
      <c r="C565" t="s">
        <v>2267</v>
      </c>
      <c r="D565">
        <v>4</v>
      </c>
      <c r="E565">
        <v>61800</v>
      </c>
      <c r="F565">
        <f>messy_order_items_csv[[#This Row],[unit_price]]*messy_order_items_csv[[#This Row],[quantity]]</f>
        <v>247200</v>
      </c>
    </row>
    <row r="566" spans="1:6" x14ac:dyDescent="0.3">
      <c r="A566">
        <v>565</v>
      </c>
      <c r="B566" t="s">
        <v>1652</v>
      </c>
      <c r="C566" t="s">
        <v>2225</v>
      </c>
      <c r="D566">
        <v>1</v>
      </c>
      <c r="E566">
        <v>13783</v>
      </c>
      <c r="F566">
        <f>messy_order_items_csv[[#This Row],[unit_price]]*messy_order_items_csv[[#This Row],[quantity]]</f>
        <v>13783</v>
      </c>
    </row>
    <row r="567" spans="1:6" x14ac:dyDescent="0.3">
      <c r="A567">
        <v>566</v>
      </c>
      <c r="B567" t="s">
        <v>1747</v>
      </c>
      <c r="C567" t="s">
        <v>2249</v>
      </c>
      <c r="D567">
        <v>3</v>
      </c>
      <c r="E567">
        <v>31497</v>
      </c>
      <c r="F567">
        <f>messy_order_items_csv[[#This Row],[unit_price]]*messy_order_items_csv[[#This Row],[quantity]]</f>
        <v>94491</v>
      </c>
    </row>
    <row r="568" spans="1:6" x14ac:dyDescent="0.3">
      <c r="A568">
        <v>567</v>
      </c>
      <c r="B568" t="s">
        <v>2032</v>
      </c>
      <c r="C568" t="s">
        <v>2221</v>
      </c>
      <c r="D568">
        <v>2</v>
      </c>
      <c r="E568">
        <v>31275</v>
      </c>
      <c r="F568">
        <f>messy_order_items_csv[[#This Row],[unit_price]]*messy_order_items_csv[[#This Row],[quantity]]</f>
        <v>62550</v>
      </c>
    </row>
    <row r="569" spans="1:6" x14ac:dyDescent="0.3">
      <c r="A569">
        <v>568</v>
      </c>
      <c r="B569" t="s">
        <v>1872</v>
      </c>
      <c r="C569" t="s">
        <v>2229</v>
      </c>
      <c r="D569">
        <v>0</v>
      </c>
      <c r="E569">
        <v>47676</v>
      </c>
      <c r="F569">
        <f>messy_order_items_csv[[#This Row],[unit_price]]*messy_order_items_csv[[#This Row],[quantity]]</f>
        <v>0</v>
      </c>
    </row>
    <row r="570" spans="1:6" x14ac:dyDescent="0.3">
      <c r="A570">
        <v>569</v>
      </c>
      <c r="B570" t="s">
        <v>1492</v>
      </c>
      <c r="C570" t="s">
        <v>2235</v>
      </c>
      <c r="D570">
        <v>1</v>
      </c>
      <c r="E570">
        <v>77281</v>
      </c>
      <c r="F570">
        <f>messy_order_items_csv[[#This Row],[unit_price]]*messy_order_items_csv[[#This Row],[quantity]]</f>
        <v>77281</v>
      </c>
    </row>
    <row r="571" spans="1:6" x14ac:dyDescent="0.3">
      <c r="A571">
        <v>570</v>
      </c>
      <c r="B571" t="s">
        <v>1595</v>
      </c>
      <c r="C571" t="s">
        <v>2198</v>
      </c>
      <c r="D571">
        <v>4</v>
      </c>
      <c r="E571">
        <v>31497</v>
      </c>
      <c r="F571">
        <f>messy_order_items_csv[[#This Row],[unit_price]]*messy_order_items_csv[[#This Row],[quantity]]</f>
        <v>125988</v>
      </c>
    </row>
    <row r="572" spans="1:6" x14ac:dyDescent="0.3">
      <c r="A572">
        <v>571</v>
      </c>
      <c r="B572" t="s">
        <v>1943</v>
      </c>
      <c r="C572" t="s">
        <v>2209</v>
      </c>
      <c r="D572">
        <v>3</v>
      </c>
      <c r="E572">
        <v>44156</v>
      </c>
      <c r="F572">
        <f>messy_order_items_csv[[#This Row],[unit_price]]*messy_order_items_csv[[#This Row],[quantity]]</f>
        <v>132468</v>
      </c>
    </row>
    <row r="573" spans="1:6" x14ac:dyDescent="0.3">
      <c r="A573">
        <v>572</v>
      </c>
      <c r="B573" t="s">
        <v>1283</v>
      </c>
      <c r="C573" t="s">
        <v>2261</v>
      </c>
      <c r="D573">
        <v>2</v>
      </c>
      <c r="E573">
        <v>31497</v>
      </c>
      <c r="F573">
        <f>messy_order_items_csv[[#This Row],[unit_price]]*messy_order_items_csv[[#This Row],[quantity]]</f>
        <v>62994</v>
      </c>
    </row>
    <row r="574" spans="1:6" x14ac:dyDescent="0.3">
      <c r="A574">
        <v>573</v>
      </c>
      <c r="B574" t="s">
        <v>1075</v>
      </c>
      <c r="C574" t="s">
        <v>2240</v>
      </c>
      <c r="E574">
        <v>31497</v>
      </c>
      <c r="F574">
        <f>messy_order_items_csv[[#This Row],[unit_price]]*messy_order_items_csv[[#This Row],[quantity]]</f>
        <v>0</v>
      </c>
    </row>
    <row r="575" spans="1:6" x14ac:dyDescent="0.3">
      <c r="A575">
        <v>574</v>
      </c>
      <c r="B575" t="s">
        <v>2024</v>
      </c>
      <c r="C575" t="s">
        <v>2212</v>
      </c>
      <c r="D575">
        <v>1</v>
      </c>
      <c r="E575">
        <v>1283</v>
      </c>
      <c r="F575">
        <f>messy_order_items_csv[[#This Row],[unit_price]]*messy_order_items_csv[[#This Row],[quantity]]</f>
        <v>1283</v>
      </c>
    </row>
    <row r="576" spans="1:6" x14ac:dyDescent="0.3">
      <c r="A576">
        <v>575</v>
      </c>
      <c r="B576" t="s">
        <v>1495</v>
      </c>
      <c r="C576" t="s">
        <v>2234</v>
      </c>
      <c r="D576">
        <v>4</v>
      </c>
      <c r="E576">
        <v>71106</v>
      </c>
      <c r="F576">
        <f>messy_order_items_csv[[#This Row],[unit_price]]*messy_order_items_csv[[#This Row],[quantity]]</f>
        <v>284424</v>
      </c>
    </row>
    <row r="577" spans="1:6" x14ac:dyDescent="0.3">
      <c r="A577">
        <v>576</v>
      </c>
      <c r="B577" t="s">
        <v>1561</v>
      </c>
      <c r="C577" t="s">
        <v>2235</v>
      </c>
      <c r="D577">
        <v>3</v>
      </c>
      <c r="E577">
        <v>31497</v>
      </c>
      <c r="F577">
        <f>messy_order_items_csv[[#This Row],[unit_price]]*messy_order_items_csv[[#This Row],[quantity]]</f>
        <v>94491</v>
      </c>
    </row>
    <row r="578" spans="1:6" x14ac:dyDescent="0.3">
      <c r="A578">
        <v>577</v>
      </c>
      <c r="B578" t="s">
        <v>1892</v>
      </c>
      <c r="C578" t="s">
        <v>2196</v>
      </c>
      <c r="E578">
        <v>35575</v>
      </c>
      <c r="F578">
        <f>messy_order_items_csv[[#This Row],[unit_price]]*messy_order_items_csv[[#This Row],[quantity]]</f>
        <v>0</v>
      </c>
    </row>
    <row r="579" spans="1:6" x14ac:dyDescent="0.3">
      <c r="A579">
        <v>578</v>
      </c>
      <c r="B579" t="s">
        <v>1014</v>
      </c>
      <c r="C579" t="s">
        <v>2196</v>
      </c>
      <c r="E579">
        <v>73847</v>
      </c>
      <c r="F579">
        <f>messy_order_items_csv[[#This Row],[unit_price]]*messy_order_items_csv[[#This Row],[quantity]]</f>
        <v>0</v>
      </c>
    </row>
    <row r="580" spans="1:6" x14ac:dyDescent="0.3">
      <c r="A580">
        <v>579</v>
      </c>
      <c r="B580" t="s">
        <v>1085</v>
      </c>
      <c r="C580" t="s">
        <v>2256</v>
      </c>
      <c r="D580">
        <v>3</v>
      </c>
      <c r="E580">
        <v>3409</v>
      </c>
      <c r="F580">
        <f>messy_order_items_csv[[#This Row],[unit_price]]*messy_order_items_csv[[#This Row],[quantity]]</f>
        <v>10227</v>
      </c>
    </row>
    <row r="581" spans="1:6" x14ac:dyDescent="0.3">
      <c r="A581">
        <v>580</v>
      </c>
      <c r="B581" t="s">
        <v>1386</v>
      </c>
      <c r="C581" t="s">
        <v>2222</v>
      </c>
      <c r="D581">
        <v>1</v>
      </c>
      <c r="E581">
        <v>39706</v>
      </c>
      <c r="F581">
        <f>messy_order_items_csv[[#This Row],[unit_price]]*messy_order_items_csv[[#This Row],[quantity]]</f>
        <v>39706</v>
      </c>
    </row>
    <row r="582" spans="1:6" x14ac:dyDescent="0.3">
      <c r="A582">
        <v>581</v>
      </c>
      <c r="B582" t="s">
        <v>1252</v>
      </c>
      <c r="C582" t="s">
        <v>2251</v>
      </c>
      <c r="D582">
        <v>3</v>
      </c>
      <c r="E582">
        <v>31497</v>
      </c>
      <c r="F582">
        <f>messy_order_items_csv[[#This Row],[unit_price]]*messy_order_items_csv[[#This Row],[quantity]]</f>
        <v>94491</v>
      </c>
    </row>
    <row r="583" spans="1:6" x14ac:dyDescent="0.3">
      <c r="A583">
        <v>582</v>
      </c>
      <c r="B583" t="s">
        <v>1866</v>
      </c>
      <c r="C583" t="s">
        <v>2273</v>
      </c>
      <c r="E583">
        <v>70351</v>
      </c>
      <c r="F583">
        <f>messy_order_items_csv[[#This Row],[unit_price]]*messy_order_items_csv[[#This Row],[quantity]]</f>
        <v>0</v>
      </c>
    </row>
    <row r="584" spans="1:6" x14ac:dyDescent="0.3">
      <c r="A584">
        <v>583</v>
      </c>
      <c r="B584" t="s">
        <v>1272</v>
      </c>
      <c r="C584" t="s">
        <v>2258</v>
      </c>
      <c r="E584">
        <v>51735</v>
      </c>
      <c r="F584">
        <f>messy_order_items_csv[[#This Row],[unit_price]]*messy_order_items_csv[[#This Row],[quantity]]</f>
        <v>0</v>
      </c>
    </row>
    <row r="585" spans="1:6" x14ac:dyDescent="0.3">
      <c r="A585">
        <v>584</v>
      </c>
      <c r="B585" t="s">
        <v>1229</v>
      </c>
      <c r="C585" t="s">
        <v>2213</v>
      </c>
      <c r="D585">
        <v>0</v>
      </c>
      <c r="E585">
        <v>34393</v>
      </c>
      <c r="F585">
        <f>messy_order_items_csv[[#This Row],[unit_price]]*messy_order_items_csv[[#This Row],[quantity]]</f>
        <v>0</v>
      </c>
    </row>
    <row r="586" spans="1:6" x14ac:dyDescent="0.3">
      <c r="A586">
        <v>585</v>
      </c>
      <c r="B586" t="s">
        <v>2114</v>
      </c>
      <c r="C586" t="s">
        <v>2258</v>
      </c>
      <c r="D586">
        <v>2</v>
      </c>
      <c r="E586">
        <v>11222</v>
      </c>
      <c r="F586">
        <f>messy_order_items_csv[[#This Row],[unit_price]]*messy_order_items_csv[[#This Row],[quantity]]</f>
        <v>22444</v>
      </c>
    </row>
    <row r="587" spans="1:6" x14ac:dyDescent="0.3">
      <c r="A587">
        <v>586</v>
      </c>
      <c r="B587" t="s">
        <v>2057</v>
      </c>
      <c r="C587" t="s">
        <v>2269</v>
      </c>
      <c r="D587">
        <v>2</v>
      </c>
      <c r="E587">
        <v>24413</v>
      </c>
      <c r="F587">
        <f>messy_order_items_csv[[#This Row],[unit_price]]*messy_order_items_csv[[#This Row],[quantity]]</f>
        <v>48826</v>
      </c>
    </row>
    <row r="588" spans="1:6" x14ac:dyDescent="0.3">
      <c r="A588">
        <v>587</v>
      </c>
      <c r="B588" t="s">
        <v>1389</v>
      </c>
      <c r="C588" t="s">
        <v>2214</v>
      </c>
      <c r="D588">
        <v>3</v>
      </c>
      <c r="E588">
        <v>63166</v>
      </c>
      <c r="F588">
        <f>messy_order_items_csv[[#This Row],[unit_price]]*messy_order_items_csv[[#This Row],[quantity]]</f>
        <v>189498</v>
      </c>
    </row>
    <row r="589" spans="1:6" x14ac:dyDescent="0.3">
      <c r="A589">
        <v>588</v>
      </c>
      <c r="B589" t="s">
        <v>1308</v>
      </c>
      <c r="C589" t="s">
        <v>2219</v>
      </c>
      <c r="E589">
        <v>31497</v>
      </c>
      <c r="F589">
        <f>messy_order_items_csv[[#This Row],[unit_price]]*messy_order_items_csv[[#This Row],[quantity]]</f>
        <v>0</v>
      </c>
    </row>
    <row r="590" spans="1:6" x14ac:dyDescent="0.3">
      <c r="A590">
        <v>589</v>
      </c>
      <c r="B590" t="s">
        <v>1510</v>
      </c>
      <c r="C590" t="s">
        <v>2260</v>
      </c>
      <c r="D590">
        <v>1</v>
      </c>
      <c r="E590">
        <v>31497</v>
      </c>
      <c r="F590">
        <f>messy_order_items_csv[[#This Row],[unit_price]]*messy_order_items_csv[[#This Row],[quantity]]</f>
        <v>31497</v>
      </c>
    </row>
    <row r="591" spans="1:6" x14ac:dyDescent="0.3">
      <c r="A591">
        <v>590</v>
      </c>
      <c r="B591" t="s">
        <v>2020</v>
      </c>
      <c r="C591" t="s">
        <v>2261</v>
      </c>
      <c r="D591">
        <v>4</v>
      </c>
      <c r="E591">
        <v>31497</v>
      </c>
      <c r="F591">
        <f>messy_order_items_csv[[#This Row],[unit_price]]*messy_order_items_csv[[#This Row],[quantity]]</f>
        <v>125988</v>
      </c>
    </row>
    <row r="592" spans="1:6" x14ac:dyDescent="0.3">
      <c r="A592">
        <v>591</v>
      </c>
      <c r="B592" t="s">
        <v>2052</v>
      </c>
      <c r="C592" t="s">
        <v>2219</v>
      </c>
      <c r="D592">
        <v>4</v>
      </c>
      <c r="E592">
        <v>78514</v>
      </c>
      <c r="F592">
        <f>messy_order_items_csv[[#This Row],[unit_price]]*messy_order_items_csv[[#This Row],[quantity]]</f>
        <v>314056</v>
      </c>
    </row>
    <row r="593" spans="1:6" x14ac:dyDescent="0.3">
      <c r="A593">
        <v>592</v>
      </c>
      <c r="B593" t="s">
        <v>1151</v>
      </c>
      <c r="C593" t="s">
        <v>2264</v>
      </c>
      <c r="D593">
        <v>2</v>
      </c>
      <c r="E593">
        <v>31497</v>
      </c>
      <c r="F593">
        <f>messy_order_items_csv[[#This Row],[unit_price]]*messy_order_items_csv[[#This Row],[quantity]]</f>
        <v>62994</v>
      </c>
    </row>
    <row r="594" spans="1:6" x14ac:dyDescent="0.3">
      <c r="A594">
        <v>593</v>
      </c>
      <c r="B594" t="s">
        <v>1257</v>
      </c>
      <c r="C594" t="s">
        <v>2201</v>
      </c>
      <c r="D594">
        <v>2</v>
      </c>
      <c r="E594">
        <v>17778</v>
      </c>
      <c r="F594">
        <f>messy_order_items_csv[[#This Row],[unit_price]]*messy_order_items_csv[[#This Row],[quantity]]</f>
        <v>35556</v>
      </c>
    </row>
    <row r="595" spans="1:6" x14ac:dyDescent="0.3">
      <c r="A595">
        <v>594</v>
      </c>
      <c r="B595" t="s">
        <v>1362</v>
      </c>
      <c r="C595" t="s">
        <v>2254</v>
      </c>
      <c r="E595">
        <v>27615</v>
      </c>
      <c r="F595">
        <f>messy_order_items_csv[[#This Row],[unit_price]]*messy_order_items_csv[[#This Row],[quantity]]</f>
        <v>0</v>
      </c>
    </row>
    <row r="596" spans="1:6" x14ac:dyDescent="0.3">
      <c r="A596">
        <v>595</v>
      </c>
      <c r="B596" t="s">
        <v>1289</v>
      </c>
      <c r="C596" t="s">
        <v>2271</v>
      </c>
      <c r="E596">
        <v>48776</v>
      </c>
      <c r="F596">
        <f>messy_order_items_csv[[#This Row],[unit_price]]*messy_order_items_csv[[#This Row],[quantity]]</f>
        <v>0</v>
      </c>
    </row>
    <row r="597" spans="1:6" x14ac:dyDescent="0.3">
      <c r="A597">
        <v>596</v>
      </c>
      <c r="B597" t="s">
        <v>1807</v>
      </c>
      <c r="C597" t="s">
        <v>2251</v>
      </c>
      <c r="D597">
        <v>1</v>
      </c>
      <c r="E597">
        <v>57557</v>
      </c>
      <c r="F597">
        <f>messy_order_items_csv[[#This Row],[unit_price]]*messy_order_items_csv[[#This Row],[quantity]]</f>
        <v>57557</v>
      </c>
    </row>
    <row r="598" spans="1:6" x14ac:dyDescent="0.3">
      <c r="A598">
        <v>597</v>
      </c>
      <c r="B598" t="s">
        <v>1107</v>
      </c>
      <c r="C598" t="s">
        <v>2273</v>
      </c>
      <c r="D598">
        <v>2</v>
      </c>
      <c r="E598">
        <v>31497</v>
      </c>
      <c r="F598">
        <f>messy_order_items_csv[[#This Row],[unit_price]]*messy_order_items_csv[[#This Row],[quantity]]</f>
        <v>62994</v>
      </c>
    </row>
    <row r="599" spans="1:6" x14ac:dyDescent="0.3">
      <c r="A599">
        <v>598</v>
      </c>
      <c r="B599" t="s">
        <v>1855</v>
      </c>
      <c r="C599" t="s">
        <v>2269</v>
      </c>
      <c r="D599">
        <v>2</v>
      </c>
      <c r="E599">
        <v>41597</v>
      </c>
      <c r="F599">
        <f>messy_order_items_csv[[#This Row],[unit_price]]*messy_order_items_csv[[#This Row],[quantity]]</f>
        <v>83194</v>
      </c>
    </row>
    <row r="600" spans="1:6" x14ac:dyDescent="0.3">
      <c r="A600">
        <v>599</v>
      </c>
      <c r="B600" t="s">
        <v>2048</v>
      </c>
      <c r="C600" t="s">
        <v>2220</v>
      </c>
      <c r="D600">
        <v>2</v>
      </c>
      <c r="E600">
        <v>5475</v>
      </c>
      <c r="F600">
        <f>messy_order_items_csv[[#This Row],[unit_price]]*messy_order_items_csv[[#This Row],[quantity]]</f>
        <v>10950</v>
      </c>
    </row>
    <row r="601" spans="1:6" x14ac:dyDescent="0.3">
      <c r="A601">
        <v>600</v>
      </c>
      <c r="B601" t="s">
        <v>1829</v>
      </c>
      <c r="C601" t="s">
        <v>2254</v>
      </c>
      <c r="E601">
        <v>15822</v>
      </c>
      <c r="F601">
        <f>messy_order_items_csv[[#This Row],[unit_price]]*messy_order_items_csv[[#This Row],[quantity]]</f>
        <v>0</v>
      </c>
    </row>
    <row r="602" spans="1:6" x14ac:dyDescent="0.3">
      <c r="A602">
        <v>601</v>
      </c>
      <c r="B602" t="s">
        <v>1294</v>
      </c>
      <c r="C602" t="s">
        <v>2243</v>
      </c>
      <c r="D602">
        <v>3</v>
      </c>
      <c r="E602">
        <v>31497</v>
      </c>
      <c r="F602">
        <f>messy_order_items_csv[[#This Row],[unit_price]]*messy_order_items_csv[[#This Row],[quantity]]</f>
        <v>94491</v>
      </c>
    </row>
    <row r="603" spans="1:6" x14ac:dyDescent="0.3">
      <c r="A603">
        <v>602</v>
      </c>
      <c r="B603" t="s">
        <v>2118</v>
      </c>
      <c r="C603" t="s">
        <v>2225</v>
      </c>
      <c r="D603">
        <v>4</v>
      </c>
      <c r="E603">
        <v>21644</v>
      </c>
      <c r="F603">
        <f>messy_order_items_csv[[#This Row],[unit_price]]*messy_order_items_csv[[#This Row],[quantity]]</f>
        <v>86576</v>
      </c>
    </row>
    <row r="604" spans="1:6" x14ac:dyDescent="0.3">
      <c r="A604">
        <v>603</v>
      </c>
      <c r="B604" t="s">
        <v>2130</v>
      </c>
      <c r="C604" t="s">
        <v>2237</v>
      </c>
      <c r="D604">
        <v>4</v>
      </c>
      <c r="E604">
        <v>61022</v>
      </c>
      <c r="F604">
        <f>messy_order_items_csv[[#This Row],[unit_price]]*messy_order_items_csv[[#This Row],[quantity]]</f>
        <v>244088</v>
      </c>
    </row>
    <row r="605" spans="1:6" x14ac:dyDescent="0.3">
      <c r="A605">
        <v>604</v>
      </c>
      <c r="B605" t="s">
        <v>1901</v>
      </c>
      <c r="C605" t="s">
        <v>2225</v>
      </c>
      <c r="D605">
        <v>0</v>
      </c>
      <c r="E605">
        <v>13678</v>
      </c>
      <c r="F605">
        <f>messy_order_items_csv[[#This Row],[unit_price]]*messy_order_items_csv[[#This Row],[quantity]]</f>
        <v>0</v>
      </c>
    </row>
    <row r="606" spans="1:6" x14ac:dyDescent="0.3">
      <c r="A606">
        <v>605</v>
      </c>
      <c r="B606" t="s">
        <v>1454</v>
      </c>
      <c r="C606" t="s">
        <v>2207</v>
      </c>
      <c r="D606">
        <v>4</v>
      </c>
      <c r="E606">
        <v>31497</v>
      </c>
      <c r="F606">
        <f>messy_order_items_csv[[#This Row],[unit_price]]*messy_order_items_csv[[#This Row],[quantity]]</f>
        <v>125988</v>
      </c>
    </row>
    <row r="607" spans="1:6" x14ac:dyDescent="0.3">
      <c r="A607">
        <v>606</v>
      </c>
      <c r="B607" t="s">
        <v>1795</v>
      </c>
      <c r="C607" t="s">
        <v>2273</v>
      </c>
      <c r="D607">
        <v>0</v>
      </c>
      <c r="E607">
        <v>31497</v>
      </c>
      <c r="F607">
        <f>messy_order_items_csv[[#This Row],[unit_price]]*messy_order_items_csv[[#This Row],[quantity]]</f>
        <v>0</v>
      </c>
    </row>
    <row r="608" spans="1:6" x14ac:dyDescent="0.3">
      <c r="A608">
        <v>607</v>
      </c>
      <c r="B608" t="s">
        <v>1799</v>
      </c>
      <c r="C608" t="s">
        <v>2260</v>
      </c>
      <c r="E608">
        <v>89620</v>
      </c>
      <c r="F608">
        <f>messy_order_items_csv[[#This Row],[unit_price]]*messy_order_items_csv[[#This Row],[quantity]]</f>
        <v>0</v>
      </c>
    </row>
    <row r="609" spans="1:6" x14ac:dyDescent="0.3">
      <c r="A609">
        <v>608</v>
      </c>
      <c r="B609" t="s">
        <v>1008</v>
      </c>
      <c r="C609" t="s">
        <v>2267</v>
      </c>
      <c r="D609">
        <v>4</v>
      </c>
      <c r="E609">
        <v>31497</v>
      </c>
      <c r="F609">
        <f>messy_order_items_csv[[#This Row],[unit_price]]*messy_order_items_csv[[#This Row],[quantity]]</f>
        <v>125988</v>
      </c>
    </row>
    <row r="610" spans="1:6" x14ac:dyDescent="0.3">
      <c r="A610">
        <v>609</v>
      </c>
      <c r="B610" t="s">
        <v>1164</v>
      </c>
      <c r="C610" t="s">
        <v>2249</v>
      </c>
      <c r="D610">
        <v>4</v>
      </c>
      <c r="E610">
        <v>31497</v>
      </c>
      <c r="F610">
        <f>messy_order_items_csv[[#This Row],[unit_price]]*messy_order_items_csv[[#This Row],[quantity]]</f>
        <v>125988</v>
      </c>
    </row>
    <row r="611" spans="1:6" x14ac:dyDescent="0.3">
      <c r="A611">
        <v>610</v>
      </c>
      <c r="B611" t="s">
        <v>1778</v>
      </c>
      <c r="C611" t="s">
        <v>2240</v>
      </c>
      <c r="D611">
        <v>3</v>
      </c>
      <c r="E611">
        <v>31497</v>
      </c>
      <c r="F611">
        <f>messy_order_items_csv[[#This Row],[unit_price]]*messy_order_items_csv[[#This Row],[quantity]]</f>
        <v>94491</v>
      </c>
    </row>
    <row r="612" spans="1:6" x14ac:dyDescent="0.3">
      <c r="A612">
        <v>611</v>
      </c>
      <c r="B612" t="s">
        <v>1080</v>
      </c>
      <c r="C612" t="s">
        <v>2227</v>
      </c>
      <c r="E612">
        <v>21940</v>
      </c>
      <c r="F612">
        <f>messy_order_items_csv[[#This Row],[unit_price]]*messy_order_items_csv[[#This Row],[quantity]]</f>
        <v>0</v>
      </c>
    </row>
    <row r="613" spans="1:6" x14ac:dyDescent="0.3">
      <c r="A613">
        <v>612</v>
      </c>
      <c r="B613" t="s">
        <v>1753</v>
      </c>
      <c r="C613" t="s">
        <v>2229</v>
      </c>
      <c r="D613">
        <v>2</v>
      </c>
      <c r="E613">
        <v>47676</v>
      </c>
      <c r="F613">
        <f>messy_order_items_csv[[#This Row],[unit_price]]*messy_order_items_csv[[#This Row],[quantity]]</f>
        <v>95352</v>
      </c>
    </row>
    <row r="614" spans="1:6" x14ac:dyDescent="0.3">
      <c r="A614">
        <v>613</v>
      </c>
      <c r="B614" t="s">
        <v>1985</v>
      </c>
      <c r="C614" t="s">
        <v>2236</v>
      </c>
      <c r="D614">
        <v>4</v>
      </c>
      <c r="E614">
        <v>52315</v>
      </c>
      <c r="F614">
        <f>messy_order_items_csv[[#This Row],[unit_price]]*messy_order_items_csv[[#This Row],[quantity]]</f>
        <v>209260</v>
      </c>
    </row>
    <row r="615" spans="1:6" x14ac:dyDescent="0.3">
      <c r="A615">
        <v>614</v>
      </c>
      <c r="B615" t="s">
        <v>1449</v>
      </c>
      <c r="C615" t="s">
        <v>2243</v>
      </c>
      <c r="E615">
        <v>31497</v>
      </c>
      <c r="F615">
        <f>messy_order_items_csv[[#This Row],[unit_price]]*messy_order_items_csv[[#This Row],[quantity]]</f>
        <v>0</v>
      </c>
    </row>
    <row r="616" spans="1:6" x14ac:dyDescent="0.3">
      <c r="A616">
        <v>615</v>
      </c>
      <c r="B616" t="s">
        <v>1724</v>
      </c>
      <c r="C616" t="s">
        <v>2231</v>
      </c>
      <c r="D616">
        <v>2</v>
      </c>
      <c r="E616">
        <v>46288</v>
      </c>
      <c r="F616">
        <f>messy_order_items_csv[[#This Row],[unit_price]]*messy_order_items_csv[[#This Row],[quantity]]</f>
        <v>92576</v>
      </c>
    </row>
    <row r="617" spans="1:6" x14ac:dyDescent="0.3">
      <c r="A617">
        <v>616</v>
      </c>
      <c r="B617" t="s">
        <v>1917</v>
      </c>
      <c r="C617" t="s">
        <v>2265</v>
      </c>
      <c r="D617">
        <v>1</v>
      </c>
      <c r="E617">
        <v>70582</v>
      </c>
      <c r="F617">
        <f>messy_order_items_csv[[#This Row],[unit_price]]*messy_order_items_csv[[#This Row],[quantity]]</f>
        <v>70582</v>
      </c>
    </row>
    <row r="618" spans="1:6" x14ac:dyDescent="0.3">
      <c r="A618">
        <v>617</v>
      </c>
      <c r="B618" t="s">
        <v>1063</v>
      </c>
      <c r="C618" t="s">
        <v>2267</v>
      </c>
      <c r="D618">
        <v>2</v>
      </c>
      <c r="E618">
        <v>61594</v>
      </c>
      <c r="F618">
        <f>messy_order_items_csv[[#This Row],[unit_price]]*messy_order_items_csv[[#This Row],[quantity]]</f>
        <v>123188</v>
      </c>
    </row>
    <row r="619" spans="1:6" x14ac:dyDescent="0.3">
      <c r="A619">
        <v>618</v>
      </c>
      <c r="B619" t="s">
        <v>1333</v>
      </c>
      <c r="C619" t="s">
        <v>2268</v>
      </c>
      <c r="D619">
        <v>4</v>
      </c>
      <c r="E619">
        <v>28151</v>
      </c>
      <c r="F619">
        <f>messy_order_items_csv[[#This Row],[unit_price]]*messy_order_items_csv[[#This Row],[quantity]]</f>
        <v>112604</v>
      </c>
    </row>
    <row r="620" spans="1:6" x14ac:dyDescent="0.3">
      <c r="A620">
        <v>619</v>
      </c>
      <c r="B620" t="s">
        <v>1936</v>
      </c>
      <c r="C620" t="s">
        <v>2214</v>
      </c>
      <c r="D620">
        <v>4</v>
      </c>
      <c r="E620">
        <v>31497</v>
      </c>
      <c r="F620">
        <f>messy_order_items_csv[[#This Row],[unit_price]]*messy_order_items_csv[[#This Row],[quantity]]</f>
        <v>125988</v>
      </c>
    </row>
    <row r="621" spans="1:6" x14ac:dyDescent="0.3">
      <c r="A621">
        <v>620</v>
      </c>
      <c r="B621" t="s">
        <v>1458</v>
      </c>
      <c r="C621" t="s">
        <v>2272</v>
      </c>
      <c r="D621">
        <v>0</v>
      </c>
      <c r="E621">
        <v>43027</v>
      </c>
      <c r="F621">
        <f>messy_order_items_csv[[#This Row],[unit_price]]*messy_order_items_csv[[#This Row],[quantity]]</f>
        <v>0</v>
      </c>
    </row>
    <row r="622" spans="1:6" x14ac:dyDescent="0.3">
      <c r="A622">
        <v>621</v>
      </c>
      <c r="B622" t="s">
        <v>1107</v>
      </c>
      <c r="C622" t="s">
        <v>2198</v>
      </c>
      <c r="D622">
        <v>4</v>
      </c>
      <c r="E622">
        <v>31497</v>
      </c>
      <c r="F622">
        <f>messy_order_items_csv[[#This Row],[unit_price]]*messy_order_items_csv[[#This Row],[quantity]]</f>
        <v>125988</v>
      </c>
    </row>
    <row r="623" spans="1:6" x14ac:dyDescent="0.3">
      <c r="A623">
        <v>622</v>
      </c>
      <c r="B623" t="s">
        <v>1539</v>
      </c>
      <c r="C623" t="s">
        <v>2274</v>
      </c>
      <c r="D623">
        <v>0</v>
      </c>
      <c r="E623">
        <v>31497</v>
      </c>
      <c r="F623">
        <f>messy_order_items_csv[[#This Row],[unit_price]]*messy_order_items_csv[[#This Row],[quantity]]</f>
        <v>0</v>
      </c>
    </row>
    <row r="624" spans="1:6" x14ac:dyDescent="0.3">
      <c r="A624">
        <v>623</v>
      </c>
      <c r="B624" t="s">
        <v>1165</v>
      </c>
      <c r="C624" t="s">
        <v>2201</v>
      </c>
      <c r="D624">
        <v>3</v>
      </c>
      <c r="E624">
        <v>31497</v>
      </c>
      <c r="F624">
        <f>messy_order_items_csv[[#This Row],[unit_price]]*messy_order_items_csv[[#This Row],[quantity]]</f>
        <v>94491</v>
      </c>
    </row>
    <row r="625" spans="1:6" x14ac:dyDescent="0.3">
      <c r="A625">
        <v>624</v>
      </c>
      <c r="B625" t="s">
        <v>1342</v>
      </c>
      <c r="C625" t="s">
        <v>2236</v>
      </c>
      <c r="D625">
        <v>3</v>
      </c>
      <c r="E625">
        <v>6095</v>
      </c>
      <c r="F625">
        <f>messy_order_items_csv[[#This Row],[unit_price]]*messy_order_items_csv[[#This Row],[quantity]]</f>
        <v>18285</v>
      </c>
    </row>
    <row r="626" spans="1:6" x14ac:dyDescent="0.3">
      <c r="A626">
        <v>625</v>
      </c>
      <c r="B626" t="s">
        <v>2062</v>
      </c>
      <c r="C626" t="s">
        <v>2215</v>
      </c>
      <c r="D626">
        <v>0</v>
      </c>
      <c r="E626">
        <v>31497</v>
      </c>
      <c r="F626">
        <f>messy_order_items_csv[[#This Row],[unit_price]]*messy_order_items_csv[[#This Row],[quantity]]</f>
        <v>0</v>
      </c>
    </row>
    <row r="627" spans="1:6" x14ac:dyDescent="0.3">
      <c r="A627">
        <v>626</v>
      </c>
      <c r="B627" t="s">
        <v>1887</v>
      </c>
      <c r="C627" t="s">
        <v>2249</v>
      </c>
      <c r="D627">
        <v>0</v>
      </c>
      <c r="E627">
        <v>31497</v>
      </c>
      <c r="F627">
        <f>messy_order_items_csv[[#This Row],[unit_price]]*messy_order_items_csv[[#This Row],[quantity]]</f>
        <v>0</v>
      </c>
    </row>
    <row r="628" spans="1:6" x14ac:dyDescent="0.3">
      <c r="A628">
        <v>627</v>
      </c>
      <c r="B628" t="s">
        <v>1206</v>
      </c>
      <c r="C628" t="s">
        <v>2228</v>
      </c>
      <c r="E628">
        <v>56199</v>
      </c>
      <c r="F628">
        <f>messy_order_items_csv[[#This Row],[unit_price]]*messy_order_items_csv[[#This Row],[quantity]]</f>
        <v>0</v>
      </c>
    </row>
    <row r="629" spans="1:6" x14ac:dyDescent="0.3">
      <c r="A629">
        <v>628</v>
      </c>
      <c r="B629" t="s">
        <v>1432</v>
      </c>
      <c r="C629" t="s">
        <v>2274</v>
      </c>
      <c r="D629">
        <v>1</v>
      </c>
      <c r="E629">
        <v>84208</v>
      </c>
      <c r="F629">
        <f>messy_order_items_csv[[#This Row],[unit_price]]*messy_order_items_csv[[#This Row],[quantity]]</f>
        <v>84208</v>
      </c>
    </row>
    <row r="630" spans="1:6" x14ac:dyDescent="0.3">
      <c r="A630">
        <v>629</v>
      </c>
      <c r="B630" t="s">
        <v>1031</v>
      </c>
      <c r="C630" t="s">
        <v>2261</v>
      </c>
      <c r="E630">
        <v>31497</v>
      </c>
      <c r="F630">
        <f>messy_order_items_csv[[#This Row],[unit_price]]*messy_order_items_csv[[#This Row],[quantity]]</f>
        <v>0</v>
      </c>
    </row>
    <row r="631" spans="1:6" x14ac:dyDescent="0.3">
      <c r="A631">
        <v>630</v>
      </c>
      <c r="B631" t="s">
        <v>1640</v>
      </c>
      <c r="C631" t="s">
        <v>2225</v>
      </c>
      <c r="D631">
        <v>0</v>
      </c>
      <c r="E631">
        <v>83661</v>
      </c>
      <c r="F631">
        <f>messy_order_items_csv[[#This Row],[unit_price]]*messy_order_items_csv[[#This Row],[quantity]]</f>
        <v>0</v>
      </c>
    </row>
    <row r="632" spans="1:6" x14ac:dyDescent="0.3">
      <c r="A632">
        <v>631</v>
      </c>
      <c r="B632" t="s">
        <v>991</v>
      </c>
      <c r="C632" t="s">
        <v>2257</v>
      </c>
      <c r="E632">
        <v>36009</v>
      </c>
      <c r="F632">
        <f>messy_order_items_csv[[#This Row],[unit_price]]*messy_order_items_csv[[#This Row],[quantity]]</f>
        <v>0</v>
      </c>
    </row>
    <row r="633" spans="1:6" x14ac:dyDescent="0.3">
      <c r="A633">
        <v>632</v>
      </c>
      <c r="B633" t="s">
        <v>1561</v>
      </c>
      <c r="C633" t="s">
        <v>2251</v>
      </c>
      <c r="D633">
        <v>3</v>
      </c>
      <c r="E633">
        <v>45627</v>
      </c>
      <c r="F633">
        <f>messy_order_items_csv[[#This Row],[unit_price]]*messy_order_items_csv[[#This Row],[quantity]]</f>
        <v>136881</v>
      </c>
    </row>
    <row r="634" spans="1:6" x14ac:dyDescent="0.3">
      <c r="A634">
        <v>633</v>
      </c>
      <c r="B634" t="s">
        <v>1358</v>
      </c>
      <c r="C634" t="s">
        <v>2251</v>
      </c>
      <c r="D634">
        <v>1</v>
      </c>
      <c r="E634">
        <v>10513</v>
      </c>
      <c r="F634">
        <f>messy_order_items_csv[[#This Row],[unit_price]]*messy_order_items_csv[[#This Row],[quantity]]</f>
        <v>10513</v>
      </c>
    </row>
    <row r="635" spans="1:6" x14ac:dyDescent="0.3">
      <c r="A635">
        <v>634</v>
      </c>
      <c r="B635" t="s">
        <v>1475</v>
      </c>
      <c r="C635" t="s">
        <v>2268</v>
      </c>
      <c r="E635">
        <v>28151</v>
      </c>
      <c r="F635">
        <f>messy_order_items_csv[[#This Row],[unit_price]]*messy_order_items_csv[[#This Row],[quantity]]</f>
        <v>0</v>
      </c>
    </row>
    <row r="636" spans="1:6" x14ac:dyDescent="0.3">
      <c r="A636">
        <v>635</v>
      </c>
      <c r="B636" t="s">
        <v>1766</v>
      </c>
      <c r="C636" t="s">
        <v>2202</v>
      </c>
      <c r="D636">
        <v>1</v>
      </c>
      <c r="E636">
        <v>16837</v>
      </c>
      <c r="F636">
        <f>messy_order_items_csv[[#This Row],[unit_price]]*messy_order_items_csv[[#This Row],[quantity]]</f>
        <v>16837</v>
      </c>
    </row>
    <row r="637" spans="1:6" x14ac:dyDescent="0.3">
      <c r="A637">
        <v>636</v>
      </c>
      <c r="B637" t="s">
        <v>1300</v>
      </c>
      <c r="C637" t="s">
        <v>2239</v>
      </c>
      <c r="D637">
        <v>4</v>
      </c>
      <c r="E637">
        <v>68660</v>
      </c>
      <c r="F637">
        <f>messy_order_items_csv[[#This Row],[unit_price]]*messy_order_items_csv[[#This Row],[quantity]]</f>
        <v>274640</v>
      </c>
    </row>
    <row r="638" spans="1:6" x14ac:dyDescent="0.3">
      <c r="A638">
        <v>637</v>
      </c>
      <c r="B638" t="s">
        <v>1756</v>
      </c>
      <c r="C638" t="s">
        <v>2262</v>
      </c>
      <c r="D638">
        <v>2</v>
      </c>
      <c r="E638">
        <v>16776</v>
      </c>
      <c r="F638">
        <f>messy_order_items_csv[[#This Row],[unit_price]]*messy_order_items_csv[[#This Row],[quantity]]</f>
        <v>33552</v>
      </c>
    </row>
    <row r="639" spans="1:6" x14ac:dyDescent="0.3">
      <c r="A639">
        <v>638</v>
      </c>
      <c r="B639" t="s">
        <v>1160</v>
      </c>
      <c r="C639" t="s">
        <v>2245</v>
      </c>
      <c r="D639">
        <v>1</v>
      </c>
      <c r="E639">
        <v>69031</v>
      </c>
      <c r="F639">
        <f>messy_order_items_csv[[#This Row],[unit_price]]*messy_order_items_csv[[#This Row],[quantity]]</f>
        <v>69031</v>
      </c>
    </row>
    <row r="640" spans="1:6" x14ac:dyDescent="0.3">
      <c r="A640">
        <v>639</v>
      </c>
      <c r="B640" t="s">
        <v>1826</v>
      </c>
      <c r="C640" t="s">
        <v>2242</v>
      </c>
      <c r="E640">
        <v>31497</v>
      </c>
      <c r="F640">
        <f>messy_order_items_csv[[#This Row],[unit_price]]*messy_order_items_csv[[#This Row],[quantity]]</f>
        <v>0</v>
      </c>
    </row>
    <row r="641" spans="1:6" x14ac:dyDescent="0.3">
      <c r="A641">
        <v>640</v>
      </c>
      <c r="B641" t="s">
        <v>1041</v>
      </c>
      <c r="C641" t="s">
        <v>2272</v>
      </c>
      <c r="D641">
        <v>0</v>
      </c>
      <c r="E641">
        <v>43027</v>
      </c>
      <c r="F641">
        <f>messy_order_items_csv[[#This Row],[unit_price]]*messy_order_items_csv[[#This Row],[quantity]]</f>
        <v>0</v>
      </c>
    </row>
    <row r="642" spans="1:6" x14ac:dyDescent="0.3">
      <c r="A642">
        <v>641</v>
      </c>
      <c r="B642" t="s">
        <v>1141</v>
      </c>
      <c r="C642" t="s">
        <v>2260</v>
      </c>
      <c r="D642">
        <v>2</v>
      </c>
      <c r="E642">
        <v>31497</v>
      </c>
      <c r="F642">
        <f>messy_order_items_csv[[#This Row],[unit_price]]*messy_order_items_csv[[#This Row],[quantity]]</f>
        <v>62994</v>
      </c>
    </row>
    <row r="643" spans="1:6" x14ac:dyDescent="0.3">
      <c r="A643">
        <v>642</v>
      </c>
      <c r="B643" t="s">
        <v>2021</v>
      </c>
      <c r="C643" t="s">
        <v>2200</v>
      </c>
      <c r="D643">
        <v>3</v>
      </c>
      <c r="E643">
        <v>45765</v>
      </c>
      <c r="F643">
        <f>messy_order_items_csv[[#This Row],[unit_price]]*messy_order_items_csv[[#This Row],[quantity]]</f>
        <v>137295</v>
      </c>
    </row>
    <row r="644" spans="1:6" x14ac:dyDescent="0.3">
      <c r="A644">
        <v>643</v>
      </c>
      <c r="B644" t="s">
        <v>1632</v>
      </c>
      <c r="C644" t="s">
        <v>2250</v>
      </c>
      <c r="D644">
        <v>3</v>
      </c>
      <c r="E644">
        <v>31497</v>
      </c>
      <c r="F644">
        <f>messy_order_items_csv[[#This Row],[unit_price]]*messy_order_items_csv[[#This Row],[quantity]]</f>
        <v>94491</v>
      </c>
    </row>
    <row r="645" spans="1:6" x14ac:dyDescent="0.3">
      <c r="A645">
        <v>644</v>
      </c>
      <c r="B645" t="s">
        <v>1965</v>
      </c>
      <c r="C645" t="s">
        <v>2212</v>
      </c>
      <c r="D645">
        <v>4</v>
      </c>
      <c r="E645">
        <v>27108</v>
      </c>
      <c r="F645">
        <f>messy_order_items_csv[[#This Row],[unit_price]]*messy_order_items_csv[[#This Row],[quantity]]</f>
        <v>108432</v>
      </c>
    </row>
    <row r="646" spans="1:6" x14ac:dyDescent="0.3">
      <c r="A646">
        <v>645</v>
      </c>
      <c r="B646" t="s">
        <v>1954</v>
      </c>
      <c r="C646" t="s">
        <v>2214</v>
      </c>
      <c r="D646">
        <v>1</v>
      </c>
      <c r="E646">
        <v>27541</v>
      </c>
      <c r="F646">
        <f>messy_order_items_csv[[#This Row],[unit_price]]*messy_order_items_csv[[#This Row],[quantity]]</f>
        <v>27541</v>
      </c>
    </row>
    <row r="647" spans="1:6" x14ac:dyDescent="0.3">
      <c r="A647">
        <v>646</v>
      </c>
      <c r="B647" t="s">
        <v>1397</v>
      </c>
      <c r="C647" t="s">
        <v>2219</v>
      </c>
      <c r="D647">
        <v>2</v>
      </c>
      <c r="E647">
        <v>31497</v>
      </c>
      <c r="F647">
        <f>messy_order_items_csv[[#This Row],[unit_price]]*messy_order_items_csv[[#This Row],[quantity]]</f>
        <v>62994</v>
      </c>
    </row>
    <row r="648" spans="1:6" x14ac:dyDescent="0.3">
      <c r="A648">
        <v>647</v>
      </c>
      <c r="B648" t="s">
        <v>2090</v>
      </c>
      <c r="C648" t="s">
        <v>2208</v>
      </c>
      <c r="D648">
        <v>1</v>
      </c>
      <c r="E648">
        <v>45409</v>
      </c>
      <c r="F648">
        <f>messy_order_items_csv[[#This Row],[unit_price]]*messy_order_items_csv[[#This Row],[quantity]]</f>
        <v>45409</v>
      </c>
    </row>
    <row r="649" spans="1:6" x14ac:dyDescent="0.3">
      <c r="A649">
        <v>648</v>
      </c>
      <c r="B649" t="s">
        <v>2164</v>
      </c>
      <c r="C649" t="s">
        <v>2256</v>
      </c>
      <c r="D649">
        <v>2</v>
      </c>
      <c r="E649">
        <v>54493</v>
      </c>
      <c r="F649">
        <f>messy_order_items_csv[[#This Row],[unit_price]]*messy_order_items_csv[[#This Row],[quantity]]</f>
        <v>108986</v>
      </c>
    </row>
    <row r="650" spans="1:6" x14ac:dyDescent="0.3">
      <c r="A650">
        <v>649</v>
      </c>
      <c r="B650" t="s">
        <v>1617</v>
      </c>
      <c r="C650" t="s">
        <v>2196</v>
      </c>
      <c r="D650">
        <v>1</v>
      </c>
      <c r="E650">
        <v>31497</v>
      </c>
      <c r="F650">
        <f>messy_order_items_csv[[#This Row],[unit_price]]*messy_order_items_csv[[#This Row],[quantity]]</f>
        <v>31497</v>
      </c>
    </row>
    <row r="651" spans="1:6" x14ac:dyDescent="0.3">
      <c r="A651">
        <v>650</v>
      </c>
      <c r="B651" t="s">
        <v>1448</v>
      </c>
      <c r="C651" t="s">
        <v>2208</v>
      </c>
      <c r="E651">
        <v>17163</v>
      </c>
      <c r="F651">
        <f>messy_order_items_csv[[#This Row],[unit_price]]*messy_order_items_csv[[#This Row],[quantity]]</f>
        <v>0</v>
      </c>
    </row>
    <row r="652" spans="1:6" x14ac:dyDescent="0.3">
      <c r="A652">
        <v>651</v>
      </c>
      <c r="B652" t="s">
        <v>1624</v>
      </c>
      <c r="C652" t="s">
        <v>2197</v>
      </c>
      <c r="D652">
        <v>0</v>
      </c>
      <c r="E652">
        <v>31497</v>
      </c>
      <c r="F652">
        <f>messy_order_items_csv[[#This Row],[unit_price]]*messy_order_items_csv[[#This Row],[quantity]]</f>
        <v>0</v>
      </c>
    </row>
    <row r="653" spans="1:6" x14ac:dyDescent="0.3">
      <c r="A653">
        <v>652</v>
      </c>
      <c r="B653" t="s">
        <v>2063</v>
      </c>
      <c r="C653" t="s">
        <v>2231</v>
      </c>
      <c r="D653">
        <v>1</v>
      </c>
      <c r="E653">
        <v>40595</v>
      </c>
      <c r="F653">
        <f>messy_order_items_csv[[#This Row],[unit_price]]*messy_order_items_csv[[#This Row],[quantity]]</f>
        <v>40595</v>
      </c>
    </row>
    <row r="654" spans="1:6" x14ac:dyDescent="0.3">
      <c r="A654">
        <v>653</v>
      </c>
      <c r="B654" t="s">
        <v>2047</v>
      </c>
      <c r="C654" t="s">
        <v>2211</v>
      </c>
      <c r="E654">
        <v>56159</v>
      </c>
      <c r="F654">
        <f>messy_order_items_csv[[#This Row],[unit_price]]*messy_order_items_csv[[#This Row],[quantity]]</f>
        <v>0</v>
      </c>
    </row>
    <row r="655" spans="1:6" x14ac:dyDescent="0.3">
      <c r="A655">
        <v>654</v>
      </c>
      <c r="B655" t="s">
        <v>1938</v>
      </c>
      <c r="C655" t="s">
        <v>2273</v>
      </c>
      <c r="D655">
        <v>3</v>
      </c>
      <c r="E655">
        <v>31497</v>
      </c>
      <c r="F655">
        <f>messy_order_items_csv[[#This Row],[unit_price]]*messy_order_items_csv[[#This Row],[quantity]]</f>
        <v>94491</v>
      </c>
    </row>
    <row r="656" spans="1:6" x14ac:dyDescent="0.3">
      <c r="A656">
        <v>655</v>
      </c>
      <c r="B656" t="s">
        <v>1121</v>
      </c>
      <c r="C656" t="s">
        <v>2207</v>
      </c>
      <c r="D656">
        <v>3</v>
      </c>
      <c r="E656">
        <v>83877</v>
      </c>
      <c r="F656">
        <f>messy_order_items_csv[[#This Row],[unit_price]]*messy_order_items_csv[[#This Row],[quantity]]</f>
        <v>251631</v>
      </c>
    </row>
    <row r="657" spans="1:6" x14ac:dyDescent="0.3">
      <c r="A657">
        <v>656</v>
      </c>
      <c r="B657" t="s">
        <v>2029</v>
      </c>
      <c r="C657" t="s">
        <v>2200</v>
      </c>
      <c r="D657">
        <v>4</v>
      </c>
      <c r="E657">
        <v>35626</v>
      </c>
      <c r="F657">
        <f>messy_order_items_csv[[#This Row],[unit_price]]*messy_order_items_csv[[#This Row],[quantity]]</f>
        <v>142504</v>
      </c>
    </row>
    <row r="658" spans="1:6" x14ac:dyDescent="0.3">
      <c r="A658">
        <v>657</v>
      </c>
      <c r="B658" t="s">
        <v>1183</v>
      </c>
      <c r="C658" t="s">
        <v>2250</v>
      </c>
      <c r="D658">
        <v>3</v>
      </c>
      <c r="E658">
        <v>31497</v>
      </c>
      <c r="F658">
        <f>messy_order_items_csv[[#This Row],[unit_price]]*messy_order_items_csv[[#This Row],[quantity]]</f>
        <v>94491</v>
      </c>
    </row>
    <row r="659" spans="1:6" x14ac:dyDescent="0.3">
      <c r="A659">
        <v>658</v>
      </c>
      <c r="B659" t="s">
        <v>1905</v>
      </c>
      <c r="C659" t="s">
        <v>2202</v>
      </c>
      <c r="D659">
        <v>3</v>
      </c>
      <c r="E659">
        <v>76680</v>
      </c>
      <c r="F659">
        <f>messy_order_items_csv[[#This Row],[unit_price]]*messy_order_items_csv[[#This Row],[quantity]]</f>
        <v>230040</v>
      </c>
    </row>
    <row r="660" spans="1:6" x14ac:dyDescent="0.3">
      <c r="A660">
        <v>659</v>
      </c>
      <c r="B660" t="s">
        <v>1134</v>
      </c>
      <c r="C660" t="s">
        <v>2230</v>
      </c>
      <c r="D660">
        <v>1</v>
      </c>
      <c r="E660">
        <v>31497</v>
      </c>
      <c r="F660">
        <f>messy_order_items_csv[[#This Row],[unit_price]]*messy_order_items_csv[[#This Row],[quantity]]</f>
        <v>31497</v>
      </c>
    </row>
    <row r="661" spans="1:6" x14ac:dyDescent="0.3">
      <c r="A661">
        <v>660</v>
      </c>
      <c r="B661" t="s">
        <v>2089</v>
      </c>
      <c r="C661" t="s">
        <v>2196</v>
      </c>
      <c r="D661">
        <v>1</v>
      </c>
      <c r="E661">
        <v>31497</v>
      </c>
      <c r="F661">
        <f>messy_order_items_csv[[#This Row],[unit_price]]*messy_order_items_csv[[#This Row],[quantity]]</f>
        <v>31497</v>
      </c>
    </row>
    <row r="662" spans="1:6" x14ac:dyDescent="0.3">
      <c r="A662">
        <v>661</v>
      </c>
      <c r="B662" t="s">
        <v>1443</v>
      </c>
      <c r="C662" t="s">
        <v>2251</v>
      </c>
      <c r="D662">
        <v>2</v>
      </c>
      <c r="E662">
        <v>31497</v>
      </c>
      <c r="F662">
        <f>messy_order_items_csv[[#This Row],[unit_price]]*messy_order_items_csv[[#This Row],[quantity]]</f>
        <v>62994</v>
      </c>
    </row>
    <row r="663" spans="1:6" x14ac:dyDescent="0.3">
      <c r="A663">
        <v>662</v>
      </c>
      <c r="B663" t="s">
        <v>2117</v>
      </c>
      <c r="C663" t="s">
        <v>2268</v>
      </c>
      <c r="E663">
        <v>34936</v>
      </c>
      <c r="F663">
        <f>messy_order_items_csv[[#This Row],[unit_price]]*messy_order_items_csv[[#This Row],[quantity]]</f>
        <v>0</v>
      </c>
    </row>
    <row r="664" spans="1:6" x14ac:dyDescent="0.3">
      <c r="A664">
        <v>663</v>
      </c>
      <c r="B664" t="s">
        <v>1767</v>
      </c>
      <c r="C664" t="s">
        <v>2237</v>
      </c>
      <c r="D664">
        <v>2</v>
      </c>
      <c r="E664">
        <v>61022</v>
      </c>
      <c r="F664">
        <f>messy_order_items_csv[[#This Row],[unit_price]]*messy_order_items_csv[[#This Row],[quantity]]</f>
        <v>122044</v>
      </c>
    </row>
    <row r="665" spans="1:6" x14ac:dyDescent="0.3">
      <c r="A665">
        <v>664</v>
      </c>
      <c r="B665" t="s">
        <v>1283</v>
      </c>
      <c r="C665" t="s">
        <v>2263</v>
      </c>
      <c r="D665">
        <v>0</v>
      </c>
      <c r="E665">
        <v>32950</v>
      </c>
      <c r="F665">
        <f>messy_order_items_csv[[#This Row],[unit_price]]*messy_order_items_csv[[#This Row],[quantity]]</f>
        <v>0</v>
      </c>
    </row>
    <row r="666" spans="1:6" x14ac:dyDescent="0.3">
      <c r="A666">
        <v>665</v>
      </c>
      <c r="B666" t="s">
        <v>1507</v>
      </c>
      <c r="C666" t="s">
        <v>2247</v>
      </c>
      <c r="D666">
        <v>4</v>
      </c>
      <c r="E666">
        <v>35502</v>
      </c>
      <c r="F666">
        <f>messy_order_items_csv[[#This Row],[unit_price]]*messy_order_items_csv[[#This Row],[quantity]]</f>
        <v>142008</v>
      </c>
    </row>
    <row r="667" spans="1:6" x14ac:dyDescent="0.3">
      <c r="A667">
        <v>666</v>
      </c>
      <c r="B667" t="s">
        <v>1067</v>
      </c>
      <c r="C667" t="s">
        <v>2270</v>
      </c>
      <c r="D667">
        <v>3</v>
      </c>
      <c r="E667">
        <v>31497</v>
      </c>
      <c r="F667">
        <f>messy_order_items_csv[[#This Row],[unit_price]]*messy_order_items_csv[[#This Row],[quantity]]</f>
        <v>94491</v>
      </c>
    </row>
    <row r="668" spans="1:6" x14ac:dyDescent="0.3">
      <c r="A668">
        <v>667</v>
      </c>
      <c r="B668" t="s">
        <v>1052</v>
      </c>
      <c r="C668" t="s">
        <v>2212</v>
      </c>
      <c r="D668">
        <v>3</v>
      </c>
      <c r="E668">
        <v>78931</v>
      </c>
      <c r="F668">
        <f>messy_order_items_csv[[#This Row],[unit_price]]*messy_order_items_csv[[#This Row],[quantity]]</f>
        <v>236793</v>
      </c>
    </row>
    <row r="669" spans="1:6" x14ac:dyDescent="0.3">
      <c r="A669">
        <v>668</v>
      </c>
      <c r="B669" t="s">
        <v>1138</v>
      </c>
      <c r="C669" t="s">
        <v>2223</v>
      </c>
      <c r="D669">
        <v>1</v>
      </c>
      <c r="E669">
        <v>31497</v>
      </c>
      <c r="F669">
        <f>messy_order_items_csv[[#This Row],[unit_price]]*messy_order_items_csv[[#This Row],[quantity]]</f>
        <v>31497</v>
      </c>
    </row>
    <row r="670" spans="1:6" x14ac:dyDescent="0.3">
      <c r="A670">
        <v>669</v>
      </c>
      <c r="B670" t="s">
        <v>2059</v>
      </c>
      <c r="C670" t="s">
        <v>2260</v>
      </c>
      <c r="D670">
        <v>4</v>
      </c>
      <c r="E670">
        <v>31497</v>
      </c>
      <c r="F670">
        <f>messy_order_items_csv[[#This Row],[unit_price]]*messy_order_items_csv[[#This Row],[quantity]]</f>
        <v>125988</v>
      </c>
    </row>
    <row r="671" spans="1:6" x14ac:dyDescent="0.3">
      <c r="A671">
        <v>670</v>
      </c>
      <c r="B671" t="s">
        <v>2011</v>
      </c>
      <c r="C671" t="s">
        <v>2202</v>
      </c>
      <c r="D671">
        <v>2</v>
      </c>
      <c r="E671">
        <v>17015</v>
      </c>
      <c r="F671">
        <f>messy_order_items_csv[[#This Row],[unit_price]]*messy_order_items_csv[[#This Row],[quantity]]</f>
        <v>34030</v>
      </c>
    </row>
    <row r="672" spans="1:6" x14ac:dyDescent="0.3">
      <c r="A672">
        <v>671</v>
      </c>
      <c r="B672" t="s">
        <v>1346</v>
      </c>
      <c r="C672" t="s">
        <v>2207</v>
      </c>
      <c r="D672">
        <v>1</v>
      </c>
      <c r="E672">
        <v>1682</v>
      </c>
      <c r="F672">
        <f>messy_order_items_csv[[#This Row],[unit_price]]*messy_order_items_csv[[#This Row],[quantity]]</f>
        <v>1682</v>
      </c>
    </row>
    <row r="673" spans="1:6" x14ac:dyDescent="0.3">
      <c r="A673">
        <v>672</v>
      </c>
      <c r="B673" t="s">
        <v>1118</v>
      </c>
      <c r="C673" t="s">
        <v>2252</v>
      </c>
      <c r="E673">
        <v>31497</v>
      </c>
      <c r="F673">
        <f>messy_order_items_csv[[#This Row],[unit_price]]*messy_order_items_csv[[#This Row],[quantity]]</f>
        <v>0</v>
      </c>
    </row>
    <row r="674" spans="1:6" x14ac:dyDescent="0.3">
      <c r="A674">
        <v>673</v>
      </c>
      <c r="B674" t="s">
        <v>1554</v>
      </c>
      <c r="C674" t="s">
        <v>2206</v>
      </c>
      <c r="E674">
        <v>82299</v>
      </c>
      <c r="F674">
        <f>messy_order_items_csv[[#This Row],[unit_price]]*messy_order_items_csv[[#This Row],[quantity]]</f>
        <v>0</v>
      </c>
    </row>
    <row r="675" spans="1:6" x14ac:dyDescent="0.3">
      <c r="A675">
        <v>674</v>
      </c>
      <c r="B675" t="s">
        <v>1139</v>
      </c>
      <c r="C675" t="s">
        <v>2272</v>
      </c>
      <c r="D675">
        <v>1</v>
      </c>
      <c r="E675">
        <v>43027</v>
      </c>
      <c r="F675">
        <f>messy_order_items_csv[[#This Row],[unit_price]]*messy_order_items_csv[[#This Row],[quantity]]</f>
        <v>43027</v>
      </c>
    </row>
    <row r="676" spans="1:6" x14ac:dyDescent="0.3">
      <c r="A676">
        <v>675</v>
      </c>
      <c r="B676" t="s">
        <v>1472</v>
      </c>
      <c r="C676" t="s">
        <v>2248</v>
      </c>
      <c r="E676">
        <v>31497</v>
      </c>
      <c r="F676">
        <f>messy_order_items_csv[[#This Row],[unit_price]]*messy_order_items_csv[[#This Row],[quantity]]</f>
        <v>0</v>
      </c>
    </row>
    <row r="677" spans="1:6" x14ac:dyDescent="0.3">
      <c r="A677">
        <v>676</v>
      </c>
      <c r="B677" t="s">
        <v>2059</v>
      </c>
      <c r="C677" t="s">
        <v>2203</v>
      </c>
      <c r="D677">
        <v>2</v>
      </c>
      <c r="E677">
        <v>59238</v>
      </c>
      <c r="F677">
        <f>messy_order_items_csv[[#This Row],[unit_price]]*messy_order_items_csv[[#This Row],[quantity]]</f>
        <v>118476</v>
      </c>
    </row>
    <row r="678" spans="1:6" x14ac:dyDescent="0.3">
      <c r="A678">
        <v>677</v>
      </c>
      <c r="B678" t="s">
        <v>2076</v>
      </c>
      <c r="C678" t="s">
        <v>2203</v>
      </c>
      <c r="D678">
        <v>2</v>
      </c>
      <c r="E678">
        <v>74869</v>
      </c>
      <c r="F678">
        <f>messy_order_items_csv[[#This Row],[unit_price]]*messy_order_items_csv[[#This Row],[quantity]]</f>
        <v>149738</v>
      </c>
    </row>
    <row r="679" spans="1:6" x14ac:dyDescent="0.3">
      <c r="A679">
        <v>678</v>
      </c>
      <c r="B679" t="s">
        <v>1636</v>
      </c>
      <c r="C679" t="s">
        <v>2199</v>
      </c>
      <c r="D679">
        <v>2</v>
      </c>
      <c r="E679">
        <v>35088</v>
      </c>
      <c r="F679">
        <f>messy_order_items_csv[[#This Row],[unit_price]]*messy_order_items_csv[[#This Row],[quantity]]</f>
        <v>70176</v>
      </c>
    </row>
    <row r="680" spans="1:6" x14ac:dyDescent="0.3">
      <c r="A680">
        <v>679</v>
      </c>
      <c r="B680" t="s">
        <v>1341</v>
      </c>
      <c r="C680" t="s">
        <v>2256</v>
      </c>
      <c r="D680">
        <v>1</v>
      </c>
      <c r="E680">
        <v>89258</v>
      </c>
      <c r="F680">
        <f>messy_order_items_csv[[#This Row],[unit_price]]*messy_order_items_csv[[#This Row],[quantity]]</f>
        <v>89258</v>
      </c>
    </row>
    <row r="681" spans="1:6" x14ac:dyDescent="0.3">
      <c r="A681">
        <v>680</v>
      </c>
      <c r="B681" t="s">
        <v>2143</v>
      </c>
      <c r="C681" t="s">
        <v>2217</v>
      </c>
      <c r="D681">
        <v>3</v>
      </c>
      <c r="E681">
        <v>51033</v>
      </c>
      <c r="F681">
        <f>messy_order_items_csv[[#This Row],[unit_price]]*messy_order_items_csv[[#This Row],[quantity]]</f>
        <v>153099</v>
      </c>
    </row>
    <row r="682" spans="1:6" x14ac:dyDescent="0.3">
      <c r="A682">
        <v>681</v>
      </c>
      <c r="B682" t="s">
        <v>1897</v>
      </c>
      <c r="C682" t="s">
        <v>2258</v>
      </c>
      <c r="D682">
        <v>4</v>
      </c>
      <c r="E682">
        <v>51735</v>
      </c>
      <c r="F682">
        <f>messy_order_items_csv[[#This Row],[unit_price]]*messy_order_items_csv[[#This Row],[quantity]]</f>
        <v>206940</v>
      </c>
    </row>
    <row r="683" spans="1:6" x14ac:dyDescent="0.3">
      <c r="A683">
        <v>682</v>
      </c>
      <c r="B683" t="s">
        <v>1956</v>
      </c>
      <c r="C683" t="s">
        <v>2224</v>
      </c>
      <c r="D683">
        <v>2</v>
      </c>
      <c r="E683">
        <v>31497</v>
      </c>
      <c r="F683">
        <f>messy_order_items_csv[[#This Row],[unit_price]]*messy_order_items_csv[[#This Row],[quantity]]</f>
        <v>62994</v>
      </c>
    </row>
    <row r="684" spans="1:6" x14ac:dyDescent="0.3">
      <c r="A684">
        <v>683</v>
      </c>
      <c r="B684" t="s">
        <v>1635</v>
      </c>
      <c r="C684" t="s">
        <v>2202</v>
      </c>
      <c r="D684">
        <v>0</v>
      </c>
      <c r="E684">
        <v>31497</v>
      </c>
      <c r="F684">
        <f>messy_order_items_csv[[#This Row],[unit_price]]*messy_order_items_csv[[#This Row],[quantity]]</f>
        <v>0</v>
      </c>
    </row>
    <row r="685" spans="1:6" x14ac:dyDescent="0.3">
      <c r="A685">
        <v>684</v>
      </c>
      <c r="B685" t="s">
        <v>1277</v>
      </c>
      <c r="C685" t="s">
        <v>2272</v>
      </c>
      <c r="D685">
        <v>0</v>
      </c>
      <c r="E685">
        <v>28493</v>
      </c>
      <c r="F685">
        <f>messy_order_items_csv[[#This Row],[unit_price]]*messy_order_items_csv[[#This Row],[quantity]]</f>
        <v>0</v>
      </c>
    </row>
    <row r="686" spans="1:6" x14ac:dyDescent="0.3">
      <c r="A686">
        <v>685</v>
      </c>
      <c r="B686" t="s">
        <v>1237</v>
      </c>
      <c r="C686" t="s">
        <v>2213</v>
      </c>
      <c r="D686">
        <v>2</v>
      </c>
      <c r="E686">
        <v>31497</v>
      </c>
      <c r="F686">
        <f>messy_order_items_csv[[#This Row],[unit_price]]*messy_order_items_csv[[#This Row],[quantity]]</f>
        <v>62994</v>
      </c>
    </row>
    <row r="687" spans="1:6" x14ac:dyDescent="0.3">
      <c r="A687">
        <v>686</v>
      </c>
      <c r="B687" t="s">
        <v>1049</v>
      </c>
      <c r="C687" t="s">
        <v>2252</v>
      </c>
      <c r="D687">
        <v>2</v>
      </c>
      <c r="E687">
        <v>31497</v>
      </c>
      <c r="F687">
        <f>messy_order_items_csv[[#This Row],[unit_price]]*messy_order_items_csv[[#This Row],[quantity]]</f>
        <v>62994</v>
      </c>
    </row>
    <row r="688" spans="1:6" x14ac:dyDescent="0.3">
      <c r="A688">
        <v>687</v>
      </c>
      <c r="B688" t="s">
        <v>2150</v>
      </c>
      <c r="C688" t="s">
        <v>2267</v>
      </c>
      <c r="D688">
        <v>3</v>
      </c>
      <c r="E688">
        <v>31497</v>
      </c>
      <c r="F688">
        <f>messy_order_items_csv[[#This Row],[unit_price]]*messy_order_items_csv[[#This Row],[quantity]]</f>
        <v>94491</v>
      </c>
    </row>
    <row r="689" spans="1:6" x14ac:dyDescent="0.3">
      <c r="A689">
        <v>688</v>
      </c>
      <c r="B689" t="s">
        <v>2064</v>
      </c>
      <c r="C689" t="s">
        <v>2244</v>
      </c>
      <c r="D689">
        <v>1</v>
      </c>
      <c r="E689">
        <v>31497</v>
      </c>
      <c r="F689">
        <f>messy_order_items_csv[[#This Row],[unit_price]]*messy_order_items_csv[[#This Row],[quantity]]</f>
        <v>31497</v>
      </c>
    </row>
    <row r="690" spans="1:6" x14ac:dyDescent="0.3">
      <c r="A690">
        <v>689</v>
      </c>
      <c r="B690" t="s">
        <v>2011</v>
      </c>
      <c r="C690" t="s">
        <v>2271</v>
      </c>
      <c r="D690">
        <v>0</v>
      </c>
      <c r="E690">
        <v>31497</v>
      </c>
      <c r="F690">
        <f>messy_order_items_csv[[#This Row],[unit_price]]*messy_order_items_csv[[#This Row],[quantity]]</f>
        <v>0</v>
      </c>
    </row>
    <row r="691" spans="1:6" x14ac:dyDescent="0.3">
      <c r="A691">
        <v>690</v>
      </c>
      <c r="B691" t="s">
        <v>1279</v>
      </c>
      <c r="C691" t="s">
        <v>2220</v>
      </c>
      <c r="D691">
        <v>3</v>
      </c>
      <c r="E691">
        <v>32503</v>
      </c>
      <c r="F691">
        <f>messy_order_items_csv[[#This Row],[unit_price]]*messy_order_items_csv[[#This Row],[quantity]]</f>
        <v>97509</v>
      </c>
    </row>
    <row r="692" spans="1:6" x14ac:dyDescent="0.3">
      <c r="A692">
        <v>691</v>
      </c>
      <c r="B692" t="s">
        <v>1588</v>
      </c>
      <c r="C692" t="s">
        <v>2272</v>
      </c>
      <c r="D692">
        <v>3</v>
      </c>
      <c r="E692">
        <v>50042</v>
      </c>
      <c r="F692">
        <f>messy_order_items_csv[[#This Row],[unit_price]]*messy_order_items_csv[[#This Row],[quantity]]</f>
        <v>150126</v>
      </c>
    </row>
    <row r="693" spans="1:6" x14ac:dyDescent="0.3">
      <c r="A693">
        <v>692</v>
      </c>
      <c r="B693" t="s">
        <v>1520</v>
      </c>
      <c r="C693" t="s">
        <v>2266</v>
      </c>
      <c r="D693">
        <v>4</v>
      </c>
      <c r="E693">
        <v>3393</v>
      </c>
      <c r="F693">
        <f>messy_order_items_csv[[#This Row],[unit_price]]*messy_order_items_csv[[#This Row],[quantity]]</f>
        <v>13572</v>
      </c>
    </row>
    <row r="694" spans="1:6" x14ac:dyDescent="0.3">
      <c r="A694">
        <v>693</v>
      </c>
      <c r="B694" t="s">
        <v>1373</v>
      </c>
      <c r="C694" t="s">
        <v>2196</v>
      </c>
      <c r="E694">
        <v>31497</v>
      </c>
      <c r="F694">
        <f>messy_order_items_csv[[#This Row],[unit_price]]*messy_order_items_csv[[#This Row],[quantity]]</f>
        <v>0</v>
      </c>
    </row>
    <row r="695" spans="1:6" x14ac:dyDescent="0.3">
      <c r="A695">
        <v>694</v>
      </c>
      <c r="B695" t="s">
        <v>1813</v>
      </c>
      <c r="C695" t="s">
        <v>2253</v>
      </c>
      <c r="D695">
        <v>2</v>
      </c>
      <c r="E695">
        <v>69520</v>
      </c>
      <c r="F695">
        <f>messy_order_items_csv[[#This Row],[unit_price]]*messy_order_items_csv[[#This Row],[quantity]]</f>
        <v>139040</v>
      </c>
    </row>
    <row r="696" spans="1:6" x14ac:dyDescent="0.3">
      <c r="A696">
        <v>695</v>
      </c>
      <c r="B696" t="s">
        <v>1001</v>
      </c>
      <c r="C696" t="s">
        <v>2266</v>
      </c>
      <c r="D696">
        <v>4</v>
      </c>
      <c r="E696">
        <v>3393</v>
      </c>
      <c r="F696">
        <f>messy_order_items_csv[[#This Row],[unit_price]]*messy_order_items_csv[[#This Row],[quantity]]</f>
        <v>13572</v>
      </c>
    </row>
    <row r="697" spans="1:6" x14ac:dyDescent="0.3">
      <c r="A697">
        <v>696</v>
      </c>
      <c r="B697" t="s">
        <v>1942</v>
      </c>
      <c r="C697" t="s">
        <v>2243</v>
      </c>
      <c r="D697">
        <v>4</v>
      </c>
      <c r="E697">
        <v>31497</v>
      </c>
      <c r="F697">
        <f>messy_order_items_csv[[#This Row],[unit_price]]*messy_order_items_csv[[#This Row],[quantity]]</f>
        <v>125988</v>
      </c>
    </row>
    <row r="698" spans="1:6" x14ac:dyDescent="0.3">
      <c r="A698">
        <v>697</v>
      </c>
      <c r="B698" t="s">
        <v>1345</v>
      </c>
      <c r="C698" t="s">
        <v>2221</v>
      </c>
      <c r="D698">
        <v>4</v>
      </c>
      <c r="E698">
        <v>55126</v>
      </c>
      <c r="F698">
        <f>messy_order_items_csv[[#This Row],[unit_price]]*messy_order_items_csv[[#This Row],[quantity]]</f>
        <v>220504</v>
      </c>
    </row>
    <row r="699" spans="1:6" x14ac:dyDescent="0.3">
      <c r="A699">
        <v>698</v>
      </c>
      <c r="B699" t="s">
        <v>1198</v>
      </c>
      <c r="C699" t="s">
        <v>2253</v>
      </c>
      <c r="D699">
        <v>4</v>
      </c>
      <c r="E699">
        <v>35587</v>
      </c>
      <c r="F699">
        <f>messy_order_items_csv[[#This Row],[unit_price]]*messy_order_items_csv[[#This Row],[quantity]]</f>
        <v>142348</v>
      </c>
    </row>
    <row r="700" spans="1:6" x14ac:dyDescent="0.3">
      <c r="A700">
        <v>699</v>
      </c>
      <c r="B700" t="s">
        <v>2064</v>
      </c>
      <c r="C700" t="s">
        <v>2195</v>
      </c>
      <c r="D700">
        <v>1</v>
      </c>
      <c r="E700">
        <v>59596</v>
      </c>
      <c r="F700">
        <f>messy_order_items_csv[[#This Row],[unit_price]]*messy_order_items_csv[[#This Row],[quantity]]</f>
        <v>59596</v>
      </c>
    </row>
    <row r="701" spans="1:6" x14ac:dyDescent="0.3">
      <c r="A701">
        <v>700</v>
      </c>
      <c r="B701" t="s">
        <v>1749</v>
      </c>
      <c r="C701" t="s">
        <v>2274</v>
      </c>
      <c r="E701">
        <v>4392</v>
      </c>
      <c r="F701">
        <f>messy_order_items_csv[[#This Row],[unit_price]]*messy_order_items_csv[[#This Row],[quantity]]</f>
        <v>0</v>
      </c>
    </row>
    <row r="702" spans="1:6" x14ac:dyDescent="0.3">
      <c r="A702">
        <v>701</v>
      </c>
      <c r="B702" t="s">
        <v>1854</v>
      </c>
      <c r="C702" t="s">
        <v>2224</v>
      </c>
      <c r="E702">
        <v>41406</v>
      </c>
      <c r="F702">
        <f>messy_order_items_csv[[#This Row],[unit_price]]*messy_order_items_csv[[#This Row],[quantity]]</f>
        <v>0</v>
      </c>
    </row>
    <row r="703" spans="1:6" x14ac:dyDescent="0.3">
      <c r="A703">
        <v>702</v>
      </c>
      <c r="B703" t="s">
        <v>1110</v>
      </c>
      <c r="C703" t="s">
        <v>2220</v>
      </c>
      <c r="D703">
        <v>4</v>
      </c>
      <c r="E703">
        <v>5475</v>
      </c>
      <c r="F703">
        <f>messy_order_items_csv[[#This Row],[unit_price]]*messy_order_items_csv[[#This Row],[quantity]]</f>
        <v>21900</v>
      </c>
    </row>
    <row r="704" spans="1:6" x14ac:dyDescent="0.3">
      <c r="A704">
        <v>703</v>
      </c>
      <c r="B704" t="s">
        <v>1756</v>
      </c>
      <c r="C704" t="s">
        <v>2196</v>
      </c>
      <c r="D704">
        <v>2</v>
      </c>
      <c r="E704">
        <v>58585</v>
      </c>
      <c r="F704">
        <f>messy_order_items_csv[[#This Row],[unit_price]]*messy_order_items_csv[[#This Row],[quantity]]</f>
        <v>117170</v>
      </c>
    </row>
    <row r="705" spans="1:6" x14ac:dyDescent="0.3">
      <c r="A705">
        <v>704</v>
      </c>
      <c r="B705" t="s">
        <v>1870</v>
      </c>
      <c r="C705" t="s">
        <v>2198</v>
      </c>
      <c r="D705">
        <v>4</v>
      </c>
      <c r="E705">
        <v>66547</v>
      </c>
      <c r="F705">
        <f>messy_order_items_csv[[#This Row],[unit_price]]*messy_order_items_csv[[#This Row],[quantity]]</f>
        <v>266188</v>
      </c>
    </row>
    <row r="706" spans="1:6" x14ac:dyDescent="0.3">
      <c r="A706">
        <v>705</v>
      </c>
      <c r="B706" t="s">
        <v>1284</v>
      </c>
      <c r="C706" t="s">
        <v>2272</v>
      </c>
      <c r="D706">
        <v>3</v>
      </c>
      <c r="E706">
        <v>43027</v>
      </c>
      <c r="F706">
        <f>messy_order_items_csv[[#This Row],[unit_price]]*messy_order_items_csv[[#This Row],[quantity]]</f>
        <v>129081</v>
      </c>
    </row>
    <row r="707" spans="1:6" x14ac:dyDescent="0.3">
      <c r="A707">
        <v>706</v>
      </c>
      <c r="B707" t="s">
        <v>1011</v>
      </c>
      <c r="C707" t="s">
        <v>2242</v>
      </c>
      <c r="D707">
        <v>1</v>
      </c>
      <c r="E707">
        <v>31497</v>
      </c>
      <c r="F707">
        <f>messy_order_items_csv[[#This Row],[unit_price]]*messy_order_items_csv[[#This Row],[quantity]]</f>
        <v>31497</v>
      </c>
    </row>
    <row r="708" spans="1:6" x14ac:dyDescent="0.3">
      <c r="A708">
        <v>707</v>
      </c>
      <c r="B708" t="s">
        <v>1438</v>
      </c>
      <c r="C708" t="s">
        <v>2216</v>
      </c>
      <c r="D708">
        <v>3</v>
      </c>
      <c r="E708">
        <v>20698</v>
      </c>
      <c r="F708">
        <f>messy_order_items_csv[[#This Row],[unit_price]]*messy_order_items_csv[[#This Row],[quantity]]</f>
        <v>62094</v>
      </c>
    </row>
    <row r="709" spans="1:6" x14ac:dyDescent="0.3">
      <c r="A709">
        <v>708</v>
      </c>
      <c r="B709" t="s">
        <v>1833</v>
      </c>
      <c r="C709" t="s">
        <v>2257</v>
      </c>
      <c r="D709">
        <v>3</v>
      </c>
      <c r="E709">
        <v>55016</v>
      </c>
      <c r="F709">
        <f>messy_order_items_csv[[#This Row],[unit_price]]*messy_order_items_csv[[#This Row],[quantity]]</f>
        <v>165048</v>
      </c>
    </row>
    <row r="710" spans="1:6" x14ac:dyDescent="0.3">
      <c r="A710">
        <v>709</v>
      </c>
      <c r="B710" t="s">
        <v>2063</v>
      </c>
      <c r="C710" t="s">
        <v>2245</v>
      </c>
      <c r="D710">
        <v>1</v>
      </c>
      <c r="E710">
        <v>70378</v>
      </c>
      <c r="F710">
        <f>messy_order_items_csv[[#This Row],[unit_price]]*messy_order_items_csv[[#This Row],[quantity]]</f>
        <v>70378</v>
      </c>
    </row>
    <row r="711" spans="1:6" x14ac:dyDescent="0.3">
      <c r="A711">
        <v>710</v>
      </c>
      <c r="B711" t="s">
        <v>1705</v>
      </c>
      <c r="C711" t="s">
        <v>2231</v>
      </c>
      <c r="D711">
        <v>3</v>
      </c>
      <c r="E711">
        <v>30474</v>
      </c>
      <c r="F711">
        <f>messy_order_items_csv[[#This Row],[unit_price]]*messy_order_items_csv[[#This Row],[quantity]]</f>
        <v>91422</v>
      </c>
    </row>
    <row r="712" spans="1:6" x14ac:dyDescent="0.3">
      <c r="A712">
        <v>711</v>
      </c>
      <c r="B712" t="s">
        <v>1957</v>
      </c>
      <c r="C712" t="s">
        <v>2235</v>
      </c>
      <c r="D712">
        <v>4</v>
      </c>
      <c r="E712">
        <v>18131</v>
      </c>
      <c r="F712">
        <f>messy_order_items_csv[[#This Row],[unit_price]]*messy_order_items_csv[[#This Row],[quantity]]</f>
        <v>72524</v>
      </c>
    </row>
    <row r="713" spans="1:6" x14ac:dyDescent="0.3">
      <c r="A713">
        <v>712</v>
      </c>
      <c r="B713" t="s">
        <v>988</v>
      </c>
      <c r="C713" t="s">
        <v>2259</v>
      </c>
      <c r="E713">
        <v>31497</v>
      </c>
      <c r="F713">
        <f>messy_order_items_csv[[#This Row],[unit_price]]*messy_order_items_csv[[#This Row],[quantity]]</f>
        <v>0</v>
      </c>
    </row>
    <row r="714" spans="1:6" x14ac:dyDescent="0.3">
      <c r="A714">
        <v>713</v>
      </c>
      <c r="B714" t="s">
        <v>1229</v>
      </c>
      <c r="C714" t="s">
        <v>2207</v>
      </c>
      <c r="E714">
        <v>31497</v>
      </c>
      <c r="F714">
        <f>messy_order_items_csv[[#This Row],[unit_price]]*messy_order_items_csv[[#This Row],[quantity]]</f>
        <v>0</v>
      </c>
    </row>
    <row r="715" spans="1:6" x14ac:dyDescent="0.3">
      <c r="A715">
        <v>714</v>
      </c>
      <c r="B715" t="s">
        <v>1808</v>
      </c>
      <c r="C715" t="s">
        <v>2235</v>
      </c>
      <c r="D715">
        <v>0</v>
      </c>
      <c r="E715">
        <v>31497</v>
      </c>
      <c r="F715">
        <f>messy_order_items_csv[[#This Row],[unit_price]]*messy_order_items_csv[[#This Row],[quantity]]</f>
        <v>0</v>
      </c>
    </row>
    <row r="716" spans="1:6" x14ac:dyDescent="0.3">
      <c r="A716">
        <v>715</v>
      </c>
      <c r="B716" t="s">
        <v>1714</v>
      </c>
      <c r="C716" t="s">
        <v>2213</v>
      </c>
      <c r="E716">
        <v>31497</v>
      </c>
      <c r="F716">
        <f>messy_order_items_csv[[#This Row],[unit_price]]*messy_order_items_csv[[#This Row],[quantity]]</f>
        <v>0</v>
      </c>
    </row>
    <row r="717" spans="1:6" x14ac:dyDescent="0.3">
      <c r="A717">
        <v>716</v>
      </c>
      <c r="B717" t="s">
        <v>1463</v>
      </c>
      <c r="C717" t="s">
        <v>2208</v>
      </c>
      <c r="D717">
        <v>3</v>
      </c>
      <c r="E717">
        <v>55590</v>
      </c>
      <c r="F717">
        <f>messy_order_items_csv[[#This Row],[unit_price]]*messy_order_items_csv[[#This Row],[quantity]]</f>
        <v>166770</v>
      </c>
    </row>
    <row r="718" spans="1:6" x14ac:dyDescent="0.3">
      <c r="A718">
        <v>717</v>
      </c>
      <c r="B718" t="s">
        <v>1462</v>
      </c>
      <c r="C718" t="s">
        <v>2246</v>
      </c>
      <c r="D718">
        <v>4</v>
      </c>
      <c r="E718">
        <v>67159</v>
      </c>
      <c r="F718">
        <f>messy_order_items_csv[[#This Row],[unit_price]]*messy_order_items_csv[[#This Row],[quantity]]</f>
        <v>268636</v>
      </c>
    </row>
    <row r="719" spans="1:6" x14ac:dyDescent="0.3">
      <c r="A719">
        <v>718</v>
      </c>
      <c r="B719" t="s">
        <v>1740</v>
      </c>
      <c r="C719" t="s">
        <v>2248</v>
      </c>
      <c r="D719">
        <v>3</v>
      </c>
      <c r="E719">
        <v>31497</v>
      </c>
      <c r="F719">
        <f>messy_order_items_csv[[#This Row],[unit_price]]*messy_order_items_csv[[#This Row],[quantity]]</f>
        <v>94491</v>
      </c>
    </row>
    <row r="720" spans="1:6" x14ac:dyDescent="0.3">
      <c r="A720">
        <v>719</v>
      </c>
      <c r="B720" t="s">
        <v>1299</v>
      </c>
      <c r="C720" t="s">
        <v>2244</v>
      </c>
      <c r="D720">
        <v>4</v>
      </c>
      <c r="E720">
        <v>31497</v>
      </c>
      <c r="F720">
        <f>messy_order_items_csv[[#This Row],[unit_price]]*messy_order_items_csv[[#This Row],[quantity]]</f>
        <v>125988</v>
      </c>
    </row>
    <row r="721" spans="1:6" x14ac:dyDescent="0.3">
      <c r="A721">
        <v>720</v>
      </c>
      <c r="B721" t="s">
        <v>1541</v>
      </c>
      <c r="C721" t="s">
        <v>2221</v>
      </c>
      <c r="D721">
        <v>0</v>
      </c>
      <c r="E721">
        <v>31497</v>
      </c>
      <c r="F721">
        <f>messy_order_items_csv[[#This Row],[unit_price]]*messy_order_items_csv[[#This Row],[quantity]]</f>
        <v>0</v>
      </c>
    </row>
    <row r="722" spans="1:6" x14ac:dyDescent="0.3">
      <c r="A722">
        <v>721</v>
      </c>
      <c r="B722" t="s">
        <v>1370</v>
      </c>
      <c r="C722" t="s">
        <v>2231</v>
      </c>
      <c r="D722">
        <v>4</v>
      </c>
      <c r="E722">
        <v>10850</v>
      </c>
      <c r="F722">
        <f>messy_order_items_csv[[#This Row],[unit_price]]*messy_order_items_csv[[#This Row],[quantity]]</f>
        <v>43400</v>
      </c>
    </row>
    <row r="723" spans="1:6" x14ac:dyDescent="0.3">
      <c r="A723">
        <v>722</v>
      </c>
      <c r="B723" t="s">
        <v>1762</v>
      </c>
      <c r="C723" t="s">
        <v>2212</v>
      </c>
      <c r="D723">
        <v>0</v>
      </c>
      <c r="E723">
        <v>58364</v>
      </c>
      <c r="F723">
        <f>messy_order_items_csv[[#This Row],[unit_price]]*messy_order_items_csv[[#This Row],[quantity]]</f>
        <v>0</v>
      </c>
    </row>
    <row r="724" spans="1:6" x14ac:dyDescent="0.3">
      <c r="A724">
        <v>723</v>
      </c>
      <c r="B724" t="s">
        <v>2155</v>
      </c>
      <c r="C724" t="s">
        <v>2233</v>
      </c>
      <c r="D724">
        <v>1</v>
      </c>
      <c r="E724">
        <v>47793</v>
      </c>
      <c r="F724">
        <f>messy_order_items_csv[[#This Row],[unit_price]]*messy_order_items_csv[[#This Row],[quantity]]</f>
        <v>47793</v>
      </c>
    </row>
    <row r="725" spans="1:6" x14ac:dyDescent="0.3">
      <c r="A725">
        <v>724</v>
      </c>
      <c r="B725" t="s">
        <v>2126</v>
      </c>
      <c r="C725" t="s">
        <v>2244</v>
      </c>
      <c r="D725">
        <v>4</v>
      </c>
      <c r="E725">
        <v>11282</v>
      </c>
      <c r="F725">
        <f>messy_order_items_csv[[#This Row],[unit_price]]*messy_order_items_csv[[#This Row],[quantity]]</f>
        <v>45128</v>
      </c>
    </row>
    <row r="726" spans="1:6" x14ac:dyDescent="0.3">
      <c r="A726">
        <v>725</v>
      </c>
      <c r="B726" t="s">
        <v>1707</v>
      </c>
      <c r="C726" t="s">
        <v>2229</v>
      </c>
      <c r="D726">
        <v>3</v>
      </c>
      <c r="E726">
        <v>20749</v>
      </c>
      <c r="F726">
        <f>messy_order_items_csv[[#This Row],[unit_price]]*messy_order_items_csv[[#This Row],[quantity]]</f>
        <v>62247</v>
      </c>
    </row>
    <row r="727" spans="1:6" x14ac:dyDescent="0.3">
      <c r="A727">
        <v>726</v>
      </c>
      <c r="B727" t="s">
        <v>2147</v>
      </c>
      <c r="C727" t="s">
        <v>2230</v>
      </c>
      <c r="D727">
        <v>1</v>
      </c>
      <c r="E727">
        <v>31497</v>
      </c>
      <c r="F727">
        <f>messy_order_items_csv[[#This Row],[unit_price]]*messy_order_items_csv[[#This Row],[quantity]]</f>
        <v>31497</v>
      </c>
    </row>
    <row r="728" spans="1:6" x14ac:dyDescent="0.3">
      <c r="A728">
        <v>727</v>
      </c>
      <c r="B728" t="s">
        <v>1354</v>
      </c>
      <c r="C728" t="s">
        <v>2256</v>
      </c>
      <c r="D728">
        <v>4</v>
      </c>
      <c r="E728">
        <v>31497</v>
      </c>
      <c r="F728">
        <f>messy_order_items_csv[[#This Row],[unit_price]]*messy_order_items_csv[[#This Row],[quantity]]</f>
        <v>125988</v>
      </c>
    </row>
    <row r="729" spans="1:6" x14ac:dyDescent="0.3">
      <c r="A729">
        <v>728</v>
      </c>
      <c r="B729" t="s">
        <v>1935</v>
      </c>
      <c r="C729" t="s">
        <v>2244</v>
      </c>
      <c r="D729">
        <v>4</v>
      </c>
      <c r="E729">
        <v>35884</v>
      </c>
      <c r="F729">
        <f>messy_order_items_csv[[#This Row],[unit_price]]*messy_order_items_csv[[#This Row],[quantity]]</f>
        <v>143536</v>
      </c>
    </row>
    <row r="730" spans="1:6" x14ac:dyDescent="0.3">
      <c r="A730">
        <v>729</v>
      </c>
      <c r="B730" t="s">
        <v>1934</v>
      </c>
      <c r="C730" t="s">
        <v>2268</v>
      </c>
      <c r="D730">
        <v>1</v>
      </c>
      <c r="E730">
        <v>53114</v>
      </c>
      <c r="F730">
        <f>messy_order_items_csv[[#This Row],[unit_price]]*messy_order_items_csv[[#This Row],[quantity]]</f>
        <v>53114</v>
      </c>
    </row>
    <row r="731" spans="1:6" x14ac:dyDescent="0.3">
      <c r="A731">
        <v>730</v>
      </c>
      <c r="B731" t="s">
        <v>2032</v>
      </c>
      <c r="C731" t="s">
        <v>2273</v>
      </c>
      <c r="E731">
        <v>80887</v>
      </c>
      <c r="F731">
        <f>messy_order_items_csv[[#This Row],[unit_price]]*messy_order_items_csv[[#This Row],[quantity]]</f>
        <v>0</v>
      </c>
    </row>
    <row r="732" spans="1:6" x14ac:dyDescent="0.3">
      <c r="A732">
        <v>731</v>
      </c>
      <c r="B732" t="s">
        <v>1625</v>
      </c>
      <c r="C732" t="s">
        <v>2220</v>
      </c>
      <c r="D732">
        <v>3</v>
      </c>
      <c r="E732">
        <v>5475</v>
      </c>
      <c r="F732">
        <f>messy_order_items_csv[[#This Row],[unit_price]]*messy_order_items_csv[[#This Row],[quantity]]</f>
        <v>16425</v>
      </c>
    </row>
    <row r="733" spans="1:6" x14ac:dyDescent="0.3">
      <c r="A733">
        <v>732</v>
      </c>
      <c r="B733" t="s">
        <v>2058</v>
      </c>
      <c r="C733" t="s">
        <v>2195</v>
      </c>
      <c r="D733">
        <v>0</v>
      </c>
      <c r="E733">
        <v>47453</v>
      </c>
      <c r="F733">
        <f>messy_order_items_csv[[#This Row],[unit_price]]*messy_order_items_csv[[#This Row],[quantity]]</f>
        <v>0</v>
      </c>
    </row>
    <row r="734" spans="1:6" x14ac:dyDescent="0.3">
      <c r="A734">
        <v>733</v>
      </c>
      <c r="B734" t="s">
        <v>1743</v>
      </c>
      <c r="C734" t="s">
        <v>2207</v>
      </c>
      <c r="D734">
        <v>2</v>
      </c>
      <c r="E734">
        <v>81763</v>
      </c>
      <c r="F734">
        <f>messy_order_items_csv[[#This Row],[unit_price]]*messy_order_items_csv[[#This Row],[quantity]]</f>
        <v>163526</v>
      </c>
    </row>
    <row r="735" spans="1:6" x14ac:dyDescent="0.3">
      <c r="A735">
        <v>734</v>
      </c>
      <c r="B735" t="s">
        <v>1748</v>
      </c>
      <c r="C735" t="s">
        <v>2247</v>
      </c>
      <c r="D735">
        <v>4</v>
      </c>
      <c r="E735">
        <v>31497</v>
      </c>
      <c r="F735">
        <f>messy_order_items_csv[[#This Row],[unit_price]]*messy_order_items_csv[[#This Row],[quantity]]</f>
        <v>125988</v>
      </c>
    </row>
    <row r="736" spans="1:6" x14ac:dyDescent="0.3">
      <c r="A736">
        <v>735</v>
      </c>
      <c r="B736" t="s">
        <v>1545</v>
      </c>
      <c r="C736" t="s">
        <v>2231</v>
      </c>
      <c r="D736">
        <v>0</v>
      </c>
      <c r="E736">
        <v>71451</v>
      </c>
      <c r="F736">
        <f>messy_order_items_csv[[#This Row],[unit_price]]*messy_order_items_csv[[#This Row],[quantity]]</f>
        <v>0</v>
      </c>
    </row>
    <row r="737" spans="1:6" x14ac:dyDescent="0.3">
      <c r="A737">
        <v>736</v>
      </c>
      <c r="B737" t="s">
        <v>1545</v>
      </c>
      <c r="C737" t="s">
        <v>2208</v>
      </c>
      <c r="D737">
        <v>3</v>
      </c>
      <c r="E737">
        <v>7758</v>
      </c>
      <c r="F737">
        <f>messy_order_items_csv[[#This Row],[unit_price]]*messy_order_items_csv[[#This Row],[quantity]]</f>
        <v>23274</v>
      </c>
    </row>
    <row r="738" spans="1:6" x14ac:dyDescent="0.3">
      <c r="A738">
        <v>737</v>
      </c>
      <c r="B738" t="s">
        <v>1909</v>
      </c>
      <c r="C738" t="s">
        <v>2240</v>
      </c>
      <c r="D738">
        <v>1</v>
      </c>
      <c r="E738">
        <v>31193</v>
      </c>
      <c r="F738">
        <f>messy_order_items_csv[[#This Row],[unit_price]]*messy_order_items_csv[[#This Row],[quantity]]</f>
        <v>31193</v>
      </c>
    </row>
    <row r="739" spans="1:6" x14ac:dyDescent="0.3">
      <c r="A739">
        <v>738</v>
      </c>
      <c r="B739" t="s">
        <v>1771</v>
      </c>
      <c r="C739" t="s">
        <v>2195</v>
      </c>
      <c r="D739">
        <v>4</v>
      </c>
      <c r="E739">
        <v>21466</v>
      </c>
      <c r="F739">
        <f>messy_order_items_csv[[#This Row],[unit_price]]*messy_order_items_csv[[#This Row],[quantity]]</f>
        <v>85864</v>
      </c>
    </row>
    <row r="740" spans="1:6" x14ac:dyDescent="0.3">
      <c r="A740">
        <v>739</v>
      </c>
      <c r="B740" t="s">
        <v>1810</v>
      </c>
      <c r="C740" t="s">
        <v>2203</v>
      </c>
      <c r="D740">
        <v>2</v>
      </c>
      <c r="E740">
        <v>76755</v>
      </c>
      <c r="F740">
        <f>messy_order_items_csv[[#This Row],[unit_price]]*messy_order_items_csv[[#This Row],[quantity]]</f>
        <v>153510</v>
      </c>
    </row>
    <row r="741" spans="1:6" x14ac:dyDescent="0.3">
      <c r="A741">
        <v>740</v>
      </c>
      <c r="B741" t="s">
        <v>1315</v>
      </c>
      <c r="C741" t="s">
        <v>2269</v>
      </c>
      <c r="D741">
        <v>2</v>
      </c>
      <c r="E741">
        <v>14722</v>
      </c>
      <c r="F741">
        <f>messy_order_items_csv[[#This Row],[unit_price]]*messy_order_items_csv[[#This Row],[quantity]]</f>
        <v>29444</v>
      </c>
    </row>
    <row r="742" spans="1:6" x14ac:dyDescent="0.3">
      <c r="A742">
        <v>741</v>
      </c>
      <c r="B742" t="s">
        <v>1168</v>
      </c>
      <c r="C742" t="s">
        <v>2242</v>
      </c>
      <c r="D742">
        <v>3</v>
      </c>
      <c r="E742">
        <v>68841</v>
      </c>
      <c r="F742">
        <f>messy_order_items_csv[[#This Row],[unit_price]]*messy_order_items_csv[[#This Row],[quantity]]</f>
        <v>206523</v>
      </c>
    </row>
    <row r="743" spans="1:6" x14ac:dyDescent="0.3">
      <c r="A743">
        <v>742</v>
      </c>
      <c r="B743" t="s">
        <v>1760</v>
      </c>
      <c r="C743" t="s">
        <v>2252</v>
      </c>
      <c r="D743">
        <v>2</v>
      </c>
      <c r="E743">
        <v>21083</v>
      </c>
      <c r="F743">
        <f>messy_order_items_csv[[#This Row],[unit_price]]*messy_order_items_csv[[#This Row],[quantity]]</f>
        <v>42166</v>
      </c>
    </row>
    <row r="744" spans="1:6" x14ac:dyDescent="0.3">
      <c r="A744">
        <v>743</v>
      </c>
      <c r="B744" t="s">
        <v>1054</v>
      </c>
      <c r="C744" t="s">
        <v>2225</v>
      </c>
      <c r="D744">
        <v>1</v>
      </c>
      <c r="E744">
        <v>81086</v>
      </c>
      <c r="F744">
        <f>messy_order_items_csv[[#This Row],[unit_price]]*messy_order_items_csv[[#This Row],[quantity]]</f>
        <v>81086</v>
      </c>
    </row>
    <row r="745" spans="1:6" x14ac:dyDescent="0.3">
      <c r="A745">
        <v>744</v>
      </c>
      <c r="B745" t="s">
        <v>1382</v>
      </c>
      <c r="C745" t="s">
        <v>2258</v>
      </c>
      <c r="D745">
        <v>1</v>
      </c>
      <c r="E745">
        <v>11886</v>
      </c>
      <c r="F745">
        <f>messy_order_items_csv[[#This Row],[unit_price]]*messy_order_items_csv[[#This Row],[quantity]]</f>
        <v>11886</v>
      </c>
    </row>
    <row r="746" spans="1:6" x14ac:dyDescent="0.3">
      <c r="A746">
        <v>745</v>
      </c>
      <c r="B746" t="s">
        <v>1300</v>
      </c>
      <c r="C746" t="s">
        <v>2224</v>
      </c>
      <c r="D746">
        <v>2</v>
      </c>
      <c r="E746">
        <v>31497</v>
      </c>
      <c r="F746">
        <f>messy_order_items_csv[[#This Row],[unit_price]]*messy_order_items_csv[[#This Row],[quantity]]</f>
        <v>62994</v>
      </c>
    </row>
    <row r="747" spans="1:6" x14ac:dyDescent="0.3">
      <c r="A747">
        <v>746</v>
      </c>
      <c r="B747" t="s">
        <v>1145</v>
      </c>
      <c r="C747" t="s">
        <v>2273</v>
      </c>
      <c r="D747">
        <v>1</v>
      </c>
      <c r="E747">
        <v>31497</v>
      </c>
      <c r="F747">
        <f>messy_order_items_csv[[#This Row],[unit_price]]*messy_order_items_csv[[#This Row],[quantity]]</f>
        <v>31497</v>
      </c>
    </row>
    <row r="748" spans="1:6" x14ac:dyDescent="0.3">
      <c r="A748">
        <v>747</v>
      </c>
      <c r="B748" t="s">
        <v>1567</v>
      </c>
      <c r="C748" t="s">
        <v>2230</v>
      </c>
      <c r="D748">
        <v>1</v>
      </c>
      <c r="E748">
        <v>51939</v>
      </c>
      <c r="F748">
        <f>messy_order_items_csv[[#This Row],[unit_price]]*messy_order_items_csv[[#This Row],[quantity]]</f>
        <v>51939</v>
      </c>
    </row>
    <row r="749" spans="1:6" x14ac:dyDescent="0.3">
      <c r="A749">
        <v>748</v>
      </c>
      <c r="B749" t="s">
        <v>2066</v>
      </c>
      <c r="C749" t="s">
        <v>2258</v>
      </c>
      <c r="D749">
        <v>0</v>
      </c>
      <c r="E749">
        <v>51735</v>
      </c>
      <c r="F749">
        <f>messy_order_items_csv[[#This Row],[unit_price]]*messy_order_items_csv[[#This Row],[quantity]]</f>
        <v>0</v>
      </c>
    </row>
    <row r="750" spans="1:6" x14ac:dyDescent="0.3">
      <c r="A750">
        <v>749</v>
      </c>
      <c r="B750" t="s">
        <v>1713</v>
      </c>
      <c r="C750" t="s">
        <v>2201</v>
      </c>
      <c r="E750">
        <v>13844</v>
      </c>
      <c r="F750">
        <f>messy_order_items_csv[[#This Row],[unit_price]]*messy_order_items_csv[[#This Row],[quantity]]</f>
        <v>0</v>
      </c>
    </row>
    <row r="751" spans="1:6" x14ac:dyDescent="0.3">
      <c r="A751">
        <v>750</v>
      </c>
      <c r="B751" t="s">
        <v>1040</v>
      </c>
      <c r="C751" t="s">
        <v>2259</v>
      </c>
      <c r="D751">
        <v>0</v>
      </c>
      <c r="E751">
        <v>59466</v>
      </c>
      <c r="F751">
        <f>messy_order_items_csv[[#This Row],[unit_price]]*messy_order_items_csv[[#This Row],[quantity]]</f>
        <v>0</v>
      </c>
    </row>
    <row r="752" spans="1:6" x14ac:dyDescent="0.3">
      <c r="A752">
        <v>751</v>
      </c>
      <c r="B752" t="s">
        <v>1209</v>
      </c>
      <c r="C752" t="s">
        <v>2241</v>
      </c>
      <c r="D752">
        <v>3</v>
      </c>
      <c r="E752">
        <v>27157</v>
      </c>
      <c r="F752">
        <f>messy_order_items_csv[[#This Row],[unit_price]]*messy_order_items_csv[[#This Row],[quantity]]</f>
        <v>81471</v>
      </c>
    </row>
    <row r="753" spans="1:6" x14ac:dyDescent="0.3">
      <c r="A753">
        <v>752</v>
      </c>
      <c r="B753" t="s">
        <v>1302</v>
      </c>
      <c r="C753" t="s">
        <v>2225</v>
      </c>
      <c r="D753">
        <v>1</v>
      </c>
      <c r="E753">
        <v>31497</v>
      </c>
      <c r="F753">
        <f>messy_order_items_csv[[#This Row],[unit_price]]*messy_order_items_csv[[#This Row],[quantity]]</f>
        <v>31497</v>
      </c>
    </row>
    <row r="754" spans="1:6" x14ac:dyDescent="0.3">
      <c r="A754">
        <v>753</v>
      </c>
      <c r="B754" t="s">
        <v>1695</v>
      </c>
      <c r="C754" t="s">
        <v>2273</v>
      </c>
      <c r="D754">
        <v>3</v>
      </c>
      <c r="E754">
        <v>31497</v>
      </c>
      <c r="F754">
        <f>messy_order_items_csv[[#This Row],[unit_price]]*messy_order_items_csv[[#This Row],[quantity]]</f>
        <v>94491</v>
      </c>
    </row>
    <row r="755" spans="1:6" x14ac:dyDescent="0.3">
      <c r="A755">
        <v>754</v>
      </c>
      <c r="B755" t="s">
        <v>1461</v>
      </c>
      <c r="C755" t="s">
        <v>2235</v>
      </c>
      <c r="D755">
        <v>3</v>
      </c>
      <c r="E755">
        <v>17304</v>
      </c>
      <c r="F755">
        <f>messy_order_items_csv[[#This Row],[unit_price]]*messy_order_items_csv[[#This Row],[quantity]]</f>
        <v>51912</v>
      </c>
    </row>
    <row r="756" spans="1:6" x14ac:dyDescent="0.3">
      <c r="A756">
        <v>755</v>
      </c>
      <c r="B756" t="s">
        <v>1144</v>
      </c>
      <c r="C756" t="s">
        <v>2236</v>
      </c>
      <c r="E756">
        <v>6095</v>
      </c>
      <c r="F756">
        <f>messy_order_items_csv[[#This Row],[unit_price]]*messy_order_items_csv[[#This Row],[quantity]]</f>
        <v>0</v>
      </c>
    </row>
    <row r="757" spans="1:6" x14ac:dyDescent="0.3">
      <c r="A757">
        <v>756</v>
      </c>
      <c r="B757" t="s">
        <v>1681</v>
      </c>
      <c r="C757" t="s">
        <v>2234</v>
      </c>
      <c r="D757">
        <v>2</v>
      </c>
      <c r="E757">
        <v>31497</v>
      </c>
      <c r="F757">
        <f>messy_order_items_csv[[#This Row],[unit_price]]*messy_order_items_csv[[#This Row],[quantity]]</f>
        <v>62994</v>
      </c>
    </row>
    <row r="758" spans="1:6" x14ac:dyDescent="0.3">
      <c r="A758">
        <v>757</v>
      </c>
      <c r="B758" t="s">
        <v>1170</v>
      </c>
      <c r="C758" t="s">
        <v>2249</v>
      </c>
      <c r="D758">
        <v>2</v>
      </c>
      <c r="E758">
        <v>31497</v>
      </c>
      <c r="F758">
        <f>messy_order_items_csv[[#This Row],[unit_price]]*messy_order_items_csv[[#This Row],[quantity]]</f>
        <v>62994</v>
      </c>
    </row>
    <row r="759" spans="1:6" x14ac:dyDescent="0.3">
      <c r="A759">
        <v>758</v>
      </c>
      <c r="B759" t="s">
        <v>1823</v>
      </c>
      <c r="C759" t="s">
        <v>2239</v>
      </c>
      <c r="D759">
        <v>1</v>
      </c>
      <c r="E759">
        <v>24004</v>
      </c>
      <c r="F759">
        <f>messy_order_items_csv[[#This Row],[unit_price]]*messy_order_items_csv[[#This Row],[quantity]]</f>
        <v>24004</v>
      </c>
    </row>
    <row r="760" spans="1:6" x14ac:dyDescent="0.3">
      <c r="A760">
        <v>759</v>
      </c>
      <c r="B760" t="s">
        <v>1947</v>
      </c>
      <c r="C760" t="s">
        <v>2256</v>
      </c>
      <c r="D760">
        <v>3</v>
      </c>
      <c r="E760">
        <v>31497</v>
      </c>
      <c r="F760">
        <f>messy_order_items_csv[[#This Row],[unit_price]]*messy_order_items_csv[[#This Row],[quantity]]</f>
        <v>94491</v>
      </c>
    </row>
    <row r="761" spans="1:6" x14ac:dyDescent="0.3">
      <c r="A761">
        <v>760</v>
      </c>
      <c r="B761" t="s">
        <v>2175</v>
      </c>
      <c r="C761" t="s">
        <v>2258</v>
      </c>
      <c r="D761">
        <v>3</v>
      </c>
      <c r="E761">
        <v>51735</v>
      </c>
      <c r="F761">
        <f>messy_order_items_csv[[#This Row],[unit_price]]*messy_order_items_csv[[#This Row],[quantity]]</f>
        <v>155205</v>
      </c>
    </row>
    <row r="762" spans="1:6" x14ac:dyDescent="0.3">
      <c r="A762">
        <v>761</v>
      </c>
      <c r="B762" t="s">
        <v>2036</v>
      </c>
      <c r="C762" t="s">
        <v>2252</v>
      </c>
      <c r="E762">
        <v>26623</v>
      </c>
      <c r="F762">
        <f>messy_order_items_csv[[#This Row],[unit_price]]*messy_order_items_csv[[#This Row],[quantity]]</f>
        <v>0</v>
      </c>
    </row>
    <row r="763" spans="1:6" x14ac:dyDescent="0.3">
      <c r="A763">
        <v>762</v>
      </c>
      <c r="B763" t="s">
        <v>1401</v>
      </c>
      <c r="C763" t="s">
        <v>2212</v>
      </c>
      <c r="E763">
        <v>58364</v>
      </c>
      <c r="F763">
        <f>messy_order_items_csv[[#This Row],[unit_price]]*messy_order_items_csv[[#This Row],[quantity]]</f>
        <v>0</v>
      </c>
    </row>
    <row r="764" spans="1:6" x14ac:dyDescent="0.3">
      <c r="A764">
        <v>763</v>
      </c>
      <c r="B764" t="s">
        <v>1877</v>
      </c>
      <c r="C764" t="s">
        <v>2258</v>
      </c>
      <c r="D764">
        <v>2</v>
      </c>
      <c r="E764">
        <v>51735</v>
      </c>
      <c r="F764">
        <f>messy_order_items_csv[[#This Row],[unit_price]]*messy_order_items_csv[[#This Row],[quantity]]</f>
        <v>103470</v>
      </c>
    </row>
    <row r="765" spans="1:6" x14ac:dyDescent="0.3">
      <c r="A765">
        <v>764</v>
      </c>
      <c r="B765" t="s">
        <v>2007</v>
      </c>
      <c r="C765" t="s">
        <v>2260</v>
      </c>
      <c r="D765">
        <v>0</v>
      </c>
      <c r="E765">
        <v>15003</v>
      </c>
      <c r="F765">
        <f>messy_order_items_csv[[#This Row],[unit_price]]*messy_order_items_csv[[#This Row],[quantity]]</f>
        <v>0</v>
      </c>
    </row>
    <row r="766" spans="1:6" x14ac:dyDescent="0.3">
      <c r="A766">
        <v>765</v>
      </c>
      <c r="B766" t="s">
        <v>1205</v>
      </c>
      <c r="C766" t="s">
        <v>2195</v>
      </c>
      <c r="D766">
        <v>0</v>
      </c>
      <c r="E766">
        <v>50638</v>
      </c>
      <c r="F766">
        <f>messy_order_items_csv[[#This Row],[unit_price]]*messy_order_items_csv[[#This Row],[quantity]]</f>
        <v>0</v>
      </c>
    </row>
    <row r="767" spans="1:6" x14ac:dyDescent="0.3">
      <c r="A767">
        <v>766</v>
      </c>
      <c r="B767" t="s">
        <v>1910</v>
      </c>
      <c r="C767" t="s">
        <v>2274</v>
      </c>
      <c r="D767">
        <v>4</v>
      </c>
      <c r="E767">
        <v>31497</v>
      </c>
      <c r="F767">
        <f>messy_order_items_csv[[#This Row],[unit_price]]*messy_order_items_csv[[#This Row],[quantity]]</f>
        <v>125988</v>
      </c>
    </row>
    <row r="768" spans="1:6" x14ac:dyDescent="0.3">
      <c r="A768">
        <v>767</v>
      </c>
      <c r="B768" t="s">
        <v>1107</v>
      </c>
      <c r="C768" t="s">
        <v>2265</v>
      </c>
      <c r="E768">
        <v>70582</v>
      </c>
      <c r="F768">
        <f>messy_order_items_csv[[#This Row],[unit_price]]*messy_order_items_csv[[#This Row],[quantity]]</f>
        <v>0</v>
      </c>
    </row>
    <row r="769" spans="1:6" x14ac:dyDescent="0.3">
      <c r="A769">
        <v>768</v>
      </c>
      <c r="B769" t="s">
        <v>2174</v>
      </c>
      <c r="C769" t="s">
        <v>2229</v>
      </c>
      <c r="D769">
        <v>0</v>
      </c>
      <c r="E769">
        <v>57955</v>
      </c>
      <c r="F769">
        <f>messy_order_items_csv[[#This Row],[unit_price]]*messy_order_items_csv[[#This Row],[quantity]]</f>
        <v>0</v>
      </c>
    </row>
    <row r="770" spans="1:6" x14ac:dyDescent="0.3">
      <c r="A770">
        <v>769</v>
      </c>
      <c r="B770" t="s">
        <v>2153</v>
      </c>
      <c r="C770" t="s">
        <v>2256</v>
      </c>
      <c r="D770">
        <v>4</v>
      </c>
      <c r="E770">
        <v>79969</v>
      </c>
      <c r="F770">
        <f>messy_order_items_csv[[#This Row],[unit_price]]*messy_order_items_csv[[#This Row],[quantity]]</f>
        <v>319876</v>
      </c>
    </row>
    <row r="771" spans="1:6" x14ac:dyDescent="0.3">
      <c r="A771">
        <v>770</v>
      </c>
      <c r="B771" t="s">
        <v>1238</v>
      </c>
      <c r="C771" t="s">
        <v>2252</v>
      </c>
      <c r="D771">
        <v>1</v>
      </c>
      <c r="E771">
        <v>77289</v>
      </c>
      <c r="F771">
        <f>messy_order_items_csv[[#This Row],[unit_price]]*messy_order_items_csv[[#This Row],[quantity]]</f>
        <v>77289</v>
      </c>
    </row>
    <row r="772" spans="1:6" x14ac:dyDescent="0.3">
      <c r="A772">
        <v>771</v>
      </c>
      <c r="B772" t="s">
        <v>1346</v>
      </c>
      <c r="C772" t="s">
        <v>2259</v>
      </c>
      <c r="D772">
        <v>4</v>
      </c>
      <c r="E772">
        <v>31497</v>
      </c>
      <c r="F772">
        <f>messy_order_items_csv[[#This Row],[unit_price]]*messy_order_items_csv[[#This Row],[quantity]]</f>
        <v>125988</v>
      </c>
    </row>
    <row r="773" spans="1:6" x14ac:dyDescent="0.3">
      <c r="A773">
        <v>772</v>
      </c>
      <c r="B773" t="s">
        <v>1841</v>
      </c>
      <c r="C773" t="s">
        <v>2251</v>
      </c>
      <c r="E773">
        <v>35218</v>
      </c>
      <c r="F773">
        <f>messy_order_items_csv[[#This Row],[unit_price]]*messy_order_items_csv[[#This Row],[quantity]]</f>
        <v>0</v>
      </c>
    </row>
    <row r="774" spans="1:6" x14ac:dyDescent="0.3">
      <c r="A774">
        <v>773</v>
      </c>
      <c r="B774" t="s">
        <v>1812</v>
      </c>
      <c r="C774" t="s">
        <v>2213</v>
      </c>
      <c r="E774">
        <v>66329</v>
      </c>
      <c r="F774">
        <f>messy_order_items_csv[[#This Row],[unit_price]]*messy_order_items_csv[[#This Row],[quantity]]</f>
        <v>0</v>
      </c>
    </row>
    <row r="775" spans="1:6" x14ac:dyDescent="0.3">
      <c r="A775">
        <v>774</v>
      </c>
      <c r="B775" t="s">
        <v>1380</v>
      </c>
      <c r="C775" t="s">
        <v>2206</v>
      </c>
      <c r="D775">
        <v>1</v>
      </c>
      <c r="E775">
        <v>15249</v>
      </c>
      <c r="F775">
        <f>messy_order_items_csv[[#This Row],[unit_price]]*messy_order_items_csv[[#This Row],[quantity]]</f>
        <v>15249</v>
      </c>
    </row>
    <row r="776" spans="1:6" x14ac:dyDescent="0.3">
      <c r="A776">
        <v>775</v>
      </c>
      <c r="B776" t="s">
        <v>1307</v>
      </c>
      <c r="C776" t="s">
        <v>2195</v>
      </c>
      <c r="D776">
        <v>2</v>
      </c>
      <c r="E776">
        <v>47453</v>
      </c>
      <c r="F776">
        <f>messy_order_items_csv[[#This Row],[unit_price]]*messy_order_items_csv[[#This Row],[quantity]]</f>
        <v>94906</v>
      </c>
    </row>
    <row r="777" spans="1:6" x14ac:dyDescent="0.3">
      <c r="A777">
        <v>776</v>
      </c>
      <c r="B777" t="s">
        <v>1282</v>
      </c>
      <c r="C777" t="s">
        <v>2213</v>
      </c>
      <c r="D777">
        <v>2</v>
      </c>
      <c r="E777">
        <v>51475</v>
      </c>
      <c r="F777">
        <f>messy_order_items_csv[[#This Row],[unit_price]]*messy_order_items_csv[[#This Row],[quantity]]</f>
        <v>102950</v>
      </c>
    </row>
    <row r="778" spans="1:6" x14ac:dyDescent="0.3">
      <c r="A778">
        <v>777</v>
      </c>
      <c r="B778" t="s">
        <v>1535</v>
      </c>
      <c r="C778" t="s">
        <v>2273</v>
      </c>
      <c r="D778">
        <v>3</v>
      </c>
      <c r="E778">
        <v>44184</v>
      </c>
      <c r="F778">
        <f>messy_order_items_csv[[#This Row],[unit_price]]*messy_order_items_csv[[#This Row],[quantity]]</f>
        <v>132552</v>
      </c>
    </row>
    <row r="779" spans="1:6" x14ac:dyDescent="0.3">
      <c r="A779">
        <v>778</v>
      </c>
      <c r="B779" t="s">
        <v>1380</v>
      </c>
      <c r="C779" t="s">
        <v>2247</v>
      </c>
      <c r="D779">
        <v>3</v>
      </c>
      <c r="E779">
        <v>31497</v>
      </c>
      <c r="F779">
        <f>messy_order_items_csv[[#This Row],[unit_price]]*messy_order_items_csv[[#This Row],[quantity]]</f>
        <v>94491</v>
      </c>
    </row>
    <row r="780" spans="1:6" x14ac:dyDescent="0.3">
      <c r="A780">
        <v>779</v>
      </c>
      <c r="B780" t="s">
        <v>1365</v>
      </c>
      <c r="C780" t="s">
        <v>2208</v>
      </c>
      <c r="D780">
        <v>1</v>
      </c>
      <c r="E780">
        <v>31497</v>
      </c>
      <c r="F780">
        <f>messy_order_items_csv[[#This Row],[unit_price]]*messy_order_items_csv[[#This Row],[quantity]]</f>
        <v>31497</v>
      </c>
    </row>
    <row r="781" spans="1:6" x14ac:dyDescent="0.3">
      <c r="A781">
        <v>780</v>
      </c>
      <c r="B781" t="s">
        <v>2074</v>
      </c>
      <c r="C781" t="s">
        <v>2271</v>
      </c>
      <c r="D781">
        <v>0</v>
      </c>
      <c r="E781">
        <v>40306</v>
      </c>
      <c r="F781">
        <f>messy_order_items_csv[[#This Row],[unit_price]]*messy_order_items_csv[[#This Row],[quantity]]</f>
        <v>0</v>
      </c>
    </row>
    <row r="782" spans="1:6" x14ac:dyDescent="0.3">
      <c r="A782">
        <v>781</v>
      </c>
      <c r="B782" t="s">
        <v>1185</v>
      </c>
      <c r="C782" t="s">
        <v>2249</v>
      </c>
      <c r="D782">
        <v>4</v>
      </c>
      <c r="E782">
        <v>35495</v>
      </c>
      <c r="F782">
        <f>messy_order_items_csv[[#This Row],[unit_price]]*messy_order_items_csv[[#This Row],[quantity]]</f>
        <v>141980</v>
      </c>
    </row>
    <row r="783" spans="1:6" x14ac:dyDescent="0.3">
      <c r="A783">
        <v>782</v>
      </c>
      <c r="B783" t="s">
        <v>1948</v>
      </c>
      <c r="C783" t="s">
        <v>2224</v>
      </c>
      <c r="D783">
        <v>4</v>
      </c>
      <c r="E783">
        <v>31497</v>
      </c>
      <c r="F783">
        <f>messy_order_items_csv[[#This Row],[unit_price]]*messy_order_items_csv[[#This Row],[quantity]]</f>
        <v>125988</v>
      </c>
    </row>
    <row r="784" spans="1:6" x14ac:dyDescent="0.3">
      <c r="A784">
        <v>783</v>
      </c>
      <c r="B784" t="s">
        <v>1300</v>
      </c>
      <c r="C784" t="s">
        <v>2241</v>
      </c>
      <c r="D784">
        <v>0</v>
      </c>
      <c r="E784">
        <v>27157</v>
      </c>
      <c r="F784">
        <f>messy_order_items_csv[[#This Row],[unit_price]]*messy_order_items_csv[[#This Row],[quantity]]</f>
        <v>0</v>
      </c>
    </row>
    <row r="785" spans="1:6" x14ac:dyDescent="0.3">
      <c r="A785">
        <v>784</v>
      </c>
      <c r="B785" t="s">
        <v>1848</v>
      </c>
      <c r="C785" t="s">
        <v>2203</v>
      </c>
      <c r="D785">
        <v>2</v>
      </c>
      <c r="E785">
        <v>68648</v>
      </c>
      <c r="F785">
        <f>messy_order_items_csv[[#This Row],[unit_price]]*messy_order_items_csv[[#This Row],[quantity]]</f>
        <v>137296</v>
      </c>
    </row>
    <row r="786" spans="1:6" x14ac:dyDescent="0.3">
      <c r="A786">
        <v>785</v>
      </c>
      <c r="B786" t="s">
        <v>1674</v>
      </c>
      <c r="C786" t="s">
        <v>2215</v>
      </c>
      <c r="D786">
        <v>3</v>
      </c>
      <c r="E786">
        <v>84879</v>
      </c>
      <c r="F786">
        <f>messy_order_items_csv[[#This Row],[unit_price]]*messy_order_items_csv[[#This Row],[quantity]]</f>
        <v>254637</v>
      </c>
    </row>
    <row r="787" spans="1:6" x14ac:dyDescent="0.3">
      <c r="A787">
        <v>786</v>
      </c>
      <c r="B787" t="s">
        <v>2038</v>
      </c>
      <c r="C787" t="s">
        <v>2221</v>
      </c>
      <c r="E787">
        <v>56180</v>
      </c>
      <c r="F787">
        <f>messy_order_items_csv[[#This Row],[unit_price]]*messy_order_items_csv[[#This Row],[quantity]]</f>
        <v>0</v>
      </c>
    </row>
    <row r="788" spans="1:6" x14ac:dyDescent="0.3">
      <c r="A788">
        <v>787</v>
      </c>
      <c r="B788" t="s">
        <v>1738</v>
      </c>
      <c r="C788" t="s">
        <v>2251</v>
      </c>
      <c r="E788">
        <v>47111</v>
      </c>
      <c r="F788">
        <f>messy_order_items_csv[[#This Row],[unit_price]]*messy_order_items_csv[[#This Row],[quantity]]</f>
        <v>0</v>
      </c>
    </row>
    <row r="789" spans="1:6" x14ac:dyDescent="0.3">
      <c r="A789">
        <v>788</v>
      </c>
      <c r="B789" t="s">
        <v>2036</v>
      </c>
      <c r="C789" t="s">
        <v>2215</v>
      </c>
      <c r="D789">
        <v>4</v>
      </c>
      <c r="E789">
        <v>8018</v>
      </c>
      <c r="F789">
        <f>messy_order_items_csv[[#This Row],[unit_price]]*messy_order_items_csv[[#This Row],[quantity]]</f>
        <v>32072</v>
      </c>
    </row>
    <row r="790" spans="1:6" x14ac:dyDescent="0.3">
      <c r="A790">
        <v>789</v>
      </c>
      <c r="B790" t="s">
        <v>1735</v>
      </c>
      <c r="C790" t="s">
        <v>2262</v>
      </c>
      <c r="D790">
        <v>1</v>
      </c>
      <c r="E790">
        <v>43166</v>
      </c>
      <c r="F790">
        <f>messy_order_items_csv[[#This Row],[unit_price]]*messy_order_items_csv[[#This Row],[quantity]]</f>
        <v>43166</v>
      </c>
    </row>
    <row r="791" spans="1:6" x14ac:dyDescent="0.3">
      <c r="A791">
        <v>790</v>
      </c>
      <c r="B791" t="s">
        <v>1282</v>
      </c>
      <c r="C791" t="s">
        <v>2248</v>
      </c>
      <c r="D791">
        <v>1</v>
      </c>
      <c r="E791">
        <v>31497</v>
      </c>
      <c r="F791">
        <f>messy_order_items_csv[[#This Row],[unit_price]]*messy_order_items_csv[[#This Row],[quantity]]</f>
        <v>31497</v>
      </c>
    </row>
    <row r="792" spans="1:6" x14ac:dyDescent="0.3">
      <c r="A792">
        <v>791</v>
      </c>
      <c r="B792" t="s">
        <v>1093</v>
      </c>
      <c r="C792" t="s">
        <v>2210</v>
      </c>
      <c r="E792">
        <v>63348</v>
      </c>
      <c r="F792">
        <f>messy_order_items_csv[[#This Row],[unit_price]]*messy_order_items_csv[[#This Row],[quantity]]</f>
        <v>0</v>
      </c>
    </row>
    <row r="793" spans="1:6" x14ac:dyDescent="0.3">
      <c r="A793">
        <v>792</v>
      </c>
      <c r="B793" t="s">
        <v>1448</v>
      </c>
      <c r="C793" t="s">
        <v>2236</v>
      </c>
      <c r="D793">
        <v>2</v>
      </c>
      <c r="E793">
        <v>12440</v>
      </c>
      <c r="F793">
        <f>messy_order_items_csv[[#This Row],[unit_price]]*messy_order_items_csv[[#This Row],[quantity]]</f>
        <v>24880</v>
      </c>
    </row>
    <row r="794" spans="1:6" x14ac:dyDescent="0.3">
      <c r="A794">
        <v>793</v>
      </c>
      <c r="B794" t="s">
        <v>1356</v>
      </c>
      <c r="C794" t="s">
        <v>2271</v>
      </c>
      <c r="D794">
        <v>3</v>
      </c>
      <c r="E794">
        <v>31497</v>
      </c>
      <c r="F794">
        <f>messy_order_items_csv[[#This Row],[unit_price]]*messy_order_items_csv[[#This Row],[quantity]]</f>
        <v>94491</v>
      </c>
    </row>
    <row r="795" spans="1:6" x14ac:dyDescent="0.3">
      <c r="A795">
        <v>794</v>
      </c>
      <c r="B795" t="s">
        <v>1292</v>
      </c>
      <c r="C795" t="s">
        <v>2230</v>
      </c>
      <c r="E795">
        <v>31497</v>
      </c>
      <c r="F795">
        <f>messy_order_items_csv[[#This Row],[unit_price]]*messy_order_items_csv[[#This Row],[quantity]]</f>
        <v>0</v>
      </c>
    </row>
    <row r="796" spans="1:6" x14ac:dyDescent="0.3">
      <c r="A796">
        <v>795</v>
      </c>
      <c r="B796" t="s">
        <v>1182</v>
      </c>
      <c r="C796" t="s">
        <v>2215</v>
      </c>
      <c r="D796">
        <v>4</v>
      </c>
      <c r="E796">
        <v>31497</v>
      </c>
      <c r="F796">
        <f>messy_order_items_csv[[#This Row],[unit_price]]*messy_order_items_csv[[#This Row],[quantity]]</f>
        <v>125988</v>
      </c>
    </row>
    <row r="797" spans="1:6" x14ac:dyDescent="0.3">
      <c r="A797">
        <v>796</v>
      </c>
      <c r="B797" t="s">
        <v>1877</v>
      </c>
      <c r="C797" t="s">
        <v>2245</v>
      </c>
      <c r="D797">
        <v>2</v>
      </c>
      <c r="E797">
        <v>6791</v>
      </c>
      <c r="F797">
        <f>messy_order_items_csv[[#This Row],[unit_price]]*messy_order_items_csv[[#This Row],[quantity]]</f>
        <v>13582</v>
      </c>
    </row>
    <row r="798" spans="1:6" x14ac:dyDescent="0.3">
      <c r="A798">
        <v>797</v>
      </c>
      <c r="B798" t="s">
        <v>1044</v>
      </c>
      <c r="C798" t="s">
        <v>2233</v>
      </c>
      <c r="D798">
        <v>0</v>
      </c>
      <c r="E798">
        <v>31497</v>
      </c>
      <c r="F798">
        <f>messy_order_items_csv[[#This Row],[unit_price]]*messy_order_items_csv[[#This Row],[quantity]]</f>
        <v>0</v>
      </c>
    </row>
    <row r="799" spans="1:6" x14ac:dyDescent="0.3">
      <c r="A799">
        <v>798</v>
      </c>
      <c r="B799" t="s">
        <v>2061</v>
      </c>
      <c r="C799" t="s">
        <v>2226</v>
      </c>
      <c r="D799">
        <v>0</v>
      </c>
      <c r="E799">
        <v>84776</v>
      </c>
      <c r="F799">
        <f>messy_order_items_csv[[#This Row],[unit_price]]*messy_order_items_csv[[#This Row],[quantity]]</f>
        <v>0</v>
      </c>
    </row>
    <row r="800" spans="1:6" x14ac:dyDescent="0.3">
      <c r="A800">
        <v>799</v>
      </c>
      <c r="B800" t="s">
        <v>1286</v>
      </c>
      <c r="C800" t="s">
        <v>2238</v>
      </c>
      <c r="D800">
        <v>4</v>
      </c>
      <c r="E800">
        <v>55012</v>
      </c>
      <c r="F800">
        <f>messy_order_items_csv[[#This Row],[unit_price]]*messy_order_items_csv[[#This Row],[quantity]]</f>
        <v>220048</v>
      </c>
    </row>
    <row r="801" spans="1:6" x14ac:dyDescent="0.3">
      <c r="A801">
        <v>800</v>
      </c>
      <c r="B801" t="s">
        <v>1756</v>
      </c>
      <c r="C801" t="s">
        <v>2225</v>
      </c>
      <c r="D801">
        <v>2</v>
      </c>
      <c r="E801">
        <v>24908</v>
      </c>
      <c r="F801">
        <f>messy_order_items_csv[[#This Row],[unit_price]]*messy_order_items_csv[[#This Row],[quantity]]</f>
        <v>49816</v>
      </c>
    </row>
    <row r="802" spans="1:6" x14ac:dyDescent="0.3">
      <c r="A802">
        <v>801</v>
      </c>
      <c r="B802" t="s">
        <v>1676</v>
      </c>
      <c r="C802" t="s">
        <v>2268</v>
      </c>
      <c r="D802">
        <v>1</v>
      </c>
      <c r="E802">
        <v>9337</v>
      </c>
      <c r="F802">
        <f>messy_order_items_csv[[#This Row],[unit_price]]*messy_order_items_csv[[#This Row],[quantity]]</f>
        <v>9337</v>
      </c>
    </row>
    <row r="803" spans="1:6" x14ac:dyDescent="0.3">
      <c r="A803">
        <v>802</v>
      </c>
      <c r="B803" t="s">
        <v>2024</v>
      </c>
      <c r="C803" t="s">
        <v>2220</v>
      </c>
      <c r="E803">
        <v>76493</v>
      </c>
      <c r="F803">
        <f>messy_order_items_csv[[#This Row],[unit_price]]*messy_order_items_csv[[#This Row],[quantity]]</f>
        <v>0</v>
      </c>
    </row>
    <row r="804" spans="1:6" x14ac:dyDescent="0.3">
      <c r="A804">
        <v>803</v>
      </c>
      <c r="B804" t="s">
        <v>2153</v>
      </c>
      <c r="C804" t="s">
        <v>2252</v>
      </c>
      <c r="D804">
        <v>3</v>
      </c>
      <c r="E804">
        <v>20563</v>
      </c>
      <c r="F804">
        <f>messy_order_items_csv[[#This Row],[unit_price]]*messy_order_items_csv[[#This Row],[quantity]]</f>
        <v>61689</v>
      </c>
    </row>
    <row r="805" spans="1:6" x14ac:dyDescent="0.3">
      <c r="A805">
        <v>804</v>
      </c>
      <c r="B805" t="s">
        <v>1244</v>
      </c>
      <c r="C805" t="s">
        <v>2205</v>
      </c>
      <c r="D805">
        <v>0</v>
      </c>
      <c r="E805">
        <v>31497</v>
      </c>
      <c r="F805">
        <f>messy_order_items_csv[[#This Row],[unit_price]]*messy_order_items_csv[[#This Row],[quantity]]</f>
        <v>0</v>
      </c>
    </row>
    <row r="806" spans="1:6" x14ac:dyDescent="0.3">
      <c r="A806">
        <v>805</v>
      </c>
      <c r="B806" t="s">
        <v>1113</v>
      </c>
      <c r="C806" t="s">
        <v>2261</v>
      </c>
      <c r="D806">
        <v>1</v>
      </c>
      <c r="E806">
        <v>10901</v>
      </c>
      <c r="F806">
        <f>messy_order_items_csv[[#This Row],[unit_price]]*messy_order_items_csv[[#This Row],[quantity]]</f>
        <v>10901</v>
      </c>
    </row>
    <row r="807" spans="1:6" x14ac:dyDescent="0.3">
      <c r="A807">
        <v>806</v>
      </c>
      <c r="B807" t="s">
        <v>2040</v>
      </c>
      <c r="C807" t="s">
        <v>2216</v>
      </c>
      <c r="D807">
        <v>4</v>
      </c>
      <c r="E807">
        <v>11652</v>
      </c>
      <c r="F807">
        <f>messy_order_items_csv[[#This Row],[unit_price]]*messy_order_items_csv[[#This Row],[quantity]]</f>
        <v>46608</v>
      </c>
    </row>
    <row r="808" spans="1:6" x14ac:dyDescent="0.3">
      <c r="A808">
        <v>807</v>
      </c>
      <c r="B808" t="s">
        <v>1668</v>
      </c>
      <c r="C808" t="s">
        <v>2200</v>
      </c>
      <c r="E808">
        <v>19753</v>
      </c>
      <c r="F808">
        <f>messy_order_items_csv[[#This Row],[unit_price]]*messy_order_items_csv[[#This Row],[quantity]]</f>
        <v>0</v>
      </c>
    </row>
    <row r="809" spans="1:6" x14ac:dyDescent="0.3">
      <c r="A809">
        <v>808</v>
      </c>
      <c r="B809" t="s">
        <v>1260</v>
      </c>
      <c r="C809" t="s">
        <v>2201</v>
      </c>
      <c r="D809">
        <v>3</v>
      </c>
      <c r="E809">
        <v>34499</v>
      </c>
      <c r="F809">
        <f>messy_order_items_csv[[#This Row],[unit_price]]*messy_order_items_csv[[#This Row],[quantity]]</f>
        <v>103497</v>
      </c>
    </row>
    <row r="810" spans="1:6" x14ac:dyDescent="0.3">
      <c r="A810">
        <v>809</v>
      </c>
      <c r="B810" t="s">
        <v>1892</v>
      </c>
      <c r="C810" t="s">
        <v>2244</v>
      </c>
      <c r="D810">
        <v>4</v>
      </c>
      <c r="E810">
        <v>74896</v>
      </c>
      <c r="F810">
        <f>messy_order_items_csv[[#This Row],[unit_price]]*messy_order_items_csv[[#This Row],[quantity]]</f>
        <v>299584</v>
      </c>
    </row>
    <row r="811" spans="1:6" x14ac:dyDescent="0.3">
      <c r="A811">
        <v>810</v>
      </c>
      <c r="B811" t="s">
        <v>1290</v>
      </c>
      <c r="C811" t="s">
        <v>2222</v>
      </c>
      <c r="D811">
        <v>3</v>
      </c>
      <c r="E811">
        <v>34450</v>
      </c>
      <c r="F811">
        <f>messy_order_items_csv[[#This Row],[unit_price]]*messy_order_items_csv[[#This Row],[quantity]]</f>
        <v>103350</v>
      </c>
    </row>
    <row r="812" spans="1:6" x14ac:dyDescent="0.3">
      <c r="A812">
        <v>811</v>
      </c>
      <c r="B812" t="s">
        <v>2061</v>
      </c>
      <c r="C812" t="s">
        <v>2224</v>
      </c>
      <c r="D812">
        <v>2</v>
      </c>
      <c r="E812">
        <v>39849</v>
      </c>
      <c r="F812">
        <f>messy_order_items_csv[[#This Row],[unit_price]]*messy_order_items_csv[[#This Row],[quantity]]</f>
        <v>79698</v>
      </c>
    </row>
    <row r="813" spans="1:6" x14ac:dyDescent="0.3">
      <c r="A813">
        <v>812</v>
      </c>
      <c r="B813" t="s">
        <v>1010</v>
      </c>
      <c r="C813" t="s">
        <v>2216</v>
      </c>
      <c r="D813">
        <v>0</v>
      </c>
      <c r="E813">
        <v>31497</v>
      </c>
      <c r="F813">
        <f>messy_order_items_csv[[#This Row],[unit_price]]*messy_order_items_csv[[#This Row],[quantity]]</f>
        <v>0</v>
      </c>
    </row>
    <row r="814" spans="1:6" x14ac:dyDescent="0.3">
      <c r="A814">
        <v>813</v>
      </c>
      <c r="B814" t="s">
        <v>1425</v>
      </c>
      <c r="C814" t="s">
        <v>2238</v>
      </c>
      <c r="D814">
        <v>4</v>
      </c>
      <c r="E814">
        <v>8783</v>
      </c>
      <c r="F814">
        <f>messy_order_items_csv[[#This Row],[unit_price]]*messy_order_items_csv[[#This Row],[quantity]]</f>
        <v>35132</v>
      </c>
    </row>
    <row r="815" spans="1:6" x14ac:dyDescent="0.3">
      <c r="A815">
        <v>814</v>
      </c>
      <c r="B815" t="s">
        <v>1669</v>
      </c>
      <c r="C815" t="s">
        <v>2202</v>
      </c>
      <c r="D815">
        <v>3</v>
      </c>
      <c r="E815">
        <v>31497</v>
      </c>
      <c r="F815">
        <f>messy_order_items_csv[[#This Row],[unit_price]]*messy_order_items_csv[[#This Row],[quantity]]</f>
        <v>94491</v>
      </c>
    </row>
    <row r="816" spans="1:6" x14ac:dyDescent="0.3">
      <c r="A816">
        <v>815</v>
      </c>
      <c r="B816" t="s">
        <v>1907</v>
      </c>
      <c r="C816" t="s">
        <v>2258</v>
      </c>
      <c r="D816">
        <v>4</v>
      </c>
      <c r="E816">
        <v>20524</v>
      </c>
      <c r="F816">
        <f>messy_order_items_csv[[#This Row],[unit_price]]*messy_order_items_csv[[#This Row],[quantity]]</f>
        <v>82096</v>
      </c>
    </row>
    <row r="817" spans="1:6" x14ac:dyDescent="0.3">
      <c r="A817">
        <v>816</v>
      </c>
      <c r="B817" t="s">
        <v>1665</v>
      </c>
      <c r="C817" t="s">
        <v>2197</v>
      </c>
      <c r="D817">
        <v>0</v>
      </c>
      <c r="E817">
        <v>82381</v>
      </c>
      <c r="F817">
        <f>messy_order_items_csv[[#This Row],[unit_price]]*messy_order_items_csv[[#This Row],[quantity]]</f>
        <v>0</v>
      </c>
    </row>
    <row r="818" spans="1:6" x14ac:dyDescent="0.3">
      <c r="A818">
        <v>817</v>
      </c>
      <c r="B818" t="s">
        <v>2064</v>
      </c>
      <c r="C818" t="s">
        <v>2202</v>
      </c>
      <c r="D818">
        <v>0</v>
      </c>
      <c r="E818">
        <v>31497</v>
      </c>
      <c r="F818">
        <f>messy_order_items_csv[[#This Row],[unit_price]]*messy_order_items_csv[[#This Row],[quantity]]</f>
        <v>0</v>
      </c>
    </row>
    <row r="819" spans="1:6" x14ac:dyDescent="0.3">
      <c r="A819">
        <v>818</v>
      </c>
      <c r="B819" t="s">
        <v>1850</v>
      </c>
      <c r="C819" t="s">
        <v>2196</v>
      </c>
      <c r="D819">
        <v>0</v>
      </c>
      <c r="E819">
        <v>31497</v>
      </c>
      <c r="F819">
        <f>messy_order_items_csv[[#This Row],[unit_price]]*messy_order_items_csv[[#This Row],[quantity]]</f>
        <v>0</v>
      </c>
    </row>
    <row r="820" spans="1:6" x14ac:dyDescent="0.3">
      <c r="A820">
        <v>819</v>
      </c>
      <c r="B820" t="s">
        <v>1566</v>
      </c>
      <c r="C820" t="s">
        <v>2223</v>
      </c>
      <c r="D820">
        <v>3</v>
      </c>
      <c r="E820">
        <v>31497</v>
      </c>
      <c r="F820">
        <f>messy_order_items_csv[[#This Row],[unit_price]]*messy_order_items_csv[[#This Row],[quantity]]</f>
        <v>94491</v>
      </c>
    </row>
    <row r="821" spans="1:6" x14ac:dyDescent="0.3">
      <c r="A821">
        <v>820</v>
      </c>
      <c r="B821" t="s">
        <v>1134</v>
      </c>
      <c r="C821" t="s">
        <v>2266</v>
      </c>
      <c r="E821">
        <v>61970</v>
      </c>
      <c r="F821">
        <f>messy_order_items_csv[[#This Row],[unit_price]]*messy_order_items_csv[[#This Row],[quantity]]</f>
        <v>0</v>
      </c>
    </row>
    <row r="822" spans="1:6" x14ac:dyDescent="0.3">
      <c r="A822">
        <v>821</v>
      </c>
      <c r="B822" t="s">
        <v>1335</v>
      </c>
      <c r="C822" t="s">
        <v>2230</v>
      </c>
      <c r="D822">
        <v>4</v>
      </c>
      <c r="E822">
        <v>31497</v>
      </c>
      <c r="F822">
        <f>messy_order_items_csv[[#This Row],[unit_price]]*messy_order_items_csv[[#This Row],[quantity]]</f>
        <v>125988</v>
      </c>
    </row>
    <row r="823" spans="1:6" x14ac:dyDescent="0.3">
      <c r="A823">
        <v>822</v>
      </c>
      <c r="B823" t="s">
        <v>1161</v>
      </c>
      <c r="C823" t="s">
        <v>2225</v>
      </c>
      <c r="D823">
        <v>3</v>
      </c>
      <c r="E823">
        <v>31497</v>
      </c>
      <c r="F823">
        <f>messy_order_items_csv[[#This Row],[unit_price]]*messy_order_items_csv[[#This Row],[quantity]]</f>
        <v>94491</v>
      </c>
    </row>
    <row r="824" spans="1:6" x14ac:dyDescent="0.3">
      <c r="A824">
        <v>823</v>
      </c>
      <c r="B824" t="s">
        <v>1261</v>
      </c>
      <c r="C824" t="s">
        <v>2195</v>
      </c>
      <c r="E824">
        <v>10444</v>
      </c>
      <c r="F824">
        <f>messy_order_items_csv[[#This Row],[unit_price]]*messy_order_items_csv[[#This Row],[quantity]]</f>
        <v>0</v>
      </c>
    </row>
    <row r="825" spans="1:6" x14ac:dyDescent="0.3">
      <c r="A825">
        <v>824</v>
      </c>
      <c r="B825" t="s">
        <v>1797</v>
      </c>
      <c r="C825" t="s">
        <v>2224</v>
      </c>
      <c r="D825">
        <v>4</v>
      </c>
      <c r="E825">
        <v>32743</v>
      </c>
      <c r="F825">
        <f>messy_order_items_csv[[#This Row],[unit_price]]*messy_order_items_csv[[#This Row],[quantity]]</f>
        <v>130972</v>
      </c>
    </row>
    <row r="826" spans="1:6" x14ac:dyDescent="0.3">
      <c r="A826">
        <v>825</v>
      </c>
      <c r="B826" t="s">
        <v>1697</v>
      </c>
      <c r="C826" t="s">
        <v>2254</v>
      </c>
      <c r="D826">
        <v>1</v>
      </c>
      <c r="E826">
        <v>27615</v>
      </c>
      <c r="F826">
        <f>messy_order_items_csv[[#This Row],[unit_price]]*messy_order_items_csv[[#This Row],[quantity]]</f>
        <v>27615</v>
      </c>
    </row>
    <row r="827" spans="1:6" x14ac:dyDescent="0.3">
      <c r="A827">
        <v>826</v>
      </c>
      <c r="B827" t="s">
        <v>1126</v>
      </c>
      <c r="C827" t="s">
        <v>2245</v>
      </c>
      <c r="D827">
        <v>0</v>
      </c>
      <c r="E827">
        <v>86702</v>
      </c>
      <c r="F827">
        <f>messy_order_items_csv[[#This Row],[unit_price]]*messy_order_items_csv[[#This Row],[quantity]]</f>
        <v>0</v>
      </c>
    </row>
    <row r="828" spans="1:6" x14ac:dyDescent="0.3">
      <c r="A828">
        <v>827</v>
      </c>
      <c r="B828" t="s">
        <v>1713</v>
      </c>
      <c r="C828" t="s">
        <v>2232</v>
      </c>
      <c r="E828">
        <v>30232</v>
      </c>
      <c r="F828">
        <f>messy_order_items_csv[[#This Row],[unit_price]]*messy_order_items_csv[[#This Row],[quantity]]</f>
        <v>0</v>
      </c>
    </row>
    <row r="829" spans="1:6" x14ac:dyDescent="0.3">
      <c r="A829">
        <v>828</v>
      </c>
      <c r="B829" t="s">
        <v>1568</v>
      </c>
      <c r="C829" t="s">
        <v>2239</v>
      </c>
      <c r="D829">
        <v>4</v>
      </c>
      <c r="E829">
        <v>49415</v>
      </c>
      <c r="F829">
        <f>messy_order_items_csv[[#This Row],[unit_price]]*messy_order_items_csv[[#This Row],[quantity]]</f>
        <v>197660</v>
      </c>
    </row>
    <row r="830" spans="1:6" x14ac:dyDescent="0.3">
      <c r="A830">
        <v>829</v>
      </c>
      <c r="B830" t="s">
        <v>1238</v>
      </c>
      <c r="C830" t="s">
        <v>2207</v>
      </c>
      <c r="D830">
        <v>1</v>
      </c>
      <c r="E830">
        <v>75907</v>
      </c>
      <c r="F830">
        <f>messy_order_items_csv[[#This Row],[unit_price]]*messy_order_items_csv[[#This Row],[quantity]]</f>
        <v>75907</v>
      </c>
    </row>
    <row r="831" spans="1:6" x14ac:dyDescent="0.3">
      <c r="A831">
        <v>830</v>
      </c>
      <c r="B831" t="s">
        <v>2007</v>
      </c>
      <c r="C831" t="s">
        <v>2221</v>
      </c>
      <c r="D831">
        <v>4</v>
      </c>
      <c r="E831">
        <v>72473</v>
      </c>
      <c r="F831">
        <f>messy_order_items_csv[[#This Row],[unit_price]]*messy_order_items_csv[[#This Row],[quantity]]</f>
        <v>289892</v>
      </c>
    </row>
    <row r="832" spans="1:6" x14ac:dyDescent="0.3">
      <c r="A832">
        <v>831</v>
      </c>
      <c r="B832" t="s">
        <v>1746</v>
      </c>
      <c r="C832" t="s">
        <v>2265</v>
      </c>
      <c r="D832">
        <v>1</v>
      </c>
      <c r="E832">
        <v>70582</v>
      </c>
      <c r="F832">
        <f>messy_order_items_csv[[#This Row],[unit_price]]*messy_order_items_csv[[#This Row],[quantity]]</f>
        <v>70582</v>
      </c>
    </row>
    <row r="833" spans="1:6" x14ac:dyDescent="0.3">
      <c r="A833">
        <v>832</v>
      </c>
      <c r="B833" t="s">
        <v>1570</v>
      </c>
      <c r="C833" t="s">
        <v>2196</v>
      </c>
      <c r="D833">
        <v>2</v>
      </c>
      <c r="E833">
        <v>31497</v>
      </c>
      <c r="F833">
        <f>messy_order_items_csv[[#This Row],[unit_price]]*messy_order_items_csv[[#This Row],[quantity]]</f>
        <v>62994</v>
      </c>
    </row>
    <row r="834" spans="1:6" x14ac:dyDescent="0.3">
      <c r="A834">
        <v>833</v>
      </c>
      <c r="B834" t="s">
        <v>1936</v>
      </c>
      <c r="C834" t="s">
        <v>2255</v>
      </c>
      <c r="D834">
        <v>0</v>
      </c>
      <c r="E834">
        <v>81129</v>
      </c>
      <c r="F834">
        <f>messy_order_items_csv[[#This Row],[unit_price]]*messy_order_items_csv[[#This Row],[quantity]]</f>
        <v>0</v>
      </c>
    </row>
    <row r="835" spans="1:6" x14ac:dyDescent="0.3">
      <c r="A835">
        <v>834</v>
      </c>
      <c r="B835" t="s">
        <v>1741</v>
      </c>
      <c r="C835" t="s">
        <v>2204</v>
      </c>
      <c r="D835">
        <v>1</v>
      </c>
      <c r="E835">
        <v>31497</v>
      </c>
      <c r="F835">
        <f>messy_order_items_csv[[#This Row],[unit_price]]*messy_order_items_csv[[#This Row],[quantity]]</f>
        <v>31497</v>
      </c>
    </row>
    <row r="836" spans="1:6" x14ac:dyDescent="0.3">
      <c r="A836">
        <v>835</v>
      </c>
      <c r="B836" t="s">
        <v>1041</v>
      </c>
      <c r="C836" t="s">
        <v>2211</v>
      </c>
      <c r="D836">
        <v>0</v>
      </c>
      <c r="E836">
        <v>45528</v>
      </c>
      <c r="F836">
        <f>messy_order_items_csv[[#This Row],[unit_price]]*messy_order_items_csv[[#This Row],[quantity]]</f>
        <v>0</v>
      </c>
    </row>
    <row r="837" spans="1:6" x14ac:dyDescent="0.3">
      <c r="A837">
        <v>836</v>
      </c>
      <c r="B837" t="s">
        <v>1611</v>
      </c>
      <c r="C837" t="s">
        <v>2245</v>
      </c>
      <c r="E837">
        <v>70378</v>
      </c>
      <c r="F837">
        <f>messy_order_items_csv[[#This Row],[unit_price]]*messy_order_items_csv[[#This Row],[quantity]]</f>
        <v>0</v>
      </c>
    </row>
    <row r="838" spans="1:6" x14ac:dyDescent="0.3">
      <c r="A838">
        <v>837</v>
      </c>
      <c r="B838" t="s">
        <v>2182</v>
      </c>
      <c r="C838" t="s">
        <v>2258</v>
      </c>
      <c r="D838">
        <v>3</v>
      </c>
      <c r="E838">
        <v>51735</v>
      </c>
      <c r="F838">
        <f>messy_order_items_csv[[#This Row],[unit_price]]*messy_order_items_csv[[#This Row],[quantity]]</f>
        <v>155205</v>
      </c>
    </row>
    <row r="839" spans="1:6" x14ac:dyDescent="0.3">
      <c r="A839">
        <v>838</v>
      </c>
      <c r="B839" t="s">
        <v>2130</v>
      </c>
      <c r="C839" t="s">
        <v>2201</v>
      </c>
      <c r="E839">
        <v>17010</v>
      </c>
      <c r="F839">
        <f>messy_order_items_csv[[#This Row],[unit_price]]*messy_order_items_csv[[#This Row],[quantity]]</f>
        <v>0</v>
      </c>
    </row>
    <row r="840" spans="1:6" x14ac:dyDescent="0.3">
      <c r="A840">
        <v>839</v>
      </c>
      <c r="B840" t="s">
        <v>2075</v>
      </c>
      <c r="C840" t="s">
        <v>2236</v>
      </c>
      <c r="D840">
        <v>3</v>
      </c>
      <c r="E840">
        <v>6095</v>
      </c>
      <c r="F840">
        <f>messy_order_items_csv[[#This Row],[unit_price]]*messy_order_items_csv[[#This Row],[quantity]]</f>
        <v>18285</v>
      </c>
    </row>
    <row r="841" spans="1:6" x14ac:dyDescent="0.3">
      <c r="A841">
        <v>840</v>
      </c>
      <c r="B841" t="s">
        <v>1398</v>
      </c>
      <c r="C841" t="s">
        <v>2227</v>
      </c>
      <c r="D841">
        <v>2</v>
      </c>
      <c r="E841">
        <v>31497</v>
      </c>
      <c r="F841">
        <f>messy_order_items_csv[[#This Row],[unit_price]]*messy_order_items_csv[[#This Row],[quantity]]</f>
        <v>62994</v>
      </c>
    </row>
    <row r="842" spans="1:6" x14ac:dyDescent="0.3">
      <c r="A842">
        <v>841</v>
      </c>
      <c r="B842" t="s">
        <v>1110</v>
      </c>
      <c r="C842" t="s">
        <v>2228</v>
      </c>
      <c r="D842">
        <v>4</v>
      </c>
      <c r="E842">
        <v>41680</v>
      </c>
      <c r="F842">
        <f>messy_order_items_csv[[#This Row],[unit_price]]*messy_order_items_csv[[#This Row],[quantity]]</f>
        <v>166720</v>
      </c>
    </row>
    <row r="843" spans="1:6" x14ac:dyDescent="0.3">
      <c r="A843">
        <v>842</v>
      </c>
      <c r="B843" t="s">
        <v>1937</v>
      </c>
      <c r="C843" t="s">
        <v>2272</v>
      </c>
      <c r="D843">
        <v>3</v>
      </c>
      <c r="E843">
        <v>72470</v>
      </c>
      <c r="F843">
        <f>messy_order_items_csv[[#This Row],[unit_price]]*messy_order_items_csv[[#This Row],[quantity]]</f>
        <v>217410</v>
      </c>
    </row>
    <row r="844" spans="1:6" x14ac:dyDescent="0.3">
      <c r="A844">
        <v>843</v>
      </c>
      <c r="B844" t="s">
        <v>1519</v>
      </c>
      <c r="C844" t="s">
        <v>2234</v>
      </c>
      <c r="D844">
        <v>1</v>
      </c>
      <c r="E844">
        <v>31497</v>
      </c>
      <c r="F844">
        <f>messy_order_items_csv[[#This Row],[unit_price]]*messy_order_items_csv[[#This Row],[quantity]]</f>
        <v>31497</v>
      </c>
    </row>
    <row r="845" spans="1:6" x14ac:dyDescent="0.3">
      <c r="A845">
        <v>844</v>
      </c>
      <c r="B845" t="s">
        <v>987</v>
      </c>
      <c r="C845" t="s">
        <v>2255</v>
      </c>
      <c r="D845">
        <v>1</v>
      </c>
      <c r="E845">
        <v>25696</v>
      </c>
      <c r="F845">
        <f>messy_order_items_csv[[#This Row],[unit_price]]*messy_order_items_csv[[#This Row],[quantity]]</f>
        <v>25696</v>
      </c>
    </row>
    <row r="846" spans="1:6" x14ac:dyDescent="0.3">
      <c r="A846">
        <v>845</v>
      </c>
      <c r="B846" t="s">
        <v>1311</v>
      </c>
      <c r="C846" t="s">
        <v>2212</v>
      </c>
      <c r="D846">
        <v>4</v>
      </c>
      <c r="E846">
        <v>58364</v>
      </c>
      <c r="F846">
        <f>messy_order_items_csv[[#This Row],[unit_price]]*messy_order_items_csv[[#This Row],[quantity]]</f>
        <v>233456</v>
      </c>
    </row>
    <row r="847" spans="1:6" x14ac:dyDescent="0.3">
      <c r="A847">
        <v>846</v>
      </c>
      <c r="B847" t="s">
        <v>2164</v>
      </c>
      <c r="C847" t="s">
        <v>2256</v>
      </c>
      <c r="D847">
        <v>0</v>
      </c>
      <c r="E847">
        <v>31497</v>
      </c>
      <c r="F847">
        <f>messy_order_items_csv[[#This Row],[unit_price]]*messy_order_items_csv[[#This Row],[quantity]]</f>
        <v>0</v>
      </c>
    </row>
    <row r="848" spans="1:6" x14ac:dyDescent="0.3">
      <c r="A848">
        <v>847</v>
      </c>
      <c r="B848" t="s">
        <v>1244</v>
      </c>
      <c r="C848" t="s">
        <v>2257</v>
      </c>
      <c r="E848">
        <v>31497</v>
      </c>
      <c r="F848">
        <f>messy_order_items_csv[[#This Row],[unit_price]]*messy_order_items_csv[[#This Row],[quantity]]</f>
        <v>0</v>
      </c>
    </row>
    <row r="849" spans="1:6" x14ac:dyDescent="0.3">
      <c r="A849">
        <v>848</v>
      </c>
      <c r="B849" t="s">
        <v>1617</v>
      </c>
      <c r="C849" t="s">
        <v>2230</v>
      </c>
      <c r="D849">
        <v>3</v>
      </c>
      <c r="E849">
        <v>18722</v>
      </c>
      <c r="F849">
        <f>messy_order_items_csv[[#This Row],[unit_price]]*messy_order_items_csv[[#This Row],[quantity]]</f>
        <v>56166</v>
      </c>
    </row>
    <row r="850" spans="1:6" x14ac:dyDescent="0.3">
      <c r="A850">
        <v>849</v>
      </c>
      <c r="B850" t="s">
        <v>1017</v>
      </c>
      <c r="C850" t="s">
        <v>2226</v>
      </c>
      <c r="E850">
        <v>84776</v>
      </c>
      <c r="F850">
        <f>messy_order_items_csv[[#This Row],[unit_price]]*messy_order_items_csv[[#This Row],[quantity]]</f>
        <v>0</v>
      </c>
    </row>
    <row r="851" spans="1:6" x14ac:dyDescent="0.3">
      <c r="A851">
        <v>850</v>
      </c>
      <c r="B851" t="s">
        <v>1329</v>
      </c>
      <c r="C851" t="s">
        <v>2209</v>
      </c>
      <c r="D851">
        <v>1</v>
      </c>
      <c r="E851">
        <v>43654</v>
      </c>
      <c r="F851">
        <f>messy_order_items_csv[[#This Row],[unit_price]]*messy_order_items_csv[[#This Row],[quantity]]</f>
        <v>43654</v>
      </c>
    </row>
    <row r="852" spans="1:6" x14ac:dyDescent="0.3">
      <c r="A852">
        <v>851</v>
      </c>
      <c r="B852" t="s">
        <v>1750</v>
      </c>
      <c r="C852" t="s">
        <v>2248</v>
      </c>
      <c r="D852">
        <v>3</v>
      </c>
      <c r="E852">
        <v>31497</v>
      </c>
      <c r="F852">
        <f>messy_order_items_csv[[#This Row],[unit_price]]*messy_order_items_csv[[#This Row],[quantity]]</f>
        <v>94491</v>
      </c>
    </row>
    <row r="853" spans="1:6" x14ac:dyDescent="0.3">
      <c r="A853">
        <v>852</v>
      </c>
      <c r="B853" t="s">
        <v>1972</v>
      </c>
      <c r="C853" t="s">
        <v>2197</v>
      </c>
      <c r="D853">
        <v>1</v>
      </c>
      <c r="E853">
        <v>61681</v>
      </c>
      <c r="F853">
        <f>messy_order_items_csv[[#This Row],[unit_price]]*messy_order_items_csv[[#This Row],[quantity]]</f>
        <v>61681</v>
      </c>
    </row>
    <row r="854" spans="1:6" x14ac:dyDescent="0.3">
      <c r="A854">
        <v>853</v>
      </c>
      <c r="B854" t="s">
        <v>1268</v>
      </c>
      <c r="C854" t="s">
        <v>2196</v>
      </c>
      <c r="E854">
        <v>23970</v>
      </c>
      <c r="F854">
        <f>messy_order_items_csv[[#This Row],[unit_price]]*messy_order_items_csv[[#This Row],[quantity]]</f>
        <v>0</v>
      </c>
    </row>
    <row r="855" spans="1:6" x14ac:dyDescent="0.3">
      <c r="A855">
        <v>854</v>
      </c>
      <c r="B855" t="s">
        <v>1009</v>
      </c>
      <c r="C855" t="s">
        <v>2228</v>
      </c>
      <c r="D855">
        <v>3</v>
      </c>
      <c r="E855">
        <v>59514</v>
      </c>
      <c r="F855">
        <f>messy_order_items_csv[[#This Row],[unit_price]]*messy_order_items_csv[[#This Row],[quantity]]</f>
        <v>178542</v>
      </c>
    </row>
    <row r="856" spans="1:6" x14ac:dyDescent="0.3">
      <c r="A856">
        <v>855</v>
      </c>
      <c r="B856" t="s">
        <v>1188</v>
      </c>
      <c r="C856" t="s">
        <v>2206</v>
      </c>
      <c r="D856">
        <v>4</v>
      </c>
      <c r="E856">
        <v>72707</v>
      </c>
      <c r="F856">
        <f>messy_order_items_csv[[#This Row],[unit_price]]*messy_order_items_csv[[#This Row],[quantity]]</f>
        <v>290828</v>
      </c>
    </row>
    <row r="857" spans="1:6" x14ac:dyDescent="0.3">
      <c r="A857">
        <v>856</v>
      </c>
      <c r="B857" t="s">
        <v>1420</v>
      </c>
      <c r="C857" t="s">
        <v>2218</v>
      </c>
      <c r="D857">
        <v>3</v>
      </c>
      <c r="E857">
        <v>86702</v>
      </c>
      <c r="F857">
        <f>messy_order_items_csv[[#This Row],[unit_price]]*messy_order_items_csv[[#This Row],[quantity]]</f>
        <v>260106</v>
      </c>
    </row>
    <row r="858" spans="1:6" x14ac:dyDescent="0.3">
      <c r="A858">
        <v>857</v>
      </c>
      <c r="B858" t="s">
        <v>1074</v>
      </c>
      <c r="C858" t="s">
        <v>2261</v>
      </c>
      <c r="D858">
        <v>2</v>
      </c>
      <c r="E858">
        <v>31497</v>
      </c>
      <c r="F858">
        <f>messy_order_items_csv[[#This Row],[unit_price]]*messy_order_items_csv[[#This Row],[quantity]]</f>
        <v>62994</v>
      </c>
    </row>
    <row r="859" spans="1:6" x14ac:dyDescent="0.3">
      <c r="A859">
        <v>858</v>
      </c>
      <c r="B859" t="s">
        <v>1079</v>
      </c>
      <c r="C859" t="s">
        <v>2225</v>
      </c>
      <c r="D859">
        <v>4</v>
      </c>
      <c r="E859">
        <v>31497</v>
      </c>
      <c r="F859">
        <f>messy_order_items_csv[[#This Row],[unit_price]]*messy_order_items_csv[[#This Row],[quantity]]</f>
        <v>125988</v>
      </c>
    </row>
    <row r="860" spans="1:6" x14ac:dyDescent="0.3">
      <c r="A860">
        <v>859</v>
      </c>
      <c r="B860" t="s">
        <v>1488</v>
      </c>
      <c r="C860" t="s">
        <v>2219</v>
      </c>
      <c r="D860">
        <v>2</v>
      </c>
      <c r="E860">
        <v>31497</v>
      </c>
      <c r="F860">
        <f>messy_order_items_csv[[#This Row],[unit_price]]*messy_order_items_csv[[#This Row],[quantity]]</f>
        <v>62994</v>
      </c>
    </row>
    <row r="861" spans="1:6" x14ac:dyDescent="0.3">
      <c r="A861">
        <v>860</v>
      </c>
      <c r="B861" t="s">
        <v>1031</v>
      </c>
      <c r="C861" t="s">
        <v>2263</v>
      </c>
      <c r="E861">
        <v>31497</v>
      </c>
      <c r="F861">
        <f>messy_order_items_csv[[#This Row],[unit_price]]*messy_order_items_csv[[#This Row],[quantity]]</f>
        <v>0</v>
      </c>
    </row>
    <row r="862" spans="1:6" x14ac:dyDescent="0.3">
      <c r="A862">
        <v>861</v>
      </c>
      <c r="B862" t="s">
        <v>1195</v>
      </c>
      <c r="C862" t="s">
        <v>2240</v>
      </c>
      <c r="D862">
        <v>4</v>
      </c>
      <c r="E862">
        <v>55826</v>
      </c>
      <c r="F862">
        <f>messy_order_items_csv[[#This Row],[unit_price]]*messy_order_items_csv[[#This Row],[quantity]]</f>
        <v>223304</v>
      </c>
    </row>
    <row r="863" spans="1:6" x14ac:dyDescent="0.3">
      <c r="A863">
        <v>862</v>
      </c>
      <c r="B863" t="s">
        <v>1903</v>
      </c>
      <c r="C863" t="s">
        <v>2225</v>
      </c>
      <c r="E863">
        <v>31497</v>
      </c>
      <c r="F863">
        <f>messy_order_items_csv[[#This Row],[unit_price]]*messy_order_items_csv[[#This Row],[quantity]]</f>
        <v>0</v>
      </c>
    </row>
    <row r="864" spans="1:6" x14ac:dyDescent="0.3">
      <c r="A864">
        <v>863</v>
      </c>
      <c r="B864" t="s">
        <v>1454</v>
      </c>
      <c r="C864" t="s">
        <v>2210</v>
      </c>
      <c r="D864">
        <v>2</v>
      </c>
      <c r="E864">
        <v>18375</v>
      </c>
      <c r="F864">
        <f>messy_order_items_csv[[#This Row],[unit_price]]*messy_order_items_csv[[#This Row],[quantity]]</f>
        <v>36750</v>
      </c>
    </row>
    <row r="865" spans="1:6" x14ac:dyDescent="0.3">
      <c r="A865">
        <v>864</v>
      </c>
      <c r="B865" t="s">
        <v>1067</v>
      </c>
      <c r="C865" t="s">
        <v>2226</v>
      </c>
      <c r="D865">
        <v>0</v>
      </c>
      <c r="E865">
        <v>84776</v>
      </c>
      <c r="F865">
        <f>messy_order_items_csv[[#This Row],[unit_price]]*messy_order_items_csv[[#This Row],[quantity]]</f>
        <v>0</v>
      </c>
    </row>
    <row r="866" spans="1:6" x14ac:dyDescent="0.3">
      <c r="A866">
        <v>865</v>
      </c>
      <c r="B866" t="s">
        <v>2150</v>
      </c>
      <c r="C866" t="s">
        <v>2198</v>
      </c>
      <c r="D866">
        <v>0</v>
      </c>
      <c r="E866">
        <v>31497</v>
      </c>
      <c r="F866">
        <f>messy_order_items_csv[[#This Row],[unit_price]]*messy_order_items_csv[[#This Row],[quantity]]</f>
        <v>0</v>
      </c>
    </row>
    <row r="867" spans="1:6" x14ac:dyDescent="0.3">
      <c r="A867">
        <v>866</v>
      </c>
      <c r="B867" t="s">
        <v>1517</v>
      </c>
      <c r="C867" t="s">
        <v>2253</v>
      </c>
      <c r="D867">
        <v>4</v>
      </c>
      <c r="E867">
        <v>29153</v>
      </c>
      <c r="F867">
        <f>messy_order_items_csv[[#This Row],[unit_price]]*messy_order_items_csv[[#This Row],[quantity]]</f>
        <v>116612</v>
      </c>
    </row>
    <row r="868" spans="1:6" x14ac:dyDescent="0.3">
      <c r="A868">
        <v>867</v>
      </c>
      <c r="B868" t="s">
        <v>1546</v>
      </c>
      <c r="C868" t="s">
        <v>2213</v>
      </c>
      <c r="E868">
        <v>16783</v>
      </c>
      <c r="F868">
        <f>messy_order_items_csv[[#This Row],[unit_price]]*messy_order_items_csv[[#This Row],[quantity]]</f>
        <v>0</v>
      </c>
    </row>
    <row r="869" spans="1:6" x14ac:dyDescent="0.3">
      <c r="A869">
        <v>868</v>
      </c>
      <c r="B869" t="s">
        <v>2020</v>
      </c>
      <c r="C869" t="s">
        <v>2204</v>
      </c>
      <c r="D869">
        <v>4</v>
      </c>
      <c r="E869">
        <v>54952</v>
      </c>
      <c r="F869">
        <f>messy_order_items_csv[[#This Row],[unit_price]]*messy_order_items_csv[[#This Row],[quantity]]</f>
        <v>219808</v>
      </c>
    </row>
    <row r="870" spans="1:6" x14ac:dyDescent="0.3">
      <c r="A870">
        <v>869</v>
      </c>
      <c r="B870" t="s">
        <v>1232</v>
      </c>
      <c r="C870" t="s">
        <v>2232</v>
      </c>
      <c r="D870">
        <v>2</v>
      </c>
      <c r="E870">
        <v>60844</v>
      </c>
      <c r="F870">
        <f>messy_order_items_csv[[#This Row],[unit_price]]*messy_order_items_csv[[#This Row],[quantity]]</f>
        <v>121688</v>
      </c>
    </row>
    <row r="871" spans="1:6" x14ac:dyDescent="0.3">
      <c r="A871">
        <v>870</v>
      </c>
      <c r="B871" t="s">
        <v>1397</v>
      </c>
      <c r="C871" t="s">
        <v>2249</v>
      </c>
      <c r="D871">
        <v>0</v>
      </c>
      <c r="E871">
        <v>57240</v>
      </c>
      <c r="F871">
        <f>messy_order_items_csv[[#This Row],[unit_price]]*messy_order_items_csv[[#This Row],[quantity]]</f>
        <v>0</v>
      </c>
    </row>
    <row r="872" spans="1:6" x14ac:dyDescent="0.3">
      <c r="A872">
        <v>871</v>
      </c>
      <c r="B872" t="s">
        <v>1256</v>
      </c>
      <c r="C872" t="s">
        <v>2260</v>
      </c>
      <c r="D872">
        <v>3</v>
      </c>
      <c r="E872">
        <v>15710</v>
      </c>
      <c r="F872">
        <f>messy_order_items_csv[[#This Row],[unit_price]]*messy_order_items_csv[[#This Row],[quantity]]</f>
        <v>47130</v>
      </c>
    </row>
    <row r="873" spans="1:6" x14ac:dyDescent="0.3">
      <c r="A873">
        <v>872</v>
      </c>
      <c r="B873" t="s">
        <v>1934</v>
      </c>
      <c r="C873" t="s">
        <v>2261</v>
      </c>
      <c r="D873">
        <v>3</v>
      </c>
      <c r="E873">
        <v>31497</v>
      </c>
      <c r="F873">
        <f>messy_order_items_csv[[#This Row],[unit_price]]*messy_order_items_csv[[#This Row],[quantity]]</f>
        <v>94491</v>
      </c>
    </row>
    <row r="874" spans="1:6" x14ac:dyDescent="0.3">
      <c r="A874">
        <v>873</v>
      </c>
      <c r="B874" t="s">
        <v>1415</v>
      </c>
      <c r="C874" t="s">
        <v>2223</v>
      </c>
      <c r="D874">
        <v>3</v>
      </c>
      <c r="E874">
        <v>31497</v>
      </c>
      <c r="F874">
        <f>messy_order_items_csv[[#This Row],[unit_price]]*messy_order_items_csv[[#This Row],[quantity]]</f>
        <v>94491</v>
      </c>
    </row>
    <row r="875" spans="1:6" x14ac:dyDescent="0.3">
      <c r="A875">
        <v>874</v>
      </c>
      <c r="B875" t="s">
        <v>1124</v>
      </c>
      <c r="C875" t="s">
        <v>2236</v>
      </c>
      <c r="D875">
        <v>2</v>
      </c>
      <c r="E875">
        <v>6095</v>
      </c>
      <c r="F875">
        <f>messy_order_items_csv[[#This Row],[unit_price]]*messy_order_items_csv[[#This Row],[quantity]]</f>
        <v>12190</v>
      </c>
    </row>
    <row r="876" spans="1:6" x14ac:dyDescent="0.3">
      <c r="A876">
        <v>875</v>
      </c>
      <c r="B876" t="s">
        <v>1155</v>
      </c>
      <c r="C876" t="s">
        <v>2195</v>
      </c>
      <c r="D876">
        <v>0</v>
      </c>
      <c r="E876">
        <v>76814</v>
      </c>
      <c r="F876">
        <f>messy_order_items_csv[[#This Row],[unit_price]]*messy_order_items_csv[[#This Row],[quantity]]</f>
        <v>0</v>
      </c>
    </row>
    <row r="877" spans="1:6" x14ac:dyDescent="0.3">
      <c r="A877">
        <v>876</v>
      </c>
      <c r="B877" t="s">
        <v>1365</v>
      </c>
      <c r="C877" t="s">
        <v>2260</v>
      </c>
      <c r="D877">
        <v>1</v>
      </c>
      <c r="E877">
        <v>89556</v>
      </c>
      <c r="F877">
        <f>messy_order_items_csv[[#This Row],[unit_price]]*messy_order_items_csv[[#This Row],[quantity]]</f>
        <v>89556</v>
      </c>
    </row>
    <row r="878" spans="1:6" x14ac:dyDescent="0.3">
      <c r="A878">
        <v>877</v>
      </c>
      <c r="B878" t="s">
        <v>1528</v>
      </c>
      <c r="C878" t="s">
        <v>2264</v>
      </c>
      <c r="E878">
        <v>87063</v>
      </c>
      <c r="F878">
        <f>messy_order_items_csv[[#This Row],[unit_price]]*messy_order_items_csv[[#This Row],[quantity]]</f>
        <v>0</v>
      </c>
    </row>
    <row r="879" spans="1:6" x14ac:dyDescent="0.3">
      <c r="A879">
        <v>878</v>
      </c>
      <c r="B879" t="s">
        <v>1526</v>
      </c>
      <c r="C879" t="s">
        <v>2241</v>
      </c>
      <c r="D879">
        <v>3</v>
      </c>
      <c r="E879">
        <v>63340</v>
      </c>
      <c r="F879">
        <f>messy_order_items_csv[[#This Row],[unit_price]]*messy_order_items_csv[[#This Row],[quantity]]</f>
        <v>190020</v>
      </c>
    </row>
    <row r="880" spans="1:6" x14ac:dyDescent="0.3">
      <c r="A880">
        <v>879</v>
      </c>
      <c r="B880" t="s">
        <v>1069</v>
      </c>
      <c r="C880" t="s">
        <v>2203</v>
      </c>
      <c r="D880">
        <v>0</v>
      </c>
      <c r="E880">
        <v>76755</v>
      </c>
      <c r="F880">
        <f>messy_order_items_csv[[#This Row],[unit_price]]*messy_order_items_csv[[#This Row],[quantity]]</f>
        <v>0</v>
      </c>
    </row>
    <row r="881" spans="1:6" x14ac:dyDescent="0.3">
      <c r="A881">
        <v>880</v>
      </c>
      <c r="B881" t="s">
        <v>1278</v>
      </c>
      <c r="C881" t="s">
        <v>2225</v>
      </c>
      <c r="D881">
        <v>1</v>
      </c>
      <c r="E881">
        <v>49905</v>
      </c>
      <c r="F881">
        <f>messy_order_items_csv[[#This Row],[unit_price]]*messy_order_items_csv[[#This Row],[quantity]]</f>
        <v>49905</v>
      </c>
    </row>
    <row r="882" spans="1:6" x14ac:dyDescent="0.3">
      <c r="A882">
        <v>881</v>
      </c>
      <c r="B882" t="s">
        <v>2153</v>
      </c>
      <c r="C882" t="s">
        <v>2229</v>
      </c>
      <c r="E882">
        <v>47676</v>
      </c>
      <c r="F882">
        <f>messy_order_items_csv[[#This Row],[unit_price]]*messy_order_items_csv[[#This Row],[quantity]]</f>
        <v>0</v>
      </c>
    </row>
    <row r="883" spans="1:6" x14ac:dyDescent="0.3">
      <c r="A883">
        <v>882</v>
      </c>
      <c r="B883" t="s">
        <v>1984</v>
      </c>
      <c r="C883" t="s">
        <v>2231</v>
      </c>
      <c r="D883">
        <v>2</v>
      </c>
      <c r="E883">
        <v>40595</v>
      </c>
      <c r="F883">
        <f>messy_order_items_csv[[#This Row],[unit_price]]*messy_order_items_csv[[#This Row],[quantity]]</f>
        <v>81190</v>
      </c>
    </row>
    <row r="884" spans="1:6" x14ac:dyDescent="0.3">
      <c r="A884">
        <v>883</v>
      </c>
      <c r="B884" t="s">
        <v>1482</v>
      </c>
      <c r="C884" t="s">
        <v>2229</v>
      </c>
      <c r="D884">
        <v>4</v>
      </c>
      <c r="E884">
        <v>22799</v>
      </c>
      <c r="F884">
        <f>messy_order_items_csv[[#This Row],[unit_price]]*messy_order_items_csv[[#This Row],[quantity]]</f>
        <v>91196</v>
      </c>
    </row>
    <row r="885" spans="1:6" x14ac:dyDescent="0.3">
      <c r="A885">
        <v>884</v>
      </c>
      <c r="B885" t="s">
        <v>2114</v>
      </c>
      <c r="C885" t="s">
        <v>2271</v>
      </c>
      <c r="D885">
        <v>2</v>
      </c>
      <c r="E885">
        <v>26159</v>
      </c>
      <c r="F885">
        <f>messy_order_items_csv[[#This Row],[unit_price]]*messy_order_items_csv[[#This Row],[quantity]]</f>
        <v>52318</v>
      </c>
    </row>
    <row r="886" spans="1:6" x14ac:dyDescent="0.3">
      <c r="A886">
        <v>885</v>
      </c>
      <c r="B886" t="s">
        <v>2101</v>
      </c>
      <c r="C886" t="s">
        <v>2246</v>
      </c>
      <c r="E886">
        <v>36257</v>
      </c>
      <c r="F886">
        <f>messy_order_items_csv[[#This Row],[unit_price]]*messy_order_items_csv[[#This Row],[quantity]]</f>
        <v>0</v>
      </c>
    </row>
    <row r="887" spans="1:6" x14ac:dyDescent="0.3">
      <c r="A887">
        <v>886</v>
      </c>
      <c r="B887" t="s">
        <v>1251</v>
      </c>
      <c r="C887" t="s">
        <v>2243</v>
      </c>
      <c r="D887">
        <v>2</v>
      </c>
      <c r="E887">
        <v>31497</v>
      </c>
      <c r="F887">
        <f>messy_order_items_csv[[#This Row],[unit_price]]*messy_order_items_csv[[#This Row],[quantity]]</f>
        <v>62994</v>
      </c>
    </row>
    <row r="888" spans="1:6" x14ac:dyDescent="0.3">
      <c r="A888">
        <v>887</v>
      </c>
      <c r="B888" t="s">
        <v>2181</v>
      </c>
      <c r="C888" t="s">
        <v>2204</v>
      </c>
      <c r="E888">
        <v>65655</v>
      </c>
      <c r="F888">
        <f>messy_order_items_csv[[#This Row],[unit_price]]*messy_order_items_csv[[#This Row],[quantity]]</f>
        <v>0</v>
      </c>
    </row>
    <row r="889" spans="1:6" x14ac:dyDescent="0.3">
      <c r="A889">
        <v>888</v>
      </c>
      <c r="B889" t="s">
        <v>1567</v>
      </c>
      <c r="C889" t="s">
        <v>2248</v>
      </c>
      <c r="D889">
        <v>1</v>
      </c>
      <c r="E889">
        <v>37838</v>
      </c>
      <c r="F889">
        <f>messy_order_items_csv[[#This Row],[unit_price]]*messy_order_items_csv[[#This Row],[quantity]]</f>
        <v>37838</v>
      </c>
    </row>
    <row r="890" spans="1:6" x14ac:dyDescent="0.3">
      <c r="A890">
        <v>889</v>
      </c>
      <c r="B890" t="s">
        <v>1870</v>
      </c>
      <c r="C890" t="s">
        <v>2256</v>
      </c>
      <c r="E890">
        <v>39530</v>
      </c>
      <c r="F890">
        <f>messy_order_items_csv[[#This Row],[unit_price]]*messy_order_items_csv[[#This Row],[quantity]]</f>
        <v>0</v>
      </c>
    </row>
    <row r="891" spans="1:6" x14ac:dyDescent="0.3">
      <c r="A891">
        <v>890</v>
      </c>
      <c r="B891" t="s">
        <v>1460</v>
      </c>
      <c r="C891" t="s">
        <v>2205</v>
      </c>
      <c r="D891">
        <v>1</v>
      </c>
      <c r="E891">
        <v>31497</v>
      </c>
      <c r="F891">
        <f>messy_order_items_csv[[#This Row],[unit_price]]*messy_order_items_csv[[#This Row],[quantity]]</f>
        <v>31497</v>
      </c>
    </row>
    <row r="892" spans="1:6" x14ac:dyDescent="0.3">
      <c r="A892">
        <v>891</v>
      </c>
      <c r="B892" t="s">
        <v>1660</v>
      </c>
      <c r="C892" t="s">
        <v>2207</v>
      </c>
      <c r="D892">
        <v>3</v>
      </c>
      <c r="E892">
        <v>31497</v>
      </c>
      <c r="F892">
        <f>messy_order_items_csv[[#This Row],[unit_price]]*messy_order_items_csv[[#This Row],[quantity]]</f>
        <v>94491</v>
      </c>
    </row>
    <row r="893" spans="1:6" x14ac:dyDescent="0.3">
      <c r="A893">
        <v>892</v>
      </c>
      <c r="B893" t="s">
        <v>988</v>
      </c>
      <c r="C893" t="s">
        <v>2223</v>
      </c>
      <c r="D893">
        <v>4</v>
      </c>
      <c r="E893">
        <v>31497</v>
      </c>
      <c r="F893">
        <f>messy_order_items_csv[[#This Row],[unit_price]]*messy_order_items_csv[[#This Row],[quantity]]</f>
        <v>125988</v>
      </c>
    </row>
    <row r="894" spans="1:6" x14ac:dyDescent="0.3">
      <c r="A894">
        <v>893</v>
      </c>
      <c r="B894" t="s">
        <v>1870</v>
      </c>
      <c r="C894" t="s">
        <v>2237</v>
      </c>
      <c r="D894">
        <v>2</v>
      </c>
      <c r="E894">
        <v>68172</v>
      </c>
      <c r="F894">
        <f>messy_order_items_csv[[#This Row],[unit_price]]*messy_order_items_csv[[#This Row],[quantity]]</f>
        <v>136344</v>
      </c>
    </row>
    <row r="895" spans="1:6" x14ac:dyDescent="0.3">
      <c r="A895">
        <v>894</v>
      </c>
      <c r="B895" t="s">
        <v>1732</v>
      </c>
      <c r="C895" t="s">
        <v>2226</v>
      </c>
      <c r="D895">
        <v>1</v>
      </c>
      <c r="E895">
        <v>84776</v>
      </c>
      <c r="F895">
        <f>messy_order_items_csv[[#This Row],[unit_price]]*messy_order_items_csv[[#This Row],[quantity]]</f>
        <v>84776</v>
      </c>
    </row>
    <row r="896" spans="1:6" x14ac:dyDescent="0.3">
      <c r="A896">
        <v>895</v>
      </c>
      <c r="B896" t="s">
        <v>1062</v>
      </c>
      <c r="C896" t="s">
        <v>2202</v>
      </c>
      <c r="D896">
        <v>2</v>
      </c>
      <c r="E896">
        <v>31497</v>
      </c>
      <c r="F896">
        <f>messy_order_items_csv[[#This Row],[unit_price]]*messy_order_items_csv[[#This Row],[quantity]]</f>
        <v>62994</v>
      </c>
    </row>
    <row r="897" spans="1:6" x14ac:dyDescent="0.3">
      <c r="A897">
        <v>896</v>
      </c>
      <c r="B897" t="s">
        <v>1200</v>
      </c>
      <c r="C897" t="s">
        <v>2201</v>
      </c>
      <c r="D897">
        <v>4</v>
      </c>
      <c r="E897">
        <v>31497</v>
      </c>
      <c r="F897">
        <f>messy_order_items_csv[[#This Row],[unit_price]]*messy_order_items_csv[[#This Row],[quantity]]</f>
        <v>125988</v>
      </c>
    </row>
    <row r="898" spans="1:6" x14ac:dyDescent="0.3">
      <c r="A898">
        <v>897</v>
      </c>
      <c r="B898" t="s">
        <v>1087</v>
      </c>
      <c r="C898" t="s">
        <v>2210</v>
      </c>
      <c r="D898">
        <v>4</v>
      </c>
      <c r="E898">
        <v>42949</v>
      </c>
      <c r="F898">
        <f>messy_order_items_csv[[#This Row],[unit_price]]*messy_order_items_csv[[#This Row],[quantity]]</f>
        <v>171796</v>
      </c>
    </row>
    <row r="899" spans="1:6" x14ac:dyDescent="0.3">
      <c r="A899">
        <v>898</v>
      </c>
      <c r="B899" t="s">
        <v>2169</v>
      </c>
      <c r="C899" t="s">
        <v>2207</v>
      </c>
      <c r="D899">
        <v>1</v>
      </c>
      <c r="E899">
        <v>31497</v>
      </c>
      <c r="F899">
        <f>messy_order_items_csv[[#This Row],[unit_price]]*messy_order_items_csv[[#This Row],[quantity]]</f>
        <v>31497</v>
      </c>
    </row>
    <row r="900" spans="1:6" x14ac:dyDescent="0.3">
      <c r="A900">
        <v>899</v>
      </c>
      <c r="B900" t="s">
        <v>1028</v>
      </c>
      <c r="C900" t="s">
        <v>2228</v>
      </c>
      <c r="D900">
        <v>0</v>
      </c>
      <c r="E900">
        <v>76969</v>
      </c>
      <c r="F900">
        <f>messy_order_items_csv[[#This Row],[unit_price]]*messy_order_items_csv[[#This Row],[quantity]]</f>
        <v>0</v>
      </c>
    </row>
    <row r="901" spans="1:6" x14ac:dyDescent="0.3">
      <c r="A901">
        <v>900</v>
      </c>
      <c r="B901" t="s">
        <v>1176</v>
      </c>
      <c r="C901" t="s">
        <v>2205</v>
      </c>
      <c r="D901">
        <v>3</v>
      </c>
      <c r="E901">
        <v>25516</v>
      </c>
      <c r="F901">
        <f>messy_order_items_csv[[#This Row],[unit_price]]*messy_order_items_csv[[#This Row],[quantity]]</f>
        <v>76548</v>
      </c>
    </row>
    <row r="902" spans="1:6" x14ac:dyDescent="0.3">
      <c r="A902">
        <v>901</v>
      </c>
      <c r="B902" t="s">
        <v>1950</v>
      </c>
      <c r="C902" t="s">
        <v>2245</v>
      </c>
      <c r="D902">
        <v>1</v>
      </c>
      <c r="E902">
        <v>70378</v>
      </c>
      <c r="F902">
        <f>messy_order_items_csv[[#This Row],[unit_price]]*messy_order_items_csv[[#This Row],[quantity]]</f>
        <v>70378</v>
      </c>
    </row>
    <row r="903" spans="1:6" x14ac:dyDescent="0.3">
      <c r="A903">
        <v>902</v>
      </c>
      <c r="B903" t="s">
        <v>1796</v>
      </c>
      <c r="C903" t="s">
        <v>2201</v>
      </c>
      <c r="D903">
        <v>1</v>
      </c>
      <c r="E903">
        <v>31497</v>
      </c>
      <c r="F903">
        <f>messy_order_items_csv[[#This Row],[unit_price]]*messy_order_items_csv[[#This Row],[quantity]]</f>
        <v>31497</v>
      </c>
    </row>
    <row r="904" spans="1:6" x14ac:dyDescent="0.3">
      <c r="A904">
        <v>903</v>
      </c>
      <c r="B904" t="s">
        <v>1334</v>
      </c>
      <c r="C904" t="s">
        <v>2266</v>
      </c>
      <c r="E904">
        <v>3245</v>
      </c>
      <c r="F904">
        <f>messy_order_items_csv[[#This Row],[unit_price]]*messy_order_items_csv[[#This Row],[quantity]]</f>
        <v>0</v>
      </c>
    </row>
    <row r="905" spans="1:6" x14ac:dyDescent="0.3">
      <c r="A905">
        <v>904</v>
      </c>
      <c r="B905" t="s">
        <v>1392</v>
      </c>
      <c r="C905" t="s">
        <v>2251</v>
      </c>
      <c r="D905">
        <v>2</v>
      </c>
      <c r="E905">
        <v>31497</v>
      </c>
      <c r="F905">
        <f>messy_order_items_csv[[#This Row],[unit_price]]*messy_order_items_csv[[#This Row],[quantity]]</f>
        <v>62994</v>
      </c>
    </row>
    <row r="906" spans="1:6" x14ac:dyDescent="0.3">
      <c r="A906">
        <v>905</v>
      </c>
      <c r="B906" t="s">
        <v>2115</v>
      </c>
      <c r="C906" t="s">
        <v>2207</v>
      </c>
      <c r="D906">
        <v>0</v>
      </c>
      <c r="E906">
        <v>31497</v>
      </c>
      <c r="F906">
        <f>messy_order_items_csv[[#This Row],[unit_price]]*messy_order_items_csv[[#This Row],[quantity]]</f>
        <v>0</v>
      </c>
    </row>
    <row r="907" spans="1:6" x14ac:dyDescent="0.3">
      <c r="A907">
        <v>906</v>
      </c>
      <c r="B907" t="s">
        <v>1050</v>
      </c>
      <c r="C907" t="s">
        <v>2239</v>
      </c>
      <c r="D907">
        <v>4</v>
      </c>
      <c r="E907">
        <v>68660</v>
      </c>
      <c r="F907">
        <f>messy_order_items_csv[[#This Row],[unit_price]]*messy_order_items_csv[[#This Row],[quantity]]</f>
        <v>274640</v>
      </c>
    </row>
    <row r="908" spans="1:6" x14ac:dyDescent="0.3">
      <c r="A908">
        <v>907</v>
      </c>
      <c r="B908" t="s">
        <v>1335</v>
      </c>
      <c r="C908" t="s">
        <v>2234</v>
      </c>
      <c r="D908">
        <v>4</v>
      </c>
      <c r="E908">
        <v>31497</v>
      </c>
      <c r="F908">
        <f>messy_order_items_csv[[#This Row],[unit_price]]*messy_order_items_csv[[#This Row],[quantity]]</f>
        <v>125988</v>
      </c>
    </row>
    <row r="909" spans="1:6" x14ac:dyDescent="0.3">
      <c r="A909">
        <v>908</v>
      </c>
      <c r="B909" t="s">
        <v>1056</v>
      </c>
      <c r="C909" t="s">
        <v>2233</v>
      </c>
      <c r="D909">
        <v>4</v>
      </c>
      <c r="E909">
        <v>10847</v>
      </c>
      <c r="F909">
        <f>messy_order_items_csv[[#This Row],[unit_price]]*messy_order_items_csv[[#This Row],[quantity]]</f>
        <v>43388</v>
      </c>
    </row>
    <row r="910" spans="1:6" x14ac:dyDescent="0.3">
      <c r="A910">
        <v>909</v>
      </c>
      <c r="B910" t="s">
        <v>1000</v>
      </c>
      <c r="C910" t="s">
        <v>2244</v>
      </c>
      <c r="D910">
        <v>1</v>
      </c>
      <c r="E910">
        <v>31497</v>
      </c>
      <c r="F910">
        <f>messy_order_items_csv[[#This Row],[unit_price]]*messy_order_items_csv[[#This Row],[quantity]]</f>
        <v>31497</v>
      </c>
    </row>
    <row r="911" spans="1:6" x14ac:dyDescent="0.3">
      <c r="A911">
        <v>910</v>
      </c>
      <c r="B911" t="s">
        <v>2025</v>
      </c>
      <c r="C911" t="s">
        <v>2228</v>
      </c>
      <c r="D911">
        <v>0</v>
      </c>
      <c r="E911">
        <v>59514</v>
      </c>
      <c r="F911">
        <f>messy_order_items_csv[[#This Row],[unit_price]]*messy_order_items_csv[[#This Row],[quantity]]</f>
        <v>0</v>
      </c>
    </row>
    <row r="912" spans="1:6" x14ac:dyDescent="0.3">
      <c r="A912">
        <v>911</v>
      </c>
      <c r="B912" t="s">
        <v>1846</v>
      </c>
      <c r="C912" t="s">
        <v>2264</v>
      </c>
      <c r="E912">
        <v>39713</v>
      </c>
      <c r="F912">
        <f>messy_order_items_csv[[#This Row],[unit_price]]*messy_order_items_csv[[#This Row],[quantity]]</f>
        <v>0</v>
      </c>
    </row>
    <row r="913" spans="1:6" x14ac:dyDescent="0.3">
      <c r="A913">
        <v>912</v>
      </c>
      <c r="B913" t="s">
        <v>1830</v>
      </c>
      <c r="C913" t="s">
        <v>2196</v>
      </c>
      <c r="D913">
        <v>1</v>
      </c>
      <c r="E913">
        <v>53068</v>
      </c>
      <c r="F913">
        <f>messy_order_items_csv[[#This Row],[unit_price]]*messy_order_items_csv[[#This Row],[quantity]]</f>
        <v>53068</v>
      </c>
    </row>
    <row r="914" spans="1:6" x14ac:dyDescent="0.3">
      <c r="A914">
        <v>913</v>
      </c>
      <c r="B914" t="s">
        <v>1004</v>
      </c>
      <c r="C914" t="s">
        <v>2212</v>
      </c>
      <c r="E914">
        <v>58364</v>
      </c>
      <c r="F914">
        <f>messy_order_items_csv[[#This Row],[unit_price]]*messy_order_items_csv[[#This Row],[quantity]]</f>
        <v>0</v>
      </c>
    </row>
    <row r="915" spans="1:6" x14ac:dyDescent="0.3">
      <c r="A915">
        <v>914</v>
      </c>
      <c r="B915" t="s">
        <v>1886</v>
      </c>
      <c r="C915" t="s">
        <v>2263</v>
      </c>
      <c r="D915">
        <v>4</v>
      </c>
      <c r="E915">
        <v>31497</v>
      </c>
      <c r="F915">
        <f>messy_order_items_csv[[#This Row],[unit_price]]*messy_order_items_csv[[#This Row],[quantity]]</f>
        <v>125988</v>
      </c>
    </row>
    <row r="916" spans="1:6" x14ac:dyDescent="0.3">
      <c r="A916">
        <v>915</v>
      </c>
      <c r="B916" t="s">
        <v>2051</v>
      </c>
      <c r="C916" t="s">
        <v>2261</v>
      </c>
      <c r="D916">
        <v>3</v>
      </c>
      <c r="E916">
        <v>31497</v>
      </c>
      <c r="F916">
        <f>messy_order_items_csv[[#This Row],[unit_price]]*messy_order_items_csv[[#This Row],[quantity]]</f>
        <v>94491</v>
      </c>
    </row>
    <row r="917" spans="1:6" x14ac:dyDescent="0.3">
      <c r="A917">
        <v>916</v>
      </c>
      <c r="B917" t="s">
        <v>1616</v>
      </c>
      <c r="C917" t="s">
        <v>2225</v>
      </c>
      <c r="D917">
        <v>4</v>
      </c>
      <c r="E917">
        <v>82526</v>
      </c>
      <c r="F917">
        <f>messy_order_items_csv[[#This Row],[unit_price]]*messy_order_items_csv[[#This Row],[quantity]]</f>
        <v>330104</v>
      </c>
    </row>
    <row r="918" spans="1:6" x14ac:dyDescent="0.3">
      <c r="A918">
        <v>917</v>
      </c>
      <c r="B918" t="s">
        <v>1794</v>
      </c>
      <c r="C918" t="s">
        <v>2262</v>
      </c>
      <c r="D918">
        <v>3</v>
      </c>
      <c r="E918">
        <v>18522</v>
      </c>
      <c r="F918">
        <f>messy_order_items_csv[[#This Row],[unit_price]]*messy_order_items_csv[[#This Row],[quantity]]</f>
        <v>55566</v>
      </c>
    </row>
    <row r="919" spans="1:6" x14ac:dyDescent="0.3">
      <c r="A919">
        <v>918</v>
      </c>
      <c r="B919" t="s">
        <v>1318</v>
      </c>
      <c r="C919" t="s">
        <v>2215</v>
      </c>
      <c r="D919">
        <v>1</v>
      </c>
      <c r="E919">
        <v>32552</v>
      </c>
      <c r="F919">
        <f>messy_order_items_csv[[#This Row],[unit_price]]*messy_order_items_csv[[#This Row],[quantity]]</f>
        <v>32552</v>
      </c>
    </row>
    <row r="920" spans="1:6" x14ac:dyDescent="0.3">
      <c r="A920">
        <v>919</v>
      </c>
      <c r="B920" t="s">
        <v>1903</v>
      </c>
      <c r="C920" t="s">
        <v>2245</v>
      </c>
      <c r="D920">
        <v>1</v>
      </c>
      <c r="E920">
        <v>70378</v>
      </c>
      <c r="F920">
        <f>messy_order_items_csv[[#This Row],[unit_price]]*messy_order_items_csv[[#This Row],[quantity]]</f>
        <v>70378</v>
      </c>
    </row>
    <row r="921" spans="1:6" x14ac:dyDescent="0.3">
      <c r="A921">
        <v>920</v>
      </c>
      <c r="B921" t="s">
        <v>1160</v>
      </c>
      <c r="C921" t="s">
        <v>2241</v>
      </c>
      <c r="D921">
        <v>1</v>
      </c>
      <c r="E921">
        <v>27157</v>
      </c>
      <c r="F921">
        <f>messy_order_items_csv[[#This Row],[unit_price]]*messy_order_items_csv[[#This Row],[quantity]]</f>
        <v>27157</v>
      </c>
    </row>
    <row r="922" spans="1:6" x14ac:dyDescent="0.3">
      <c r="A922">
        <v>921</v>
      </c>
      <c r="B922" t="s">
        <v>1290</v>
      </c>
      <c r="C922" t="s">
        <v>2241</v>
      </c>
      <c r="D922">
        <v>2</v>
      </c>
      <c r="E922">
        <v>50028</v>
      </c>
      <c r="F922">
        <f>messy_order_items_csv[[#This Row],[unit_price]]*messy_order_items_csv[[#This Row],[quantity]]</f>
        <v>100056</v>
      </c>
    </row>
    <row r="923" spans="1:6" x14ac:dyDescent="0.3">
      <c r="A923">
        <v>922</v>
      </c>
      <c r="B923" t="s">
        <v>1282</v>
      </c>
      <c r="C923" t="s">
        <v>2227</v>
      </c>
      <c r="D923">
        <v>1</v>
      </c>
      <c r="E923">
        <v>73488</v>
      </c>
      <c r="F923">
        <f>messy_order_items_csv[[#This Row],[unit_price]]*messy_order_items_csv[[#This Row],[quantity]]</f>
        <v>73488</v>
      </c>
    </row>
    <row r="924" spans="1:6" x14ac:dyDescent="0.3">
      <c r="A924">
        <v>923</v>
      </c>
      <c r="B924" t="s">
        <v>1796</v>
      </c>
      <c r="C924" t="s">
        <v>2212</v>
      </c>
      <c r="D924">
        <v>1</v>
      </c>
      <c r="E924">
        <v>71730</v>
      </c>
      <c r="F924">
        <f>messy_order_items_csv[[#This Row],[unit_price]]*messy_order_items_csv[[#This Row],[quantity]]</f>
        <v>71730</v>
      </c>
    </row>
    <row r="925" spans="1:6" x14ac:dyDescent="0.3">
      <c r="A925">
        <v>924</v>
      </c>
      <c r="B925" t="s">
        <v>1473</v>
      </c>
      <c r="C925" t="s">
        <v>2240</v>
      </c>
      <c r="D925">
        <v>2</v>
      </c>
      <c r="E925">
        <v>31497</v>
      </c>
      <c r="F925">
        <f>messy_order_items_csv[[#This Row],[unit_price]]*messy_order_items_csv[[#This Row],[quantity]]</f>
        <v>62994</v>
      </c>
    </row>
    <row r="926" spans="1:6" x14ac:dyDescent="0.3">
      <c r="A926">
        <v>925</v>
      </c>
      <c r="B926" t="s">
        <v>1963</v>
      </c>
      <c r="C926" t="s">
        <v>2242</v>
      </c>
      <c r="D926">
        <v>0</v>
      </c>
      <c r="E926">
        <v>15618</v>
      </c>
      <c r="F926">
        <f>messy_order_items_csv[[#This Row],[unit_price]]*messy_order_items_csv[[#This Row],[quantity]]</f>
        <v>0</v>
      </c>
    </row>
    <row r="927" spans="1:6" x14ac:dyDescent="0.3">
      <c r="A927">
        <v>926</v>
      </c>
      <c r="B927" t="s">
        <v>1857</v>
      </c>
      <c r="C927" t="s">
        <v>2206</v>
      </c>
      <c r="D927">
        <v>1</v>
      </c>
      <c r="E927">
        <v>72171</v>
      </c>
      <c r="F927">
        <f>messy_order_items_csv[[#This Row],[unit_price]]*messy_order_items_csv[[#This Row],[quantity]]</f>
        <v>72171</v>
      </c>
    </row>
    <row r="928" spans="1:6" x14ac:dyDescent="0.3">
      <c r="A928">
        <v>927</v>
      </c>
      <c r="B928" t="s">
        <v>2037</v>
      </c>
      <c r="C928" t="s">
        <v>2274</v>
      </c>
      <c r="D928">
        <v>3</v>
      </c>
      <c r="E928">
        <v>31497</v>
      </c>
      <c r="F928">
        <f>messy_order_items_csv[[#This Row],[unit_price]]*messy_order_items_csv[[#This Row],[quantity]]</f>
        <v>94491</v>
      </c>
    </row>
    <row r="929" spans="1:6" x14ac:dyDescent="0.3">
      <c r="A929">
        <v>928</v>
      </c>
      <c r="B929" t="s">
        <v>2012</v>
      </c>
      <c r="C929" t="s">
        <v>2272</v>
      </c>
      <c r="E929">
        <v>43027</v>
      </c>
      <c r="F929">
        <f>messy_order_items_csv[[#This Row],[unit_price]]*messy_order_items_csv[[#This Row],[quantity]]</f>
        <v>0</v>
      </c>
    </row>
    <row r="930" spans="1:6" x14ac:dyDescent="0.3">
      <c r="A930">
        <v>929</v>
      </c>
      <c r="B930" t="s">
        <v>1312</v>
      </c>
      <c r="C930" t="s">
        <v>2216</v>
      </c>
      <c r="D930">
        <v>0</v>
      </c>
      <c r="E930">
        <v>31497</v>
      </c>
      <c r="F930">
        <f>messy_order_items_csv[[#This Row],[unit_price]]*messy_order_items_csv[[#This Row],[quantity]]</f>
        <v>0</v>
      </c>
    </row>
    <row r="931" spans="1:6" x14ac:dyDescent="0.3">
      <c r="A931">
        <v>930</v>
      </c>
      <c r="B931" t="s">
        <v>1485</v>
      </c>
      <c r="C931" t="s">
        <v>2202</v>
      </c>
      <c r="D931">
        <v>2</v>
      </c>
      <c r="E931">
        <v>31497</v>
      </c>
      <c r="F931">
        <f>messy_order_items_csv[[#This Row],[unit_price]]*messy_order_items_csv[[#This Row],[quantity]]</f>
        <v>62994</v>
      </c>
    </row>
    <row r="932" spans="1:6" x14ac:dyDescent="0.3">
      <c r="A932">
        <v>931</v>
      </c>
      <c r="B932" t="s">
        <v>1980</v>
      </c>
      <c r="C932" t="s">
        <v>2231</v>
      </c>
      <c r="D932">
        <v>3</v>
      </c>
      <c r="E932">
        <v>40595</v>
      </c>
      <c r="F932">
        <f>messy_order_items_csv[[#This Row],[unit_price]]*messy_order_items_csv[[#This Row],[quantity]]</f>
        <v>121785</v>
      </c>
    </row>
    <row r="933" spans="1:6" x14ac:dyDescent="0.3">
      <c r="A933">
        <v>932</v>
      </c>
      <c r="B933" t="s">
        <v>1228</v>
      </c>
      <c r="C933" t="s">
        <v>2269</v>
      </c>
      <c r="D933">
        <v>4</v>
      </c>
      <c r="E933">
        <v>40604</v>
      </c>
      <c r="F933">
        <f>messy_order_items_csv[[#This Row],[unit_price]]*messy_order_items_csv[[#This Row],[quantity]]</f>
        <v>162416</v>
      </c>
    </row>
    <row r="934" spans="1:6" x14ac:dyDescent="0.3">
      <c r="A934">
        <v>933</v>
      </c>
      <c r="B934" t="s">
        <v>1166</v>
      </c>
      <c r="C934" t="s">
        <v>2262</v>
      </c>
      <c r="D934">
        <v>1</v>
      </c>
      <c r="E934">
        <v>56001</v>
      </c>
      <c r="F934">
        <f>messy_order_items_csv[[#This Row],[unit_price]]*messy_order_items_csv[[#This Row],[quantity]]</f>
        <v>56001</v>
      </c>
    </row>
    <row r="935" spans="1:6" x14ac:dyDescent="0.3">
      <c r="A935">
        <v>934</v>
      </c>
      <c r="B935" t="s">
        <v>1636</v>
      </c>
      <c r="C935" t="s">
        <v>2244</v>
      </c>
      <c r="D935">
        <v>4</v>
      </c>
      <c r="E935">
        <v>58030</v>
      </c>
      <c r="F935">
        <f>messy_order_items_csv[[#This Row],[unit_price]]*messy_order_items_csv[[#This Row],[quantity]]</f>
        <v>232120</v>
      </c>
    </row>
    <row r="936" spans="1:6" x14ac:dyDescent="0.3">
      <c r="A936">
        <v>935</v>
      </c>
      <c r="B936" t="s">
        <v>1404</v>
      </c>
      <c r="C936" t="s">
        <v>2216</v>
      </c>
      <c r="D936">
        <v>0</v>
      </c>
      <c r="E936">
        <v>31497</v>
      </c>
      <c r="F936">
        <f>messy_order_items_csv[[#This Row],[unit_price]]*messy_order_items_csv[[#This Row],[quantity]]</f>
        <v>0</v>
      </c>
    </row>
    <row r="937" spans="1:6" x14ac:dyDescent="0.3">
      <c r="A937">
        <v>936</v>
      </c>
      <c r="B937" t="s">
        <v>1539</v>
      </c>
      <c r="C937" t="s">
        <v>2234</v>
      </c>
      <c r="D937">
        <v>3</v>
      </c>
      <c r="E937">
        <v>38757</v>
      </c>
      <c r="F937">
        <f>messy_order_items_csv[[#This Row],[unit_price]]*messy_order_items_csv[[#This Row],[quantity]]</f>
        <v>116271</v>
      </c>
    </row>
    <row r="938" spans="1:6" x14ac:dyDescent="0.3">
      <c r="A938">
        <v>937</v>
      </c>
      <c r="B938" t="s">
        <v>1442</v>
      </c>
      <c r="C938" t="s">
        <v>2204</v>
      </c>
      <c r="D938">
        <v>2</v>
      </c>
      <c r="E938">
        <v>31497</v>
      </c>
      <c r="F938">
        <f>messy_order_items_csv[[#This Row],[unit_price]]*messy_order_items_csv[[#This Row],[quantity]]</f>
        <v>62994</v>
      </c>
    </row>
    <row r="939" spans="1:6" x14ac:dyDescent="0.3">
      <c r="A939">
        <v>938</v>
      </c>
      <c r="B939" t="s">
        <v>1395</v>
      </c>
      <c r="C939" t="s">
        <v>2231</v>
      </c>
      <c r="D939">
        <v>3</v>
      </c>
      <c r="E939">
        <v>40595</v>
      </c>
      <c r="F939">
        <f>messy_order_items_csv[[#This Row],[unit_price]]*messy_order_items_csv[[#This Row],[quantity]]</f>
        <v>121785</v>
      </c>
    </row>
    <row r="940" spans="1:6" x14ac:dyDescent="0.3">
      <c r="A940">
        <v>939</v>
      </c>
      <c r="B940" t="s">
        <v>1769</v>
      </c>
      <c r="C940" t="s">
        <v>2214</v>
      </c>
      <c r="D940">
        <v>2</v>
      </c>
      <c r="E940">
        <v>6503</v>
      </c>
      <c r="F940">
        <f>messy_order_items_csv[[#This Row],[unit_price]]*messy_order_items_csv[[#This Row],[quantity]]</f>
        <v>13006</v>
      </c>
    </row>
    <row r="941" spans="1:6" x14ac:dyDescent="0.3">
      <c r="A941">
        <v>940</v>
      </c>
      <c r="B941" t="s">
        <v>1133</v>
      </c>
      <c r="C941" t="s">
        <v>2210</v>
      </c>
      <c r="D941">
        <v>3</v>
      </c>
      <c r="E941">
        <v>23851</v>
      </c>
      <c r="F941">
        <f>messy_order_items_csv[[#This Row],[unit_price]]*messy_order_items_csv[[#This Row],[quantity]]</f>
        <v>71553</v>
      </c>
    </row>
    <row r="942" spans="1:6" x14ac:dyDescent="0.3">
      <c r="A942">
        <v>941</v>
      </c>
      <c r="B942" t="s">
        <v>1579</v>
      </c>
      <c r="C942" t="s">
        <v>2226</v>
      </c>
      <c r="D942">
        <v>4</v>
      </c>
      <c r="E942">
        <v>84776</v>
      </c>
      <c r="F942">
        <f>messy_order_items_csv[[#This Row],[unit_price]]*messy_order_items_csv[[#This Row],[quantity]]</f>
        <v>339104</v>
      </c>
    </row>
    <row r="943" spans="1:6" x14ac:dyDescent="0.3">
      <c r="A943">
        <v>942</v>
      </c>
      <c r="B943" t="s">
        <v>1432</v>
      </c>
      <c r="C943" t="s">
        <v>2227</v>
      </c>
      <c r="D943">
        <v>1</v>
      </c>
      <c r="E943">
        <v>31497</v>
      </c>
      <c r="F943">
        <f>messy_order_items_csv[[#This Row],[unit_price]]*messy_order_items_csv[[#This Row],[quantity]]</f>
        <v>31497</v>
      </c>
    </row>
    <row r="944" spans="1:6" x14ac:dyDescent="0.3">
      <c r="A944">
        <v>943</v>
      </c>
      <c r="B944" t="s">
        <v>1248</v>
      </c>
      <c r="C944" t="s">
        <v>2207</v>
      </c>
      <c r="E944">
        <v>12628</v>
      </c>
      <c r="F944">
        <f>messy_order_items_csv[[#This Row],[unit_price]]*messy_order_items_csv[[#This Row],[quantity]]</f>
        <v>0</v>
      </c>
    </row>
    <row r="945" spans="1:6" x14ac:dyDescent="0.3">
      <c r="A945">
        <v>944</v>
      </c>
      <c r="B945" t="s">
        <v>1920</v>
      </c>
      <c r="C945" t="s">
        <v>2208</v>
      </c>
      <c r="E945">
        <v>31497</v>
      </c>
      <c r="F945">
        <f>messy_order_items_csv[[#This Row],[unit_price]]*messy_order_items_csv[[#This Row],[quantity]]</f>
        <v>0</v>
      </c>
    </row>
    <row r="946" spans="1:6" x14ac:dyDescent="0.3">
      <c r="A946">
        <v>945</v>
      </c>
      <c r="B946" t="s">
        <v>1157</v>
      </c>
      <c r="C946" t="s">
        <v>2245</v>
      </c>
      <c r="E946">
        <v>24986</v>
      </c>
      <c r="F946">
        <f>messy_order_items_csv[[#This Row],[unit_price]]*messy_order_items_csv[[#This Row],[quantity]]</f>
        <v>0</v>
      </c>
    </row>
    <row r="947" spans="1:6" x14ac:dyDescent="0.3">
      <c r="A947">
        <v>946</v>
      </c>
      <c r="B947" t="s">
        <v>1996</v>
      </c>
      <c r="C947" t="s">
        <v>2252</v>
      </c>
      <c r="D947">
        <v>1</v>
      </c>
      <c r="E947">
        <v>31497</v>
      </c>
      <c r="F947">
        <f>messy_order_items_csv[[#This Row],[unit_price]]*messy_order_items_csv[[#This Row],[quantity]]</f>
        <v>31497</v>
      </c>
    </row>
    <row r="948" spans="1:6" x14ac:dyDescent="0.3">
      <c r="A948">
        <v>947</v>
      </c>
      <c r="B948" t="s">
        <v>1388</v>
      </c>
      <c r="C948" t="s">
        <v>2272</v>
      </c>
      <c r="D948">
        <v>4</v>
      </c>
      <c r="E948">
        <v>5967</v>
      </c>
      <c r="F948">
        <f>messy_order_items_csv[[#This Row],[unit_price]]*messy_order_items_csv[[#This Row],[quantity]]</f>
        <v>23868</v>
      </c>
    </row>
    <row r="949" spans="1:6" x14ac:dyDescent="0.3">
      <c r="A949">
        <v>948</v>
      </c>
      <c r="B949" t="s">
        <v>1773</v>
      </c>
      <c r="C949" t="s">
        <v>2240</v>
      </c>
      <c r="E949">
        <v>31497</v>
      </c>
      <c r="F949">
        <f>messy_order_items_csv[[#This Row],[unit_price]]*messy_order_items_csv[[#This Row],[quantity]]</f>
        <v>0</v>
      </c>
    </row>
    <row r="950" spans="1:6" x14ac:dyDescent="0.3">
      <c r="A950">
        <v>949</v>
      </c>
      <c r="B950" t="s">
        <v>1016</v>
      </c>
      <c r="C950" t="s">
        <v>2272</v>
      </c>
      <c r="D950">
        <v>3</v>
      </c>
      <c r="E950">
        <v>9971</v>
      </c>
      <c r="F950">
        <f>messy_order_items_csv[[#This Row],[unit_price]]*messy_order_items_csv[[#This Row],[quantity]]</f>
        <v>29913</v>
      </c>
    </row>
    <row r="951" spans="1:6" x14ac:dyDescent="0.3">
      <c r="A951">
        <v>950</v>
      </c>
      <c r="B951" t="s">
        <v>1027</v>
      </c>
      <c r="C951" t="s">
        <v>2263</v>
      </c>
      <c r="D951">
        <v>4</v>
      </c>
      <c r="E951">
        <v>31497</v>
      </c>
      <c r="F951">
        <f>messy_order_items_csv[[#This Row],[unit_price]]*messy_order_items_csv[[#This Row],[quantity]]</f>
        <v>125988</v>
      </c>
    </row>
    <row r="952" spans="1:6" x14ac:dyDescent="0.3">
      <c r="A952">
        <v>951</v>
      </c>
      <c r="B952" t="s">
        <v>1160</v>
      </c>
      <c r="C952" t="s">
        <v>2204</v>
      </c>
      <c r="D952">
        <v>4</v>
      </c>
      <c r="E952">
        <v>31497</v>
      </c>
      <c r="F952">
        <f>messy_order_items_csv[[#This Row],[unit_price]]*messy_order_items_csv[[#This Row],[quantity]]</f>
        <v>125988</v>
      </c>
    </row>
    <row r="953" spans="1:6" x14ac:dyDescent="0.3">
      <c r="A953">
        <v>952</v>
      </c>
      <c r="B953" t="s">
        <v>1828</v>
      </c>
      <c r="C953" t="s">
        <v>2257</v>
      </c>
      <c r="D953">
        <v>0</v>
      </c>
      <c r="E953">
        <v>84151</v>
      </c>
      <c r="F953">
        <f>messy_order_items_csv[[#This Row],[unit_price]]*messy_order_items_csv[[#This Row],[quantity]]</f>
        <v>0</v>
      </c>
    </row>
    <row r="954" spans="1:6" x14ac:dyDescent="0.3">
      <c r="A954">
        <v>953</v>
      </c>
      <c r="B954" t="s">
        <v>1142</v>
      </c>
      <c r="C954" t="s">
        <v>2207</v>
      </c>
      <c r="D954">
        <v>1</v>
      </c>
      <c r="E954">
        <v>31497</v>
      </c>
      <c r="F954">
        <f>messy_order_items_csv[[#This Row],[unit_price]]*messy_order_items_csv[[#This Row],[quantity]]</f>
        <v>31497</v>
      </c>
    </row>
    <row r="955" spans="1:6" x14ac:dyDescent="0.3">
      <c r="A955">
        <v>954</v>
      </c>
      <c r="B955" t="s">
        <v>1819</v>
      </c>
      <c r="C955" t="s">
        <v>2196</v>
      </c>
      <c r="D955">
        <v>1</v>
      </c>
      <c r="E955">
        <v>31497</v>
      </c>
      <c r="F955">
        <f>messy_order_items_csv[[#This Row],[unit_price]]*messy_order_items_csv[[#This Row],[quantity]]</f>
        <v>31497</v>
      </c>
    </row>
    <row r="956" spans="1:6" x14ac:dyDescent="0.3">
      <c r="A956">
        <v>955</v>
      </c>
      <c r="B956" t="s">
        <v>1202</v>
      </c>
      <c r="C956" t="s">
        <v>2226</v>
      </c>
      <c r="D956">
        <v>3</v>
      </c>
      <c r="E956">
        <v>84776</v>
      </c>
      <c r="F956">
        <f>messy_order_items_csv[[#This Row],[unit_price]]*messy_order_items_csv[[#This Row],[quantity]]</f>
        <v>254328</v>
      </c>
    </row>
    <row r="957" spans="1:6" x14ac:dyDescent="0.3">
      <c r="A957">
        <v>956</v>
      </c>
      <c r="B957" t="s">
        <v>1414</v>
      </c>
      <c r="C957" t="s">
        <v>2234</v>
      </c>
      <c r="D957">
        <v>3</v>
      </c>
      <c r="E957">
        <v>31497</v>
      </c>
      <c r="F957">
        <f>messy_order_items_csv[[#This Row],[unit_price]]*messy_order_items_csv[[#This Row],[quantity]]</f>
        <v>94491</v>
      </c>
    </row>
    <row r="958" spans="1:6" x14ac:dyDescent="0.3">
      <c r="A958">
        <v>957</v>
      </c>
      <c r="B958" t="s">
        <v>1960</v>
      </c>
      <c r="C958" t="s">
        <v>2212</v>
      </c>
      <c r="D958">
        <v>4</v>
      </c>
      <c r="E958">
        <v>18022</v>
      </c>
      <c r="F958">
        <f>messy_order_items_csv[[#This Row],[unit_price]]*messy_order_items_csv[[#This Row],[quantity]]</f>
        <v>72088</v>
      </c>
    </row>
    <row r="959" spans="1:6" x14ac:dyDescent="0.3">
      <c r="A959">
        <v>958</v>
      </c>
      <c r="B959" t="s">
        <v>1221</v>
      </c>
      <c r="C959" t="s">
        <v>2254</v>
      </c>
      <c r="D959">
        <v>0</v>
      </c>
      <c r="E959">
        <v>15609</v>
      </c>
      <c r="F959">
        <f>messy_order_items_csv[[#This Row],[unit_price]]*messy_order_items_csv[[#This Row],[quantity]]</f>
        <v>0</v>
      </c>
    </row>
    <row r="960" spans="1:6" x14ac:dyDescent="0.3">
      <c r="A960">
        <v>959</v>
      </c>
      <c r="B960" t="s">
        <v>2182</v>
      </c>
      <c r="C960" t="s">
        <v>2210</v>
      </c>
      <c r="D960">
        <v>1</v>
      </c>
      <c r="E960">
        <v>23433</v>
      </c>
      <c r="F960">
        <f>messy_order_items_csv[[#This Row],[unit_price]]*messy_order_items_csv[[#This Row],[quantity]]</f>
        <v>23433</v>
      </c>
    </row>
    <row r="961" spans="1:6" x14ac:dyDescent="0.3">
      <c r="A961">
        <v>960</v>
      </c>
      <c r="B961" t="s">
        <v>1099</v>
      </c>
      <c r="C961" t="s">
        <v>2265</v>
      </c>
      <c r="D961">
        <v>2</v>
      </c>
      <c r="E961">
        <v>70582</v>
      </c>
      <c r="F961">
        <f>messy_order_items_csv[[#This Row],[unit_price]]*messy_order_items_csv[[#This Row],[quantity]]</f>
        <v>141164</v>
      </c>
    </row>
    <row r="962" spans="1:6" x14ac:dyDescent="0.3">
      <c r="A962">
        <v>961</v>
      </c>
      <c r="B962" t="s">
        <v>1300</v>
      </c>
      <c r="C962" t="s">
        <v>2204</v>
      </c>
      <c r="D962">
        <v>2</v>
      </c>
      <c r="E962">
        <v>31497</v>
      </c>
      <c r="F962">
        <f>messy_order_items_csv[[#This Row],[unit_price]]*messy_order_items_csv[[#This Row],[quantity]]</f>
        <v>62994</v>
      </c>
    </row>
    <row r="963" spans="1:6" x14ac:dyDescent="0.3">
      <c r="A963">
        <v>962</v>
      </c>
      <c r="B963" t="s">
        <v>2164</v>
      </c>
      <c r="C963" t="s">
        <v>2244</v>
      </c>
      <c r="D963">
        <v>0</v>
      </c>
      <c r="E963">
        <v>26699</v>
      </c>
      <c r="F963">
        <f>messy_order_items_csv[[#This Row],[unit_price]]*messy_order_items_csv[[#This Row],[quantity]]</f>
        <v>0</v>
      </c>
    </row>
    <row r="964" spans="1:6" x14ac:dyDescent="0.3">
      <c r="A964">
        <v>963</v>
      </c>
      <c r="B964" t="s">
        <v>1602</v>
      </c>
      <c r="C964" t="s">
        <v>2249</v>
      </c>
      <c r="D964">
        <v>1</v>
      </c>
      <c r="E964">
        <v>31497</v>
      </c>
      <c r="F964">
        <f>messy_order_items_csv[[#This Row],[unit_price]]*messy_order_items_csv[[#This Row],[quantity]]</f>
        <v>31497</v>
      </c>
    </row>
    <row r="965" spans="1:6" x14ac:dyDescent="0.3">
      <c r="A965">
        <v>964</v>
      </c>
      <c r="B965" t="s">
        <v>1820</v>
      </c>
      <c r="C965" t="s">
        <v>2229</v>
      </c>
      <c r="E965">
        <v>47676</v>
      </c>
      <c r="F965">
        <f>messy_order_items_csv[[#This Row],[unit_price]]*messy_order_items_csv[[#This Row],[quantity]]</f>
        <v>0</v>
      </c>
    </row>
    <row r="966" spans="1:6" x14ac:dyDescent="0.3">
      <c r="A966">
        <v>965</v>
      </c>
      <c r="B966" t="s">
        <v>1593</v>
      </c>
      <c r="C966" t="s">
        <v>2216</v>
      </c>
      <c r="D966">
        <v>3</v>
      </c>
      <c r="E966">
        <v>67544</v>
      </c>
      <c r="F966">
        <f>messy_order_items_csv[[#This Row],[unit_price]]*messy_order_items_csv[[#This Row],[quantity]]</f>
        <v>202632</v>
      </c>
    </row>
    <row r="967" spans="1:6" x14ac:dyDescent="0.3">
      <c r="A967">
        <v>966</v>
      </c>
      <c r="B967" t="s">
        <v>1836</v>
      </c>
      <c r="C967" t="s">
        <v>2206</v>
      </c>
      <c r="D967">
        <v>2</v>
      </c>
      <c r="E967">
        <v>54223</v>
      </c>
      <c r="F967">
        <f>messy_order_items_csv[[#This Row],[unit_price]]*messy_order_items_csv[[#This Row],[quantity]]</f>
        <v>108446</v>
      </c>
    </row>
    <row r="968" spans="1:6" x14ac:dyDescent="0.3">
      <c r="A968">
        <v>967</v>
      </c>
      <c r="B968" t="s">
        <v>1448</v>
      </c>
      <c r="C968" t="s">
        <v>2247</v>
      </c>
      <c r="D968">
        <v>2</v>
      </c>
      <c r="E968">
        <v>31497</v>
      </c>
      <c r="F968">
        <f>messy_order_items_csv[[#This Row],[unit_price]]*messy_order_items_csv[[#This Row],[quantity]]</f>
        <v>62994</v>
      </c>
    </row>
    <row r="969" spans="1:6" x14ac:dyDescent="0.3">
      <c r="A969">
        <v>968</v>
      </c>
      <c r="B969" t="s">
        <v>1283</v>
      </c>
      <c r="C969" t="s">
        <v>2223</v>
      </c>
      <c r="D969">
        <v>0</v>
      </c>
      <c r="E969">
        <v>72487</v>
      </c>
      <c r="F969">
        <f>messy_order_items_csv[[#This Row],[unit_price]]*messy_order_items_csv[[#This Row],[quantity]]</f>
        <v>0</v>
      </c>
    </row>
    <row r="970" spans="1:6" x14ac:dyDescent="0.3">
      <c r="A970">
        <v>969</v>
      </c>
      <c r="B970" t="s">
        <v>2188</v>
      </c>
      <c r="C970" t="s">
        <v>2260</v>
      </c>
      <c r="D970">
        <v>3</v>
      </c>
      <c r="E970">
        <v>1846</v>
      </c>
      <c r="F970">
        <f>messy_order_items_csv[[#This Row],[unit_price]]*messy_order_items_csv[[#This Row],[quantity]]</f>
        <v>5538</v>
      </c>
    </row>
    <row r="971" spans="1:6" x14ac:dyDescent="0.3">
      <c r="A971">
        <v>970</v>
      </c>
      <c r="B971" t="s">
        <v>1475</v>
      </c>
      <c r="C971" t="s">
        <v>2210</v>
      </c>
      <c r="D971">
        <v>4</v>
      </c>
      <c r="E971">
        <v>31497</v>
      </c>
      <c r="F971">
        <f>messy_order_items_csv[[#This Row],[unit_price]]*messy_order_items_csv[[#This Row],[quantity]]</f>
        <v>125988</v>
      </c>
    </row>
    <row r="972" spans="1:6" x14ac:dyDescent="0.3">
      <c r="A972">
        <v>971</v>
      </c>
      <c r="B972" t="s">
        <v>2044</v>
      </c>
      <c r="C972" t="s">
        <v>2210</v>
      </c>
      <c r="D972">
        <v>2</v>
      </c>
      <c r="E972">
        <v>35025</v>
      </c>
      <c r="F972">
        <f>messy_order_items_csv[[#This Row],[unit_price]]*messy_order_items_csv[[#This Row],[quantity]]</f>
        <v>70050</v>
      </c>
    </row>
    <row r="973" spans="1:6" x14ac:dyDescent="0.3">
      <c r="A973">
        <v>972</v>
      </c>
      <c r="B973" t="s">
        <v>1205</v>
      </c>
      <c r="C973" t="s">
        <v>2221</v>
      </c>
      <c r="D973">
        <v>2</v>
      </c>
      <c r="E973">
        <v>31497</v>
      </c>
      <c r="F973">
        <f>messy_order_items_csv[[#This Row],[unit_price]]*messy_order_items_csv[[#This Row],[quantity]]</f>
        <v>62994</v>
      </c>
    </row>
    <row r="974" spans="1:6" x14ac:dyDescent="0.3">
      <c r="A974">
        <v>973</v>
      </c>
      <c r="B974" t="s">
        <v>1771</v>
      </c>
      <c r="C974" t="s">
        <v>2240</v>
      </c>
      <c r="E974">
        <v>31497</v>
      </c>
      <c r="F974">
        <f>messy_order_items_csv[[#This Row],[unit_price]]*messy_order_items_csv[[#This Row],[quantity]]</f>
        <v>0</v>
      </c>
    </row>
    <row r="975" spans="1:6" x14ac:dyDescent="0.3">
      <c r="A975">
        <v>974</v>
      </c>
      <c r="B975" t="s">
        <v>1545</v>
      </c>
      <c r="C975" t="s">
        <v>2238</v>
      </c>
      <c r="D975">
        <v>3</v>
      </c>
      <c r="E975">
        <v>77306</v>
      </c>
      <c r="F975">
        <f>messy_order_items_csv[[#This Row],[unit_price]]*messy_order_items_csv[[#This Row],[quantity]]</f>
        <v>231918</v>
      </c>
    </row>
    <row r="976" spans="1:6" x14ac:dyDescent="0.3">
      <c r="A976">
        <v>975</v>
      </c>
      <c r="B976" t="s">
        <v>1646</v>
      </c>
      <c r="C976" t="s">
        <v>2206</v>
      </c>
      <c r="D976">
        <v>1</v>
      </c>
      <c r="E976">
        <v>69014</v>
      </c>
      <c r="F976">
        <f>messy_order_items_csv[[#This Row],[unit_price]]*messy_order_items_csv[[#This Row],[quantity]]</f>
        <v>69014</v>
      </c>
    </row>
    <row r="977" spans="1:6" x14ac:dyDescent="0.3">
      <c r="A977">
        <v>976</v>
      </c>
      <c r="B977" t="s">
        <v>1909</v>
      </c>
      <c r="C977" t="s">
        <v>2267</v>
      </c>
      <c r="D977">
        <v>0</v>
      </c>
      <c r="E977">
        <v>38926</v>
      </c>
      <c r="F977">
        <f>messy_order_items_csv[[#This Row],[unit_price]]*messy_order_items_csv[[#This Row],[quantity]]</f>
        <v>0</v>
      </c>
    </row>
    <row r="978" spans="1:6" x14ac:dyDescent="0.3">
      <c r="A978">
        <v>977</v>
      </c>
      <c r="B978" t="s">
        <v>1427</v>
      </c>
      <c r="C978" t="s">
        <v>2196</v>
      </c>
      <c r="D978">
        <v>2</v>
      </c>
      <c r="E978">
        <v>31497</v>
      </c>
      <c r="F978">
        <f>messy_order_items_csv[[#This Row],[unit_price]]*messy_order_items_csv[[#This Row],[quantity]]</f>
        <v>62994</v>
      </c>
    </row>
    <row r="979" spans="1:6" x14ac:dyDescent="0.3">
      <c r="A979">
        <v>978</v>
      </c>
      <c r="B979" t="s">
        <v>1948</v>
      </c>
      <c r="C979" t="s">
        <v>2253</v>
      </c>
      <c r="D979">
        <v>3</v>
      </c>
      <c r="E979">
        <v>15564</v>
      </c>
      <c r="F979">
        <f>messy_order_items_csv[[#This Row],[unit_price]]*messy_order_items_csv[[#This Row],[quantity]]</f>
        <v>46692</v>
      </c>
    </row>
    <row r="980" spans="1:6" x14ac:dyDescent="0.3">
      <c r="A980">
        <v>979</v>
      </c>
      <c r="B980" t="s">
        <v>1853</v>
      </c>
      <c r="C980" t="s">
        <v>2251</v>
      </c>
      <c r="D980">
        <v>1</v>
      </c>
      <c r="E980">
        <v>31497</v>
      </c>
      <c r="F980">
        <f>messy_order_items_csv[[#This Row],[unit_price]]*messy_order_items_csv[[#This Row],[quantity]]</f>
        <v>31497</v>
      </c>
    </row>
    <row r="981" spans="1:6" x14ac:dyDescent="0.3">
      <c r="A981">
        <v>980</v>
      </c>
      <c r="B981" t="s">
        <v>2036</v>
      </c>
      <c r="C981" t="s">
        <v>2215</v>
      </c>
      <c r="E981">
        <v>26558</v>
      </c>
      <c r="F981">
        <f>messy_order_items_csv[[#This Row],[unit_price]]*messy_order_items_csv[[#This Row],[quantity]]</f>
        <v>0</v>
      </c>
    </row>
    <row r="982" spans="1:6" x14ac:dyDescent="0.3">
      <c r="A982">
        <v>981</v>
      </c>
      <c r="B982" t="s">
        <v>1559</v>
      </c>
      <c r="C982" t="s">
        <v>2262</v>
      </c>
      <c r="D982">
        <v>3</v>
      </c>
      <c r="E982">
        <v>18522</v>
      </c>
      <c r="F982">
        <f>messy_order_items_csv[[#This Row],[unit_price]]*messy_order_items_csv[[#This Row],[quantity]]</f>
        <v>55566</v>
      </c>
    </row>
    <row r="983" spans="1:6" x14ac:dyDescent="0.3">
      <c r="A983">
        <v>982</v>
      </c>
      <c r="B983" t="s">
        <v>1290</v>
      </c>
      <c r="C983" t="s">
        <v>2272</v>
      </c>
      <c r="D983">
        <v>0</v>
      </c>
      <c r="E983">
        <v>53459</v>
      </c>
      <c r="F983">
        <f>messy_order_items_csv[[#This Row],[unit_price]]*messy_order_items_csv[[#This Row],[quantity]]</f>
        <v>0</v>
      </c>
    </row>
    <row r="984" spans="1:6" x14ac:dyDescent="0.3">
      <c r="A984">
        <v>983</v>
      </c>
      <c r="B984" t="s">
        <v>1664</v>
      </c>
      <c r="C984" t="s">
        <v>2214</v>
      </c>
      <c r="E984">
        <v>31497</v>
      </c>
      <c r="F984">
        <f>messy_order_items_csv[[#This Row],[unit_price]]*messy_order_items_csv[[#This Row],[quantity]]</f>
        <v>0</v>
      </c>
    </row>
    <row r="985" spans="1:6" x14ac:dyDescent="0.3">
      <c r="A985">
        <v>984</v>
      </c>
      <c r="B985" t="s">
        <v>1329</v>
      </c>
      <c r="C985" t="s">
        <v>2263</v>
      </c>
      <c r="D985">
        <v>4</v>
      </c>
      <c r="E985">
        <v>21744</v>
      </c>
      <c r="F985">
        <f>messy_order_items_csv[[#This Row],[unit_price]]*messy_order_items_csv[[#This Row],[quantity]]</f>
        <v>86976</v>
      </c>
    </row>
    <row r="986" spans="1:6" x14ac:dyDescent="0.3">
      <c r="A986">
        <v>985</v>
      </c>
      <c r="B986" t="s">
        <v>1603</v>
      </c>
      <c r="C986" t="s">
        <v>2195</v>
      </c>
      <c r="D986">
        <v>3</v>
      </c>
      <c r="E986">
        <v>47453</v>
      </c>
      <c r="F986">
        <f>messy_order_items_csv[[#This Row],[unit_price]]*messy_order_items_csv[[#This Row],[quantity]]</f>
        <v>142359</v>
      </c>
    </row>
    <row r="987" spans="1:6" x14ac:dyDescent="0.3">
      <c r="A987">
        <v>986</v>
      </c>
      <c r="B987" t="s">
        <v>1373</v>
      </c>
      <c r="C987" t="s">
        <v>2204</v>
      </c>
      <c r="E987">
        <v>1960</v>
      </c>
      <c r="F987">
        <f>messy_order_items_csv[[#This Row],[unit_price]]*messy_order_items_csv[[#This Row],[quantity]]</f>
        <v>0</v>
      </c>
    </row>
    <row r="988" spans="1:6" x14ac:dyDescent="0.3">
      <c r="A988">
        <v>987</v>
      </c>
      <c r="B988" t="s">
        <v>1132</v>
      </c>
      <c r="C988" t="s">
        <v>2232</v>
      </c>
      <c r="D988">
        <v>4</v>
      </c>
      <c r="E988">
        <v>27961</v>
      </c>
      <c r="F988">
        <f>messy_order_items_csv[[#This Row],[unit_price]]*messy_order_items_csv[[#This Row],[quantity]]</f>
        <v>111844</v>
      </c>
    </row>
    <row r="989" spans="1:6" x14ac:dyDescent="0.3">
      <c r="A989">
        <v>988</v>
      </c>
      <c r="B989" t="s">
        <v>1602</v>
      </c>
      <c r="C989" t="s">
        <v>2240</v>
      </c>
      <c r="D989">
        <v>1</v>
      </c>
      <c r="E989">
        <v>11160</v>
      </c>
      <c r="F989">
        <f>messy_order_items_csv[[#This Row],[unit_price]]*messy_order_items_csv[[#This Row],[quantity]]</f>
        <v>11160</v>
      </c>
    </row>
    <row r="990" spans="1:6" x14ac:dyDescent="0.3">
      <c r="A990">
        <v>989</v>
      </c>
      <c r="B990" t="s">
        <v>2017</v>
      </c>
      <c r="C990" t="s">
        <v>2195</v>
      </c>
      <c r="D990">
        <v>4</v>
      </c>
      <c r="E990">
        <v>47453</v>
      </c>
      <c r="F990">
        <f>messy_order_items_csv[[#This Row],[unit_price]]*messy_order_items_csv[[#This Row],[quantity]]</f>
        <v>189812</v>
      </c>
    </row>
    <row r="991" spans="1:6" x14ac:dyDescent="0.3">
      <c r="A991">
        <v>990</v>
      </c>
      <c r="B991" t="s">
        <v>1230</v>
      </c>
      <c r="C991" t="s">
        <v>2253</v>
      </c>
      <c r="E991">
        <v>69520</v>
      </c>
      <c r="F991">
        <f>messy_order_items_csv[[#This Row],[unit_price]]*messy_order_items_csv[[#This Row],[quantity]]</f>
        <v>0</v>
      </c>
    </row>
    <row r="992" spans="1:6" x14ac:dyDescent="0.3">
      <c r="A992">
        <v>991</v>
      </c>
      <c r="B992" t="s">
        <v>1744</v>
      </c>
      <c r="C992" t="s">
        <v>2195</v>
      </c>
      <c r="E992">
        <v>57995</v>
      </c>
      <c r="F992">
        <f>messy_order_items_csv[[#This Row],[unit_price]]*messy_order_items_csv[[#This Row],[quantity]]</f>
        <v>0</v>
      </c>
    </row>
    <row r="993" spans="1:6" x14ac:dyDescent="0.3">
      <c r="A993">
        <v>992</v>
      </c>
      <c r="B993" t="s">
        <v>1373</v>
      </c>
      <c r="C993" t="s">
        <v>2272</v>
      </c>
      <c r="D993">
        <v>4</v>
      </c>
      <c r="E993">
        <v>88163</v>
      </c>
      <c r="F993">
        <f>messy_order_items_csv[[#This Row],[unit_price]]*messy_order_items_csv[[#This Row],[quantity]]</f>
        <v>352652</v>
      </c>
    </row>
    <row r="994" spans="1:6" x14ac:dyDescent="0.3">
      <c r="A994">
        <v>993</v>
      </c>
      <c r="B994" t="s">
        <v>1983</v>
      </c>
      <c r="C994" t="s">
        <v>2196</v>
      </c>
      <c r="D994">
        <v>1</v>
      </c>
      <c r="E994">
        <v>31497</v>
      </c>
      <c r="F994">
        <f>messy_order_items_csv[[#This Row],[unit_price]]*messy_order_items_csv[[#This Row],[quantity]]</f>
        <v>31497</v>
      </c>
    </row>
    <row r="995" spans="1:6" x14ac:dyDescent="0.3">
      <c r="A995">
        <v>994</v>
      </c>
      <c r="B995" t="s">
        <v>1166</v>
      </c>
      <c r="C995" t="s">
        <v>2268</v>
      </c>
      <c r="D995">
        <v>0</v>
      </c>
      <c r="E995">
        <v>35681</v>
      </c>
      <c r="F995">
        <f>messy_order_items_csv[[#This Row],[unit_price]]*messy_order_items_csv[[#This Row],[quantity]]</f>
        <v>0</v>
      </c>
    </row>
    <row r="996" spans="1:6" x14ac:dyDescent="0.3">
      <c r="A996">
        <v>995</v>
      </c>
      <c r="B996" t="s">
        <v>1839</v>
      </c>
      <c r="C996" t="s">
        <v>2220</v>
      </c>
      <c r="D996">
        <v>1</v>
      </c>
      <c r="E996">
        <v>5475</v>
      </c>
      <c r="F996">
        <f>messy_order_items_csv[[#This Row],[unit_price]]*messy_order_items_csv[[#This Row],[quantity]]</f>
        <v>5475</v>
      </c>
    </row>
    <row r="997" spans="1:6" x14ac:dyDescent="0.3">
      <c r="A997">
        <v>996</v>
      </c>
      <c r="B997" t="s">
        <v>1725</v>
      </c>
      <c r="C997" t="s">
        <v>2257</v>
      </c>
      <c r="E997">
        <v>31497</v>
      </c>
      <c r="F997">
        <f>messy_order_items_csv[[#This Row],[unit_price]]*messy_order_items_csv[[#This Row],[quantity]]</f>
        <v>0</v>
      </c>
    </row>
    <row r="998" spans="1:6" x14ac:dyDescent="0.3">
      <c r="A998">
        <v>997</v>
      </c>
      <c r="B998" t="s">
        <v>2093</v>
      </c>
      <c r="C998" t="s">
        <v>2260</v>
      </c>
      <c r="E998">
        <v>33021</v>
      </c>
      <c r="F998">
        <f>messy_order_items_csv[[#This Row],[unit_price]]*messy_order_items_csv[[#This Row],[quantity]]</f>
        <v>0</v>
      </c>
    </row>
    <row r="999" spans="1:6" x14ac:dyDescent="0.3">
      <c r="A999">
        <v>998</v>
      </c>
      <c r="B999" t="s">
        <v>1852</v>
      </c>
      <c r="C999" t="s">
        <v>2217</v>
      </c>
      <c r="D999">
        <v>2</v>
      </c>
      <c r="E999">
        <v>43618</v>
      </c>
      <c r="F999">
        <f>messy_order_items_csv[[#This Row],[unit_price]]*messy_order_items_csv[[#This Row],[quantity]]</f>
        <v>87236</v>
      </c>
    </row>
    <row r="1000" spans="1:6" x14ac:dyDescent="0.3">
      <c r="A1000">
        <v>999</v>
      </c>
      <c r="B1000" t="s">
        <v>1911</v>
      </c>
      <c r="C1000" t="s">
        <v>2266</v>
      </c>
      <c r="D1000">
        <v>2</v>
      </c>
      <c r="E1000">
        <v>3393</v>
      </c>
      <c r="F1000">
        <f>messy_order_items_csv[[#This Row],[unit_price]]*messy_order_items_csv[[#This Row],[quantity]]</f>
        <v>6786</v>
      </c>
    </row>
    <row r="1001" spans="1:6" x14ac:dyDescent="0.3">
      <c r="A1001">
        <v>1000</v>
      </c>
      <c r="B1001" t="s">
        <v>2072</v>
      </c>
      <c r="C1001" t="s">
        <v>2273</v>
      </c>
      <c r="D1001">
        <v>4</v>
      </c>
      <c r="E1001">
        <v>31497</v>
      </c>
      <c r="F1001">
        <f>messy_order_items_csv[[#This Row],[unit_price]]*messy_order_items_csv[[#This Row],[quantity]]</f>
        <v>125988</v>
      </c>
    </row>
    <row r="1002" spans="1:6" x14ac:dyDescent="0.3">
      <c r="A1002">
        <v>1001</v>
      </c>
      <c r="B1002" t="s">
        <v>2039</v>
      </c>
      <c r="C1002" t="s">
        <v>2207</v>
      </c>
      <c r="D1002">
        <v>1</v>
      </c>
      <c r="E1002">
        <v>16284</v>
      </c>
      <c r="F1002">
        <f>messy_order_items_csv[[#This Row],[unit_price]]*messy_order_items_csv[[#This Row],[quantity]]</f>
        <v>16284</v>
      </c>
    </row>
    <row r="1003" spans="1:6" x14ac:dyDescent="0.3">
      <c r="A1003">
        <v>1002</v>
      </c>
      <c r="B1003" t="s">
        <v>1959</v>
      </c>
      <c r="C1003" t="s">
        <v>2204</v>
      </c>
      <c r="D1003">
        <v>2</v>
      </c>
      <c r="E1003">
        <v>31497</v>
      </c>
      <c r="F1003">
        <f>messy_order_items_csv[[#This Row],[unit_price]]*messy_order_items_csv[[#This Row],[quantity]]</f>
        <v>62994</v>
      </c>
    </row>
    <row r="1004" spans="1:6" x14ac:dyDescent="0.3">
      <c r="A1004">
        <v>1003</v>
      </c>
      <c r="B1004" t="s">
        <v>1804</v>
      </c>
      <c r="C1004" t="s">
        <v>2198</v>
      </c>
      <c r="D1004">
        <v>0</v>
      </c>
      <c r="E1004">
        <v>31497</v>
      </c>
      <c r="F1004">
        <f>messy_order_items_csv[[#This Row],[unit_price]]*messy_order_items_csv[[#This Row],[quantity]]</f>
        <v>0</v>
      </c>
    </row>
    <row r="1005" spans="1:6" x14ac:dyDescent="0.3">
      <c r="A1005">
        <v>1004</v>
      </c>
      <c r="B1005" t="s">
        <v>1773</v>
      </c>
      <c r="C1005" t="s">
        <v>2249</v>
      </c>
      <c r="E1005">
        <v>51743</v>
      </c>
      <c r="F1005">
        <f>messy_order_items_csv[[#This Row],[unit_price]]*messy_order_items_csv[[#This Row],[quantity]]</f>
        <v>0</v>
      </c>
    </row>
    <row r="1006" spans="1:6" x14ac:dyDescent="0.3">
      <c r="A1006">
        <v>1005</v>
      </c>
      <c r="B1006" t="s">
        <v>1679</v>
      </c>
      <c r="C1006" t="s">
        <v>2232</v>
      </c>
      <c r="D1006">
        <v>3</v>
      </c>
      <c r="E1006">
        <v>87097</v>
      </c>
      <c r="F1006">
        <f>messy_order_items_csv[[#This Row],[unit_price]]*messy_order_items_csv[[#This Row],[quantity]]</f>
        <v>261291</v>
      </c>
    </row>
    <row r="1007" spans="1:6" x14ac:dyDescent="0.3">
      <c r="A1007">
        <v>1006</v>
      </c>
      <c r="B1007" t="s">
        <v>1740</v>
      </c>
      <c r="C1007" t="s">
        <v>2257</v>
      </c>
      <c r="D1007">
        <v>0</v>
      </c>
      <c r="E1007">
        <v>31497</v>
      </c>
      <c r="F1007">
        <f>messy_order_items_csv[[#This Row],[unit_price]]*messy_order_items_csv[[#This Row],[quantity]]</f>
        <v>0</v>
      </c>
    </row>
    <row r="1008" spans="1:6" x14ac:dyDescent="0.3">
      <c r="A1008">
        <v>1007</v>
      </c>
      <c r="B1008" t="s">
        <v>1151</v>
      </c>
      <c r="C1008" t="s">
        <v>2196</v>
      </c>
      <c r="D1008">
        <v>0</v>
      </c>
      <c r="E1008">
        <v>31497</v>
      </c>
      <c r="F1008">
        <f>messy_order_items_csv[[#This Row],[unit_price]]*messy_order_items_csv[[#This Row],[quantity]]</f>
        <v>0</v>
      </c>
    </row>
    <row r="1009" spans="1:6" x14ac:dyDescent="0.3">
      <c r="A1009">
        <v>1008</v>
      </c>
      <c r="B1009" t="s">
        <v>2123</v>
      </c>
      <c r="C1009" t="s">
        <v>2246</v>
      </c>
      <c r="E1009">
        <v>49374</v>
      </c>
      <c r="F1009">
        <f>messy_order_items_csv[[#This Row],[unit_price]]*messy_order_items_csv[[#This Row],[quantity]]</f>
        <v>0</v>
      </c>
    </row>
    <row r="1010" spans="1:6" x14ac:dyDescent="0.3">
      <c r="A1010">
        <v>1009</v>
      </c>
      <c r="B1010" t="s">
        <v>1708</v>
      </c>
      <c r="C1010" t="s">
        <v>2225</v>
      </c>
      <c r="D1010">
        <v>1</v>
      </c>
      <c r="E1010">
        <v>14892</v>
      </c>
      <c r="F1010">
        <f>messy_order_items_csv[[#This Row],[unit_price]]*messy_order_items_csv[[#This Row],[quantity]]</f>
        <v>14892</v>
      </c>
    </row>
    <row r="1011" spans="1:6" x14ac:dyDescent="0.3">
      <c r="A1011">
        <v>1010</v>
      </c>
      <c r="B1011" t="s">
        <v>1519</v>
      </c>
      <c r="C1011" t="s">
        <v>2238</v>
      </c>
      <c r="E1011">
        <v>80686</v>
      </c>
      <c r="F1011">
        <f>messy_order_items_csv[[#This Row],[unit_price]]*messy_order_items_csv[[#This Row],[quantity]]</f>
        <v>0</v>
      </c>
    </row>
    <row r="1012" spans="1:6" x14ac:dyDescent="0.3">
      <c r="A1012">
        <v>1011</v>
      </c>
      <c r="B1012" t="s">
        <v>2074</v>
      </c>
      <c r="C1012" t="s">
        <v>2270</v>
      </c>
      <c r="D1012">
        <v>4</v>
      </c>
      <c r="E1012">
        <v>18216</v>
      </c>
      <c r="F1012">
        <f>messy_order_items_csv[[#This Row],[unit_price]]*messy_order_items_csv[[#This Row],[quantity]]</f>
        <v>72864</v>
      </c>
    </row>
    <row r="1013" spans="1:6" x14ac:dyDescent="0.3">
      <c r="A1013">
        <v>1012</v>
      </c>
      <c r="B1013" t="s">
        <v>1776</v>
      </c>
      <c r="C1013" t="s">
        <v>2246</v>
      </c>
      <c r="D1013">
        <v>3</v>
      </c>
      <c r="E1013">
        <v>2571</v>
      </c>
      <c r="F1013">
        <f>messy_order_items_csv[[#This Row],[unit_price]]*messy_order_items_csv[[#This Row],[quantity]]</f>
        <v>7713</v>
      </c>
    </row>
    <row r="1014" spans="1:6" x14ac:dyDescent="0.3">
      <c r="A1014">
        <v>1013</v>
      </c>
      <c r="B1014" t="s">
        <v>1710</v>
      </c>
      <c r="C1014" t="s">
        <v>2202</v>
      </c>
      <c r="D1014">
        <v>1</v>
      </c>
      <c r="E1014">
        <v>31497</v>
      </c>
      <c r="F1014">
        <f>messy_order_items_csv[[#This Row],[unit_price]]*messy_order_items_csv[[#This Row],[quantity]]</f>
        <v>31497</v>
      </c>
    </row>
    <row r="1015" spans="1:6" x14ac:dyDescent="0.3">
      <c r="A1015">
        <v>1014</v>
      </c>
      <c r="B1015" t="s">
        <v>1434</v>
      </c>
      <c r="C1015" t="s">
        <v>2273</v>
      </c>
      <c r="D1015">
        <v>2</v>
      </c>
      <c r="E1015">
        <v>31497</v>
      </c>
      <c r="F1015">
        <f>messy_order_items_csv[[#This Row],[unit_price]]*messy_order_items_csv[[#This Row],[quantity]]</f>
        <v>62994</v>
      </c>
    </row>
    <row r="1016" spans="1:6" x14ac:dyDescent="0.3">
      <c r="A1016">
        <v>1015</v>
      </c>
      <c r="B1016" t="s">
        <v>1603</v>
      </c>
      <c r="C1016" t="s">
        <v>2213</v>
      </c>
      <c r="D1016">
        <v>3</v>
      </c>
      <c r="E1016">
        <v>38738</v>
      </c>
      <c r="F1016">
        <f>messy_order_items_csv[[#This Row],[unit_price]]*messy_order_items_csv[[#This Row],[quantity]]</f>
        <v>116214</v>
      </c>
    </row>
    <row r="1017" spans="1:6" x14ac:dyDescent="0.3">
      <c r="A1017">
        <v>1016</v>
      </c>
      <c r="B1017" t="s">
        <v>2118</v>
      </c>
      <c r="C1017" t="s">
        <v>2255</v>
      </c>
      <c r="D1017">
        <v>1</v>
      </c>
      <c r="E1017">
        <v>81129</v>
      </c>
      <c r="F1017">
        <f>messy_order_items_csv[[#This Row],[unit_price]]*messy_order_items_csv[[#This Row],[quantity]]</f>
        <v>81129</v>
      </c>
    </row>
    <row r="1018" spans="1:6" x14ac:dyDescent="0.3">
      <c r="A1018">
        <v>1017</v>
      </c>
      <c r="B1018" t="s">
        <v>1045</v>
      </c>
      <c r="C1018" t="s">
        <v>2212</v>
      </c>
      <c r="D1018">
        <v>1</v>
      </c>
      <c r="E1018">
        <v>79727</v>
      </c>
      <c r="F1018">
        <f>messy_order_items_csv[[#This Row],[unit_price]]*messy_order_items_csv[[#This Row],[quantity]]</f>
        <v>79727</v>
      </c>
    </row>
    <row r="1019" spans="1:6" x14ac:dyDescent="0.3">
      <c r="A1019">
        <v>1018</v>
      </c>
      <c r="B1019" t="s">
        <v>1433</v>
      </c>
      <c r="C1019" t="s">
        <v>2267</v>
      </c>
      <c r="E1019">
        <v>31497</v>
      </c>
      <c r="F1019">
        <f>messy_order_items_csv[[#This Row],[unit_price]]*messy_order_items_csv[[#This Row],[quantity]]</f>
        <v>0</v>
      </c>
    </row>
    <row r="1020" spans="1:6" x14ac:dyDescent="0.3">
      <c r="A1020">
        <v>1019</v>
      </c>
      <c r="B1020" t="s">
        <v>1284</v>
      </c>
      <c r="C1020" t="s">
        <v>2210</v>
      </c>
      <c r="D1020">
        <v>3</v>
      </c>
      <c r="E1020">
        <v>31497</v>
      </c>
      <c r="F1020">
        <f>messy_order_items_csv[[#This Row],[unit_price]]*messy_order_items_csv[[#This Row],[quantity]]</f>
        <v>94491</v>
      </c>
    </row>
    <row r="1021" spans="1:6" x14ac:dyDescent="0.3">
      <c r="A1021">
        <v>1020</v>
      </c>
      <c r="B1021" t="s">
        <v>1977</v>
      </c>
      <c r="C1021" t="s">
        <v>2233</v>
      </c>
      <c r="D1021">
        <v>0</v>
      </c>
      <c r="E1021">
        <v>31497</v>
      </c>
      <c r="F1021">
        <f>messy_order_items_csv[[#This Row],[unit_price]]*messy_order_items_csv[[#This Row],[quantity]]</f>
        <v>0</v>
      </c>
    </row>
    <row r="1022" spans="1:6" x14ac:dyDescent="0.3">
      <c r="A1022">
        <v>1021</v>
      </c>
      <c r="B1022" t="s">
        <v>1170</v>
      </c>
      <c r="C1022" t="s">
        <v>2227</v>
      </c>
      <c r="D1022">
        <v>4</v>
      </c>
      <c r="E1022">
        <v>32031</v>
      </c>
      <c r="F1022">
        <f>messy_order_items_csv[[#This Row],[unit_price]]*messy_order_items_csv[[#This Row],[quantity]]</f>
        <v>128124</v>
      </c>
    </row>
    <row r="1023" spans="1:6" x14ac:dyDescent="0.3">
      <c r="A1023">
        <v>1022</v>
      </c>
      <c r="B1023" t="s">
        <v>2108</v>
      </c>
      <c r="C1023" t="s">
        <v>2203</v>
      </c>
      <c r="D1023">
        <v>4</v>
      </c>
      <c r="E1023">
        <v>11671</v>
      </c>
      <c r="F1023">
        <f>messy_order_items_csv[[#This Row],[unit_price]]*messy_order_items_csv[[#This Row],[quantity]]</f>
        <v>46684</v>
      </c>
    </row>
    <row r="1024" spans="1:6" x14ac:dyDescent="0.3">
      <c r="A1024">
        <v>1023</v>
      </c>
      <c r="B1024" t="s">
        <v>1209</v>
      </c>
      <c r="C1024" t="s">
        <v>2205</v>
      </c>
      <c r="D1024">
        <v>1</v>
      </c>
      <c r="E1024">
        <v>31497</v>
      </c>
      <c r="F1024">
        <f>messy_order_items_csv[[#This Row],[unit_price]]*messy_order_items_csv[[#This Row],[quantity]]</f>
        <v>31497</v>
      </c>
    </row>
    <row r="1025" spans="1:6" x14ac:dyDescent="0.3">
      <c r="A1025">
        <v>1024</v>
      </c>
      <c r="B1025" t="s">
        <v>1332</v>
      </c>
      <c r="C1025" t="s">
        <v>2230</v>
      </c>
      <c r="D1025">
        <v>0</v>
      </c>
      <c r="E1025">
        <v>31497</v>
      </c>
      <c r="F1025">
        <f>messy_order_items_csv[[#This Row],[unit_price]]*messy_order_items_csv[[#This Row],[quantity]]</f>
        <v>0</v>
      </c>
    </row>
    <row r="1026" spans="1:6" x14ac:dyDescent="0.3">
      <c r="A1026">
        <v>1025</v>
      </c>
      <c r="B1026" t="s">
        <v>1740</v>
      </c>
      <c r="C1026" t="s">
        <v>2264</v>
      </c>
      <c r="D1026">
        <v>0</v>
      </c>
      <c r="E1026">
        <v>20137</v>
      </c>
      <c r="F1026">
        <f>messy_order_items_csv[[#This Row],[unit_price]]*messy_order_items_csv[[#This Row],[quantity]]</f>
        <v>0</v>
      </c>
    </row>
    <row r="1027" spans="1:6" x14ac:dyDescent="0.3">
      <c r="A1027">
        <v>1026</v>
      </c>
      <c r="B1027" t="s">
        <v>1527</v>
      </c>
      <c r="C1027" t="s">
        <v>2225</v>
      </c>
      <c r="D1027">
        <v>4</v>
      </c>
      <c r="E1027">
        <v>31337</v>
      </c>
      <c r="F1027">
        <f>messy_order_items_csv[[#This Row],[unit_price]]*messy_order_items_csv[[#This Row],[quantity]]</f>
        <v>125348</v>
      </c>
    </row>
    <row r="1028" spans="1:6" x14ac:dyDescent="0.3">
      <c r="A1028">
        <v>1027</v>
      </c>
      <c r="B1028" t="s">
        <v>1022</v>
      </c>
      <c r="C1028" t="s">
        <v>2202</v>
      </c>
      <c r="D1028">
        <v>2</v>
      </c>
      <c r="E1028">
        <v>31497</v>
      </c>
      <c r="F1028">
        <f>messy_order_items_csv[[#This Row],[unit_price]]*messy_order_items_csv[[#This Row],[quantity]]</f>
        <v>62994</v>
      </c>
    </row>
    <row r="1029" spans="1:6" x14ac:dyDescent="0.3">
      <c r="A1029">
        <v>1028</v>
      </c>
      <c r="B1029" t="s">
        <v>1459</v>
      </c>
      <c r="C1029" t="s">
        <v>2250</v>
      </c>
      <c r="D1029">
        <v>3</v>
      </c>
      <c r="E1029">
        <v>31497</v>
      </c>
      <c r="F1029">
        <f>messy_order_items_csv[[#This Row],[unit_price]]*messy_order_items_csv[[#This Row],[quantity]]</f>
        <v>94491</v>
      </c>
    </row>
    <row r="1030" spans="1:6" x14ac:dyDescent="0.3">
      <c r="A1030">
        <v>1029</v>
      </c>
      <c r="B1030" t="s">
        <v>1841</v>
      </c>
      <c r="C1030" t="s">
        <v>2206</v>
      </c>
      <c r="E1030">
        <v>65523</v>
      </c>
      <c r="F1030">
        <f>messy_order_items_csv[[#This Row],[unit_price]]*messy_order_items_csv[[#This Row],[quantity]]</f>
        <v>0</v>
      </c>
    </row>
    <row r="1031" spans="1:6" x14ac:dyDescent="0.3">
      <c r="A1031">
        <v>1030</v>
      </c>
      <c r="B1031" t="s">
        <v>1712</v>
      </c>
      <c r="C1031" t="s">
        <v>2199</v>
      </c>
      <c r="D1031">
        <v>2</v>
      </c>
      <c r="E1031">
        <v>31497</v>
      </c>
      <c r="F1031">
        <f>messy_order_items_csv[[#This Row],[unit_price]]*messy_order_items_csv[[#This Row],[quantity]]</f>
        <v>62994</v>
      </c>
    </row>
    <row r="1032" spans="1:6" x14ac:dyDescent="0.3">
      <c r="A1032">
        <v>1031</v>
      </c>
      <c r="B1032" t="s">
        <v>1750</v>
      </c>
      <c r="C1032" t="s">
        <v>2242</v>
      </c>
      <c r="D1032">
        <v>1</v>
      </c>
      <c r="E1032">
        <v>31497</v>
      </c>
      <c r="F1032">
        <f>messy_order_items_csv[[#This Row],[unit_price]]*messy_order_items_csv[[#This Row],[quantity]]</f>
        <v>31497</v>
      </c>
    </row>
    <row r="1033" spans="1:6" x14ac:dyDescent="0.3">
      <c r="A1033">
        <v>1032</v>
      </c>
      <c r="B1033" t="s">
        <v>998</v>
      </c>
      <c r="C1033" t="s">
        <v>2231</v>
      </c>
      <c r="E1033">
        <v>40595</v>
      </c>
      <c r="F1033">
        <f>messy_order_items_csv[[#This Row],[unit_price]]*messy_order_items_csv[[#This Row],[quantity]]</f>
        <v>0</v>
      </c>
    </row>
    <row r="1034" spans="1:6" x14ac:dyDescent="0.3">
      <c r="A1034">
        <v>1033</v>
      </c>
      <c r="B1034" t="s">
        <v>1338</v>
      </c>
      <c r="C1034" t="s">
        <v>2242</v>
      </c>
      <c r="E1034">
        <v>31497</v>
      </c>
      <c r="F1034">
        <f>messy_order_items_csv[[#This Row],[unit_price]]*messy_order_items_csv[[#This Row],[quantity]]</f>
        <v>0</v>
      </c>
    </row>
    <row r="1035" spans="1:6" x14ac:dyDescent="0.3">
      <c r="A1035">
        <v>1034</v>
      </c>
      <c r="B1035" t="s">
        <v>1377</v>
      </c>
      <c r="C1035" t="s">
        <v>2214</v>
      </c>
      <c r="D1035">
        <v>1</v>
      </c>
      <c r="E1035">
        <v>6700</v>
      </c>
      <c r="F1035">
        <f>messy_order_items_csv[[#This Row],[unit_price]]*messy_order_items_csv[[#This Row],[quantity]]</f>
        <v>6700</v>
      </c>
    </row>
    <row r="1036" spans="1:6" x14ac:dyDescent="0.3">
      <c r="A1036">
        <v>1035</v>
      </c>
      <c r="B1036" t="s">
        <v>1815</v>
      </c>
      <c r="C1036" t="s">
        <v>2233</v>
      </c>
      <c r="D1036">
        <v>0</v>
      </c>
      <c r="E1036">
        <v>34956</v>
      </c>
      <c r="F1036">
        <f>messy_order_items_csv[[#This Row],[unit_price]]*messy_order_items_csv[[#This Row],[quantity]]</f>
        <v>0</v>
      </c>
    </row>
    <row r="1037" spans="1:6" x14ac:dyDescent="0.3">
      <c r="A1037">
        <v>1036</v>
      </c>
      <c r="B1037" t="s">
        <v>1956</v>
      </c>
      <c r="C1037" t="s">
        <v>2257</v>
      </c>
      <c r="D1037">
        <v>3</v>
      </c>
      <c r="E1037">
        <v>31497</v>
      </c>
      <c r="F1037">
        <f>messy_order_items_csv[[#This Row],[unit_price]]*messy_order_items_csv[[#This Row],[quantity]]</f>
        <v>94491</v>
      </c>
    </row>
    <row r="1038" spans="1:6" x14ac:dyDescent="0.3">
      <c r="A1038">
        <v>1037</v>
      </c>
      <c r="B1038" t="s">
        <v>1175</v>
      </c>
      <c r="C1038" t="s">
        <v>2221</v>
      </c>
      <c r="D1038">
        <v>3</v>
      </c>
      <c r="E1038">
        <v>31497</v>
      </c>
      <c r="F1038">
        <f>messy_order_items_csv[[#This Row],[unit_price]]*messy_order_items_csv[[#This Row],[quantity]]</f>
        <v>94491</v>
      </c>
    </row>
    <row r="1039" spans="1:6" x14ac:dyDescent="0.3">
      <c r="A1039">
        <v>1038</v>
      </c>
      <c r="B1039" t="s">
        <v>2030</v>
      </c>
      <c r="C1039" t="s">
        <v>2208</v>
      </c>
      <c r="D1039">
        <v>3</v>
      </c>
      <c r="E1039">
        <v>71147</v>
      </c>
      <c r="F1039">
        <f>messy_order_items_csv[[#This Row],[unit_price]]*messy_order_items_csv[[#This Row],[quantity]]</f>
        <v>213441</v>
      </c>
    </row>
    <row r="1040" spans="1:6" x14ac:dyDescent="0.3">
      <c r="A1040">
        <v>1039</v>
      </c>
      <c r="B1040" t="s">
        <v>1670</v>
      </c>
      <c r="C1040" t="s">
        <v>2224</v>
      </c>
      <c r="D1040">
        <v>0</v>
      </c>
      <c r="E1040">
        <v>39332</v>
      </c>
      <c r="F1040">
        <f>messy_order_items_csv[[#This Row],[unit_price]]*messy_order_items_csv[[#This Row],[quantity]]</f>
        <v>0</v>
      </c>
    </row>
    <row r="1041" spans="1:6" x14ac:dyDescent="0.3">
      <c r="A1041">
        <v>1040</v>
      </c>
      <c r="B1041" t="s">
        <v>2133</v>
      </c>
      <c r="C1041" t="s">
        <v>2214</v>
      </c>
      <c r="D1041">
        <v>1</v>
      </c>
      <c r="E1041">
        <v>31497</v>
      </c>
      <c r="F1041">
        <f>messy_order_items_csv[[#This Row],[unit_price]]*messy_order_items_csv[[#This Row],[quantity]]</f>
        <v>31497</v>
      </c>
    </row>
    <row r="1042" spans="1:6" x14ac:dyDescent="0.3">
      <c r="A1042">
        <v>1041</v>
      </c>
      <c r="B1042" t="s">
        <v>1551</v>
      </c>
      <c r="C1042" t="s">
        <v>2267</v>
      </c>
      <c r="E1042">
        <v>55463</v>
      </c>
      <c r="F1042">
        <f>messy_order_items_csv[[#This Row],[unit_price]]*messy_order_items_csv[[#This Row],[quantity]]</f>
        <v>0</v>
      </c>
    </row>
    <row r="1043" spans="1:6" x14ac:dyDescent="0.3">
      <c r="A1043">
        <v>1042</v>
      </c>
      <c r="B1043" t="s">
        <v>1062</v>
      </c>
      <c r="C1043" t="s">
        <v>2198</v>
      </c>
      <c r="D1043">
        <v>3</v>
      </c>
      <c r="E1043">
        <v>61791</v>
      </c>
      <c r="F1043">
        <f>messy_order_items_csv[[#This Row],[unit_price]]*messy_order_items_csv[[#This Row],[quantity]]</f>
        <v>185373</v>
      </c>
    </row>
    <row r="1044" spans="1:6" x14ac:dyDescent="0.3">
      <c r="A1044">
        <v>1043</v>
      </c>
      <c r="B1044" t="s">
        <v>1686</v>
      </c>
      <c r="C1044" t="s">
        <v>2262</v>
      </c>
      <c r="E1044">
        <v>18522</v>
      </c>
      <c r="F1044">
        <f>messy_order_items_csv[[#This Row],[unit_price]]*messy_order_items_csv[[#This Row],[quantity]]</f>
        <v>0</v>
      </c>
    </row>
    <row r="1045" spans="1:6" x14ac:dyDescent="0.3">
      <c r="A1045">
        <v>1044</v>
      </c>
      <c r="B1045" t="s">
        <v>1015</v>
      </c>
      <c r="C1045" t="s">
        <v>2229</v>
      </c>
      <c r="D1045">
        <v>2</v>
      </c>
      <c r="E1045">
        <v>47676</v>
      </c>
      <c r="F1045">
        <f>messy_order_items_csv[[#This Row],[unit_price]]*messy_order_items_csv[[#This Row],[quantity]]</f>
        <v>95352</v>
      </c>
    </row>
    <row r="1046" spans="1:6" x14ac:dyDescent="0.3">
      <c r="A1046">
        <v>1045</v>
      </c>
      <c r="B1046" t="s">
        <v>1990</v>
      </c>
      <c r="C1046" t="s">
        <v>2248</v>
      </c>
      <c r="D1046">
        <v>3</v>
      </c>
      <c r="E1046">
        <v>31497</v>
      </c>
      <c r="F1046">
        <f>messy_order_items_csv[[#This Row],[unit_price]]*messy_order_items_csv[[#This Row],[quantity]]</f>
        <v>94491</v>
      </c>
    </row>
    <row r="1047" spans="1:6" x14ac:dyDescent="0.3">
      <c r="A1047">
        <v>1046</v>
      </c>
      <c r="B1047" t="s">
        <v>1010</v>
      </c>
      <c r="C1047" t="s">
        <v>2204</v>
      </c>
      <c r="D1047">
        <v>4</v>
      </c>
      <c r="E1047">
        <v>31497</v>
      </c>
      <c r="F1047">
        <f>messy_order_items_csv[[#This Row],[unit_price]]*messy_order_items_csv[[#This Row],[quantity]]</f>
        <v>125988</v>
      </c>
    </row>
    <row r="1048" spans="1:6" x14ac:dyDescent="0.3">
      <c r="A1048">
        <v>1047</v>
      </c>
      <c r="B1048" t="s">
        <v>2144</v>
      </c>
      <c r="C1048" t="s">
        <v>2230</v>
      </c>
      <c r="D1048">
        <v>0</v>
      </c>
      <c r="E1048">
        <v>31497</v>
      </c>
      <c r="F1048">
        <f>messy_order_items_csv[[#This Row],[unit_price]]*messy_order_items_csv[[#This Row],[quantity]]</f>
        <v>0</v>
      </c>
    </row>
    <row r="1049" spans="1:6" x14ac:dyDescent="0.3">
      <c r="A1049">
        <v>1048</v>
      </c>
      <c r="B1049" t="s">
        <v>1137</v>
      </c>
      <c r="C1049" t="s">
        <v>2236</v>
      </c>
      <c r="D1049">
        <v>3</v>
      </c>
      <c r="E1049">
        <v>1953</v>
      </c>
      <c r="F1049">
        <f>messy_order_items_csv[[#This Row],[unit_price]]*messy_order_items_csv[[#This Row],[quantity]]</f>
        <v>5859</v>
      </c>
    </row>
    <row r="1050" spans="1:6" x14ac:dyDescent="0.3">
      <c r="A1050">
        <v>1049</v>
      </c>
      <c r="B1050" t="s">
        <v>2080</v>
      </c>
      <c r="C1050" t="s">
        <v>2199</v>
      </c>
      <c r="D1050">
        <v>1</v>
      </c>
      <c r="E1050">
        <v>28453</v>
      </c>
      <c r="F1050">
        <f>messy_order_items_csv[[#This Row],[unit_price]]*messy_order_items_csv[[#This Row],[quantity]]</f>
        <v>28453</v>
      </c>
    </row>
    <row r="1051" spans="1:6" x14ac:dyDescent="0.3">
      <c r="A1051">
        <v>1050</v>
      </c>
      <c r="B1051" t="s">
        <v>2181</v>
      </c>
      <c r="C1051" t="s">
        <v>2263</v>
      </c>
      <c r="D1051">
        <v>2</v>
      </c>
      <c r="E1051">
        <v>31497</v>
      </c>
      <c r="F1051">
        <f>messy_order_items_csv[[#This Row],[unit_price]]*messy_order_items_csv[[#This Row],[quantity]]</f>
        <v>62994</v>
      </c>
    </row>
    <row r="1052" spans="1:6" x14ac:dyDescent="0.3">
      <c r="A1052">
        <v>1051</v>
      </c>
      <c r="B1052" t="s">
        <v>1481</v>
      </c>
      <c r="C1052" t="s">
        <v>2268</v>
      </c>
      <c r="D1052">
        <v>0</v>
      </c>
      <c r="E1052">
        <v>28151</v>
      </c>
      <c r="F1052">
        <f>messy_order_items_csv[[#This Row],[unit_price]]*messy_order_items_csv[[#This Row],[quantity]]</f>
        <v>0</v>
      </c>
    </row>
    <row r="1053" spans="1:6" x14ac:dyDescent="0.3">
      <c r="A1053">
        <v>1052</v>
      </c>
      <c r="B1053" t="s">
        <v>1935</v>
      </c>
      <c r="C1053" t="s">
        <v>2197</v>
      </c>
      <c r="D1053">
        <v>1</v>
      </c>
      <c r="E1053">
        <v>38130</v>
      </c>
      <c r="F1053">
        <f>messy_order_items_csv[[#This Row],[unit_price]]*messy_order_items_csv[[#This Row],[quantity]]</f>
        <v>38130</v>
      </c>
    </row>
    <row r="1054" spans="1:6" x14ac:dyDescent="0.3">
      <c r="A1054">
        <v>1053</v>
      </c>
      <c r="B1054" t="s">
        <v>1327</v>
      </c>
      <c r="C1054" t="s">
        <v>2202</v>
      </c>
      <c r="D1054">
        <v>0</v>
      </c>
      <c r="E1054">
        <v>31497</v>
      </c>
      <c r="F1054">
        <f>messy_order_items_csv[[#This Row],[unit_price]]*messy_order_items_csv[[#This Row],[quantity]]</f>
        <v>0</v>
      </c>
    </row>
    <row r="1055" spans="1:6" x14ac:dyDescent="0.3">
      <c r="A1055">
        <v>1054</v>
      </c>
      <c r="B1055" t="s">
        <v>1842</v>
      </c>
      <c r="C1055" t="s">
        <v>2217</v>
      </c>
      <c r="D1055">
        <v>0</v>
      </c>
      <c r="E1055">
        <v>44051</v>
      </c>
      <c r="F1055">
        <f>messy_order_items_csv[[#This Row],[unit_price]]*messy_order_items_csv[[#This Row],[quantity]]</f>
        <v>0</v>
      </c>
    </row>
    <row r="1056" spans="1:6" x14ac:dyDescent="0.3">
      <c r="A1056">
        <v>1055</v>
      </c>
      <c r="B1056" t="s">
        <v>1101</v>
      </c>
      <c r="C1056" t="s">
        <v>2236</v>
      </c>
      <c r="D1056">
        <v>2</v>
      </c>
      <c r="E1056">
        <v>6095</v>
      </c>
      <c r="F1056">
        <f>messy_order_items_csv[[#This Row],[unit_price]]*messy_order_items_csv[[#This Row],[quantity]]</f>
        <v>12190</v>
      </c>
    </row>
    <row r="1057" spans="1:6" x14ac:dyDescent="0.3">
      <c r="A1057">
        <v>1056</v>
      </c>
      <c r="B1057" t="s">
        <v>1908</v>
      </c>
      <c r="C1057" t="s">
        <v>2218</v>
      </c>
      <c r="D1057">
        <v>0</v>
      </c>
      <c r="E1057">
        <v>65274</v>
      </c>
      <c r="F1057">
        <f>messy_order_items_csv[[#This Row],[unit_price]]*messy_order_items_csv[[#This Row],[quantity]]</f>
        <v>0</v>
      </c>
    </row>
    <row r="1058" spans="1:6" x14ac:dyDescent="0.3">
      <c r="A1058">
        <v>1057</v>
      </c>
      <c r="B1058" t="s">
        <v>1018</v>
      </c>
      <c r="C1058" t="s">
        <v>2226</v>
      </c>
      <c r="D1058">
        <v>2</v>
      </c>
      <c r="E1058">
        <v>84776</v>
      </c>
      <c r="F1058">
        <f>messy_order_items_csv[[#This Row],[unit_price]]*messy_order_items_csv[[#This Row],[quantity]]</f>
        <v>169552</v>
      </c>
    </row>
    <row r="1059" spans="1:6" x14ac:dyDescent="0.3">
      <c r="A1059">
        <v>1058</v>
      </c>
      <c r="B1059" t="s">
        <v>1163</v>
      </c>
      <c r="C1059" t="s">
        <v>2246</v>
      </c>
      <c r="D1059">
        <v>2</v>
      </c>
      <c r="E1059">
        <v>2571</v>
      </c>
      <c r="F1059">
        <f>messy_order_items_csv[[#This Row],[unit_price]]*messy_order_items_csv[[#This Row],[quantity]]</f>
        <v>5142</v>
      </c>
    </row>
    <row r="1060" spans="1:6" x14ac:dyDescent="0.3">
      <c r="A1060">
        <v>1059</v>
      </c>
      <c r="B1060" t="s">
        <v>1927</v>
      </c>
      <c r="C1060" t="s">
        <v>2204</v>
      </c>
      <c r="D1060">
        <v>2</v>
      </c>
      <c r="E1060">
        <v>12347</v>
      </c>
      <c r="F1060">
        <f>messy_order_items_csv[[#This Row],[unit_price]]*messy_order_items_csv[[#This Row],[quantity]]</f>
        <v>24694</v>
      </c>
    </row>
    <row r="1061" spans="1:6" x14ac:dyDescent="0.3">
      <c r="A1061">
        <v>1060</v>
      </c>
      <c r="B1061" t="s">
        <v>2022</v>
      </c>
      <c r="C1061" t="s">
        <v>2211</v>
      </c>
      <c r="D1061">
        <v>3</v>
      </c>
      <c r="E1061">
        <v>82478</v>
      </c>
      <c r="F1061">
        <f>messy_order_items_csv[[#This Row],[unit_price]]*messy_order_items_csv[[#This Row],[quantity]]</f>
        <v>247434</v>
      </c>
    </row>
    <row r="1062" spans="1:6" x14ac:dyDescent="0.3">
      <c r="A1062">
        <v>1061</v>
      </c>
      <c r="B1062" t="s">
        <v>1750</v>
      </c>
      <c r="C1062" t="s">
        <v>2201</v>
      </c>
      <c r="D1062">
        <v>3</v>
      </c>
      <c r="E1062">
        <v>31497</v>
      </c>
      <c r="F1062">
        <f>messy_order_items_csv[[#This Row],[unit_price]]*messy_order_items_csv[[#This Row],[quantity]]</f>
        <v>94491</v>
      </c>
    </row>
    <row r="1063" spans="1:6" x14ac:dyDescent="0.3">
      <c r="A1063">
        <v>1062</v>
      </c>
      <c r="B1063" t="s">
        <v>1765</v>
      </c>
      <c r="C1063" t="s">
        <v>2215</v>
      </c>
      <c r="D1063">
        <v>1</v>
      </c>
      <c r="E1063">
        <v>31497</v>
      </c>
      <c r="F1063">
        <f>messy_order_items_csv[[#This Row],[unit_price]]*messy_order_items_csv[[#This Row],[quantity]]</f>
        <v>31497</v>
      </c>
    </row>
    <row r="1064" spans="1:6" x14ac:dyDescent="0.3">
      <c r="A1064">
        <v>1063</v>
      </c>
      <c r="B1064" t="s">
        <v>1632</v>
      </c>
      <c r="C1064" t="s">
        <v>2212</v>
      </c>
      <c r="D1064">
        <v>0</v>
      </c>
      <c r="E1064">
        <v>27058</v>
      </c>
      <c r="F1064">
        <f>messy_order_items_csv[[#This Row],[unit_price]]*messy_order_items_csv[[#This Row],[quantity]]</f>
        <v>0</v>
      </c>
    </row>
    <row r="1065" spans="1:6" x14ac:dyDescent="0.3">
      <c r="A1065">
        <v>1064</v>
      </c>
      <c r="B1065" t="s">
        <v>1215</v>
      </c>
      <c r="C1065" t="s">
        <v>2199</v>
      </c>
      <c r="D1065">
        <v>0</v>
      </c>
      <c r="E1065">
        <v>31497</v>
      </c>
      <c r="F1065">
        <f>messy_order_items_csv[[#This Row],[unit_price]]*messy_order_items_csv[[#This Row],[quantity]]</f>
        <v>0</v>
      </c>
    </row>
    <row r="1066" spans="1:6" x14ac:dyDescent="0.3">
      <c r="A1066">
        <v>1065</v>
      </c>
      <c r="B1066" t="s">
        <v>1969</v>
      </c>
      <c r="C1066" t="s">
        <v>2223</v>
      </c>
      <c r="D1066">
        <v>2</v>
      </c>
      <c r="E1066">
        <v>6079</v>
      </c>
      <c r="F1066">
        <f>messy_order_items_csv[[#This Row],[unit_price]]*messy_order_items_csv[[#This Row],[quantity]]</f>
        <v>12158</v>
      </c>
    </row>
    <row r="1067" spans="1:6" x14ac:dyDescent="0.3">
      <c r="A1067">
        <v>1066</v>
      </c>
      <c r="B1067" t="s">
        <v>1040</v>
      </c>
      <c r="C1067" t="s">
        <v>2195</v>
      </c>
      <c r="D1067">
        <v>2</v>
      </c>
      <c r="E1067">
        <v>47453</v>
      </c>
      <c r="F1067">
        <f>messy_order_items_csv[[#This Row],[unit_price]]*messy_order_items_csv[[#This Row],[quantity]]</f>
        <v>94906</v>
      </c>
    </row>
    <row r="1068" spans="1:6" x14ac:dyDescent="0.3">
      <c r="A1068">
        <v>1067</v>
      </c>
      <c r="B1068" t="s">
        <v>1143</v>
      </c>
      <c r="C1068" t="s">
        <v>2248</v>
      </c>
      <c r="D1068">
        <v>3</v>
      </c>
      <c r="E1068">
        <v>6620</v>
      </c>
      <c r="F1068">
        <f>messy_order_items_csv[[#This Row],[unit_price]]*messy_order_items_csv[[#This Row],[quantity]]</f>
        <v>19860</v>
      </c>
    </row>
    <row r="1069" spans="1:6" x14ac:dyDescent="0.3">
      <c r="A1069">
        <v>1068</v>
      </c>
      <c r="B1069" t="s">
        <v>1546</v>
      </c>
      <c r="C1069" t="s">
        <v>2202</v>
      </c>
      <c r="D1069">
        <v>3</v>
      </c>
      <c r="E1069">
        <v>31497</v>
      </c>
      <c r="F1069">
        <f>messy_order_items_csv[[#This Row],[unit_price]]*messy_order_items_csv[[#This Row],[quantity]]</f>
        <v>94491</v>
      </c>
    </row>
    <row r="1070" spans="1:6" x14ac:dyDescent="0.3">
      <c r="A1070">
        <v>1069</v>
      </c>
      <c r="B1070" t="s">
        <v>1000</v>
      </c>
      <c r="C1070" t="s">
        <v>2224</v>
      </c>
      <c r="E1070">
        <v>31497</v>
      </c>
      <c r="F1070">
        <f>messy_order_items_csv[[#This Row],[unit_price]]*messy_order_items_csv[[#This Row],[quantity]]</f>
        <v>0</v>
      </c>
    </row>
    <row r="1071" spans="1:6" x14ac:dyDescent="0.3">
      <c r="A1071">
        <v>1070</v>
      </c>
      <c r="B1071" t="s">
        <v>1608</v>
      </c>
      <c r="C1071" t="s">
        <v>2230</v>
      </c>
      <c r="D1071">
        <v>4</v>
      </c>
      <c r="E1071">
        <v>86147</v>
      </c>
      <c r="F1071">
        <f>messy_order_items_csv[[#This Row],[unit_price]]*messy_order_items_csv[[#This Row],[quantity]]</f>
        <v>344588</v>
      </c>
    </row>
    <row r="1072" spans="1:6" x14ac:dyDescent="0.3">
      <c r="A1072">
        <v>1071</v>
      </c>
      <c r="B1072" t="s">
        <v>1693</v>
      </c>
      <c r="C1072" t="s">
        <v>2221</v>
      </c>
      <c r="D1072">
        <v>1</v>
      </c>
      <c r="E1072">
        <v>25656</v>
      </c>
      <c r="F1072">
        <f>messy_order_items_csv[[#This Row],[unit_price]]*messy_order_items_csv[[#This Row],[quantity]]</f>
        <v>25656</v>
      </c>
    </row>
    <row r="1073" spans="1:6" x14ac:dyDescent="0.3">
      <c r="A1073">
        <v>1072</v>
      </c>
      <c r="B1073" t="s">
        <v>1318</v>
      </c>
      <c r="C1073" t="s">
        <v>2219</v>
      </c>
      <c r="D1073">
        <v>2</v>
      </c>
      <c r="E1073">
        <v>44929</v>
      </c>
      <c r="F1073">
        <f>messy_order_items_csv[[#This Row],[unit_price]]*messy_order_items_csv[[#This Row],[quantity]]</f>
        <v>89858</v>
      </c>
    </row>
    <row r="1074" spans="1:6" x14ac:dyDescent="0.3">
      <c r="A1074">
        <v>1073</v>
      </c>
      <c r="B1074" t="s">
        <v>1193</v>
      </c>
      <c r="C1074" t="s">
        <v>2271</v>
      </c>
      <c r="D1074">
        <v>2</v>
      </c>
      <c r="E1074">
        <v>31497</v>
      </c>
      <c r="F1074">
        <f>messy_order_items_csv[[#This Row],[unit_price]]*messy_order_items_csv[[#This Row],[quantity]]</f>
        <v>62994</v>
      </c>
    </row>
    <row r="1075" spans="1:6" x14ac:dyDescent="0.3">
      <c r="A1075">
        <v>1074</v>
      </c>
      <c r="B1075" t="s">
        <v>1262</v>
      </c>
      <c r="C1075" t="s">
        <v>2225</v>
      </c>
      <c r="D1075">
        <v>4</v>
      </c>
      <c r="E1075">
        <v>31497</v>
      </c>
      <c r="F1075">
        <f>messy_order_items_csv[[#This Row],[unit_price]]*messy_order_items_csv[[#This Row],[quantity]]</f>
        <v>125988</v>
      </c>
    </row>
    <row r="1076" spans="1:6" x14ac:dyDescent="0.3">
      <c r="A1076">
        <v>1075</v>
      </c>
      <c r="B1076" t="s">
        <v>1198</v>
      </c>
      <c r="C1076" t="s">
        <v>2260</v>
      </c>
      <c r="E1076">
        <v>31497</v>
      </c>
      <c r="F1076">
        <f>messy_order_items_csv[[#This Row],[unit_price]]*messy_order_items_csv[[#This Row],[quantity]]</f>
        <v>0</v>
      </c>
    </row>
    <row r="1077" spans="1:6" x14ac:dyDescent="0.3">
      <c r="A1077">
        <v>1076</v>
      </c>
      <c r="B1077" t="s">
        <v>1960</v>
      </c>
      <c r="C1077" t="s">
        <v>2228</v>
      </c>
      <c r="D1077">
        <v>4</v>
      </c>
      <c r="E1077">
        <v>23013</v>
      </c>
      <c r="F1077">
        <f>messy_order_items_csv[[#This Row],[unit_price]]*messy_order_items_csv[[#This Row],[quantity]]</f>
        <v>92052</v>
      </c>
    </row>
    <row r="1078" spans="1:6" x14ac:dyDescent="0.3">
      <c r="A1078">
        <v>1077</v>
      </c>
      <c r="B1078" t="s">
        <v>1667</v>
      </c>
      <c r="C1078" t="s">
        <v>2230</v>
      </c>
      <c r="D1078">
        <v>1</v>
      </c>
      <c r="E1078">
        <v>31497</v>
      </c>
      <c r="F1078">
        <f>messy_order_items_csv[[#This Row],[unit_price]]*messy_order_items_csv[[#This Row],[quantity]]</f>
        <v>31497</v>
      </c>
    </row>
    <row r="1079" spans="1:6" x14ac:dyDescent="0.3">
      <c r="A1079">
        <v>1078</v>
      </c>
      <c r="B1079" t="s">
        <v>1176</v>
      </c>
      <c r="C1079" t="s">
        <v>2271</v>
      </c>
      <c r="E1079">
        <v>24955</v>
      </c>
      <c r="F1079">
        <f>messy_order_items_csv[[#This Row],[unit_price]]*messy_order_items_csv[[#This Row],[quantity]]</f>
        <v>0</v>
      </c>
    </row>
    <row r="1080" spans="1:6" x14ac:dyDescent="0.3">
      <c r="A1080">
        <v>1079</v>
      </c>
      <c r="B1080" t="s">
        <v>1049</v>
      </c>
      <c r="C1080" t="s">
        <v>2253</v>
      </c>
      <c r="D1080">
        <v>0</v>
      </c>
      <c r="E1080">
        <v>69520</v>
      </c>
      <c r="F1080">
        <f>messy_order_items_csv[[#This Row],[unit_price]]*messy_order_items_csv[[#This Row],[quantity]]</f>
        <v>0</v>
      </c>
    </row>
    <row r="1081" spans="1:6" x14ac:dyDescent="0.3">
      <c r="A1081">
        <v>1080</v>
      </c>
      <c r="B1081" t="s">
        <v>2007</v>
      </c>
      <c r="C1081" t="s">
        <v>2261</v>
      </c>
      <c r="E1081">
        <v>31497</v>
      </c>
      <c r="F1081">
        <f>messy_order_items_csv[[#This Row],[unit_price]]*messy_order_items_csv[[#This Row],[quantity]]</f>
        <v>0</v>
      </c>
    </row>
    <row r="1082" spans="1:6" x14ac:dyDescent="0.3">
      <c r="A1082">
        <v>1081</v>
      </c>
      <c r="B1082" t="s">
        <v>1062</v>
      </c>
      <c r="C1082" t="s">
        <v>2226</v>
      </c>
      <c r="D1082">
        <v>1</v>
      </c>
      <c r="E1082">
        <v>35780</v>
      </c>
      <c r="F1082">
        <f>messy_order_items_csv[[#This Row],[unit_price]]*messy_order_items_csv[[#This Row],[quantity]]</f>
        <v>35780</v>
      </c>
    </row>
    <row r="1083" spans="1:6" x14ac:dyDescent="0.3">
      <c r="A1083">
        <v>1082</v>
      </c>
      <c r="B1083" t="s">
        <v>1479</v>
      </c>
      <c r="C1083" t="s">
        <v>2221</v>
      </c>
      <c r="D1083">
        <v>3</v>
      </c>
      <c r="E1083">
        <v>84965</v>
      </c>
      <c r="F1083">
        <f>messy_order_items_csv[[#This Row],[unit_price]]*messy_order_items_csv[[#This Row],[quantity]]</f>
        <v>254895</v>
      </c>
    </row>
    <row r="1084" spans="1:6" x14ac:dyDescent="0.3">
      <c r="A1084">
        <v>1083</v>
      </c>
      <c r="B1084" t="s">
        <v>1876</v>
      </c>
      <c r="C1084" t="s">
        <v>2241</v>
      </c>
      <c r="D1084">
        <v>3</v>
      </c>
      <c r="E1084">
        <v>27157</v>
      </c>
      <c r="F1084">
        <f>messy_order_items_csv[[#This Row],[unit_price]]*messy_order_items_csv[[#This Row],[quantity]]</f>
        <v>81471</v>
      </c>
    </row>
    <row r="1085" spans="1:6" x14ac:dyDescent="0.3">
      <c r="A1085">
        <v>1084</v>
      </c>
      <c r="B1085" t="s">
        <v>1742</v>
      </c>
      <c r="C1085" t="s">
        <v>2206</v>
      </c>
      <c r="D1085">
        <v>3</v>
      </c>
      <c r="E1085">
        <v>15249</v>
      </c>
      <c r="F1085">
        <f>messy_order_items_csv[[#This Row],[unit_price]]*messy_order_items_csv[[#This Row],[quantity]]</f>
        <v>45747</v>
      </c>
    </row>
    <row r="1086" spans="1:6" x14ac:dyDescent="0.3">
      <c r="A1086">
        <v>1085</v>
      </c>
      <c r="B1086" t="s">
        <v>1811</v>
      </c>
      <c r="C1086" t="s">
        <v>2246</v>
      </c>
      <c r="D1086">
        <v>4</v>
      </c>
      <c r="E1086">
        <v>2571</v>
      </c>
      <c r="F1086">
        <f>messy_order_items_csv[[#This Row],[unit_price]]*messy_order_items_csv[[#This Row],[quantity]]</f>
        <v>10284</v>
      </c>
    </row>
    <row r="1087" spans="1:6" x14ac:dyDescent="0.3">
      <c r="A1087">
        <v>1086</v>
      </c>
      <c r="B1087" t="s">
        <v>1609</v>
      </c>
      <c r="C1087" t="s">
        <v>2196</v>
      </c>
      <c r="E1087">
        <v>31497</v>
      </c>
      <c r="F1087">
        <f>messy_order_items_csv[[#This Row],[unit_price]]*messy_order_items_csv[[#This Row],[quantity]]</f>
        <v>0</v>
      </c>
    </row>
    <row r="1088" spans="1:6" x14ac:dyDescent="0.3">
      <c r="A1088">
        <v>1087</v>
      </c>
      <c r="B1088" t="s">
        <v>1091</v>
      </c>
      <c r="C1088" t="s">
        <v>2202</v>
      </c>
      <c r="E1088">
        <v>31497</v>
      </c>
      <c r="F1088">
        <f>messy_order_items_csv[[#This Row],[unit_price]]*messy_order_items_csv[[#This Row],[quantity]]</f>
        <v>0</v>
      </c>
    </row>
    <row r="1089" spans="1:6" x14ac:dyDescent="0.3">
      <c r="A1089">
        <v>1088</v>
      </c>
      <c r="B1089" t="s">
        <v>1243</v>
      </c>
      <c r="C1089" t="s">
        <v>2261</v>
      </c>
      <c r="D1089">
        <v>2</v>
      </c>
      <c r="E1089">
        <v>29779</v>
      </c>
      <c r="F1089">
        <f>messy_order_items_csv[[#This Row],[unit_price]]*messy_order_items_csv[[#This Row],[quantity]]</f>
        <v>59558</v>
      </c>
    </row>
    <row r="1090" spans="1:6" x14ac:dyDescent="0.3">
      <c r="A1090">
        <v>1089</v>
      </c>
      <c r="B1090" t="s">
        <v>1230</v>
      </c>
      <c r="C1090" t="s">
        <v>2261</v>
      </c>
      <c r="D1090">
        <v>0</v>
      </c>
      <c r="E1090">
        <v>31497</v>
      </c>
      <c r="F1090">
        <f>messy_order_items_csv[[#This Row],[unit_price]]*messy_order_items_csv[[#This Row],[quantity]]</f>
        <v>0</v>
      </c>
    </row>
    <row r="1091" spans="1:6" x14ac:dyDescent="0.3">
      <c r="A1091">
        <v>1090</v>
      </c>
      <c r="B1091" t="s">
        <v>1988</v>
      </c>
      <c r="C1091" t="s">
        <v>2237</v>
      </c>
      <c r="D1091">
        <v>4</v>
      </c>
      <c r="E1091">
        <v>61022</v>
      </c>
      <c r="F1091">
        <f>messy_order_items_csv[[#This Row],[unit_price]]*messy_order_items_csv[[#This Row],[quantity]]</f>
        <v>244088</v>
      </c>
    </row>
    <row r="1092" spans="1:6" x14ac:dyDescent="0.3">
      <c r="A1092">
        <v>1091</v>
      </c>
      <c r="B1092" t="s">
        <v>2164</v>
      </c>
      <c r="C1092" t="s">
        <v>2260</v>
      </c>
      <c r="D1092">
        <v>4</v>
      </c>
      <c r="E1092">
        <v>31497</v>
      </c>
      <c r="F1092">
        <f>messy_order_items_csv[[#This Row],[unit_price]]*messy_order_items_csv[[#This Row],[quantity]]</f>
        <v>125988</v>
      </c>
    </row>
    <row r="1093" spans="1:6" x14ac:dyDescent="0.3">
      <c r="A1093">
        <v>1092</v>
      </c>
      <c r="B1093" t="s">
        <v>1057</v>
      </c>
      <c r="C1093" t="s">
        <v>2203</v>
      </c>
      <c r="D1093">
        <v>2</v>
      </c>
      <c r="E1093">
        <v>76755</v>
      </c>
      <c r="F1093">
        <f>messy_order_items_csv[[#This Row],[unit_price]]*messy_order_items_csv[[#This Row],[quantity]]</f>
        <v>153510</v>
      </c>
    </row>
    <row r="1094" spans="1:6" x14ac:dyDescent="0.3">
      <c r="A1094">
        <v>1093</v>
      </c>
      <c r="B1094" t="s">
        <v>1721</v>
      </c>
      <c r="C1094" t="s">
        <v>2253</v>
      </c>
      <c r="E1094">
        <v>69940</v>
      </c>
      <c r="F1094">
        <f>messy_order_items_csv[[#This Row],[unit_price]]*messy_order_items_csv[[#This Row],[quantity]]</f>
        <v>0</v>
      </c>
    </row>
    <row r="1095" spans="1:6" x14ac:dyDescent="0.3">
      <c r="A1095">
        <v>1094</v>
      </c>
      <c r="B1095" t="s">
        <v>1549</v>
      </c>
      <c r="C1095" t="s">
        <v>2272</v>
      </c>
      <c r="D1095">
        <v>2</v>
      </c>
      <c r="E1095">
        <v>43027</v>
      </c>
      <c r="F1095">
        <f>messy_order_items_csv[[#This Row],[unit_price]]*messy_order_items_csv[[#This Row],[quantity]]</f>
        <v>86054</v>
      </c>
    </row>
    <row r="1096" spans="1:6" x14ac:dyDescent="0.3">
      <c r="A1096">
        <v>1095</v>
      </c>
      <c r="B1096" t="s">
        <v>1194</v>
      </c>
      <c r="C1096" t="s">
        <v>2226</v>
      </c>
      <c r="D1096">
        <v>0</v>
      </c>
      <c r="E1096">
        <v>26361</v>
      </c>
      <c r="F1096">
        <f>messy_order_items_csv[[#This Row],[unit_price]]*messy_order_items_csv[[#This Row],[quantity]]</f>
        <v>0</v>
      </c>
    </row>
    <row r="1097" spans="1:6" x14ac:dyDescent="0.3">
      <c r="A1097">
        <v>1096</v>
      </c>
      <c r="B1097" t="s">
        <v>1983</v>
      </c>
      <c r="C1097" t="s">
        <v>2205</v>
      </c>
      <c r="D1097">
        <v>1</v>
      </c>
      <c r="E1097">
        <v>76911</v>
      </c>
      <c r="F1097">
        <f>messy_order_items_csv[[#This Row],[unit_price]]*messy_order_items_csv[[#This Row],[quantity]]</f>
        <v>76911</v>
      </c>
    </row>
    <row r="1098" spans="1:6" x14ac:dyDescent="0.3">
      <c r="A1098">
        <v>1097</v>
      </c>
      <c r="B1098" t="s">
        <v>1514</v>
      </c>
      <c r="C1098" t="s">
        <v>2229</v>
      </c>
      <c r="D1098">
        <v>1</v>
      </c>
      <c r="E1098">
        <v>47676</v>
      </c>
      <c r="F1098">
        <f>messy_order_items_csv[[#This Row],[unit_price]]*messy_order_items_csv[[#This Row],[quantity]]</f>
        <v>47676</v>
      </c>
    </row>
    <row r="1099" spans="1:6" x14ac:dyDescent="0.3">
      <c r="A1099">
        <v>1098</v>
      </c>
      <c r="B1099" t="s">
        <v>1529</v>
      </c>
      <c r="C1099" t="s">
        <v>2260</v>
      </c>
      <c r="D1099">
        <v>1</v>
      </c>
      <c r="E1099">
        <v>31497</v>
      </c>
      <c r="F1099">
        <f>messy_order_items_csv[[#This Row],[unit_price]]*messy_order_items_csv[[#This Row],[quantity]]</f>
        <v>31497</v>
      </c>
    </row>
    <row r="1100" spans="1:6" x14ac:dyDescent="0.3">
      <c r="A1100">
        <v>1099</v>
      </c>
      <c r="B1100" t="s">
        <v>1283</v>
      </c>
      <c r="C1100" t="s">
        <v>2262</v>
      </c>
      <c r="D1100">
        <v>1</v>
      </c>
      <c r="E1100">
        <v>32522</v>
      </c>
      <c r="F1100">
        <f>messy_order_items_csv[[#This Row],[unit_price]]*messy_order_items_csv[[#This Row],[quantity]]</f>
        <v>32522</v>
      </c>
    </row>
    <row r="1101" spans="1:6" x14ac:dyDescent="0.3">
      <c r="A1101">
        <v>1100</v>
      </c>
      <c r="B1101" t="s">
        <v>1526</v>
      </c>
      <c r="C1101" t="s">
        <v>2195</v>
      </c>
      <c r="D1101">
        <v>0</v>
      </c>
      <c r="E1101">
        <v>4232</v>
      </c>
      <c r="F1101">
        <f>messy_order_items_csv[[#This Row],[unit_price]]*messy_order_items_csv[[#This Row],[quantity]]</f>
        <v>0</v>
      </c>
    </row>
    <row r="1102" spans="1:6" x14ac:dyDescent="0.3">
      <c r="A1102">
        <v>1101</v>
      </c>
      <c r="B1102" t="s">
        <v>1094</v>
      </c>
      <c r="C1102" t="s">
        <v>2195</v>
      </c>
      <c r="D1102">
        <v>0</v>
      </c>
      <c r="E1102">
        <v>58232</v>
      </c>
      <c r="F1102">
        <f>messy_order_items_csv[[#This Row],[unit_price]]*messy_order_items_csv[[#This Row],[quantity]]</f>
        <v>0</v>
      </c>
    </row>
    <row r="1103" spans="1:6" x14ac:dyDescent="0.3">
      <c r="A1103">
        <v>1102</v>
      </c>
      <c r="B1103" t="s">
        <v>1008</v>
      </c>
      <c r="C1103" t="s">
        <v>2272</v>
      </c>
      <c r="E1103">
        <v>43027</v>
      </c>
      <c r="F1103">
        <f>messy_order_items_csv[[#This Row],[unit_price]]*messy_order_items_csv[[#This Row],[quantity]]</f>
        <v>0</v>
      </c>
    </row>
    <row r="1104" spans="1:6" x14ac:dyDescent="0.3">
      <c r="A1104">
        <v>1103</v>
      </c>
      <c r="B1104" t="s">
        <v>1455</v>
      </c>
      <c r="C1104" t="s">
        <v>2266</v>
      </c>
      <c r="D1104">
        <v>4</v>
      </c>
      <c r="E1104">
        <v>12806</v>
      </c>
      <c r="F1104">
        <f>messy_order_items_csv[[#This Row],[unit_price]]*messy_order_items_csv[[#This Row],[quantity]]</f>
        <v>51224</v>
      </c>
    </row>
    <row r="1105" spans="1:6" x14ac:dyDescent="0.3">
      <c r="A1105">
        <v>1104</v>
      </c>
      <c r="B1105" t="s">
        <v>1043</v>
      </c>
      <c r="C1105" t="s">
        <v>2230</v>
      </c>
      <c r="D1105">
        <v>1</v>
      </c>
      <c r="E1105">
        <v>53317</v>
      </c>
      <c r="F1105">
        <f>messy_order_items_csv[[#This Row],[unit_price]]*messy_order_items_csv[[#This Row],[quantity]]</f>
        <v>53317</v>
      </c>
    </row>
    <row r="1106" spans="1:6" x14ac:dyDescent="0.3">
      <c r="A1106">
        <v>1105</v>
      </c>
      <c r="B1106" t="s">
        <v>1333</v>
      </c>
      <c r="C1106" t="s">
        <v>2262</v>
      </c>
      <c r="D1106">
        <v>0</v>
      </c>
      <c r="E1106">
        <v>2530</v>
      </c>
      <c r="F1106">
        <f>messy_order_items_csv[[#This Row],[unit_price]]*messy_order_items_csv[[#This Row],[quantity]]</f>
        <v>0</v>
      </c>
    </row>
    <row r="1107" spans="1:6" x14ac:dyDescent="0.3">
      <c r="A1107">
        <v>1106</v>
      </c>
      <c r="B1107" t="s">
        <v>1467</v>
      </c>
      <c r="C1107" t="s">
        <v>2250</v>
      </c>
      <c r="D1107">
        <v>0</v>
      </c>
      <c r="E1107">
        <v>31497</v>
      </c>
      <c r="F1107">
        <f>messy_order_items_csv[[#This Row],[unit_price]]*messy_order_items_csv[[#This Row],[quantity]]</f>
        <v>0</v>
      </c>
    </row>
    <row r="1108" spans="1:6" x14ac:dyDescent="0.3">
      <c r="A1108">
        <v>1107</v>
      </c>
      <c r="B1108" t="s">
        <v>1022</v>
      </c>
      <c r="C1108" t="s">
        <v>2249</v>
      </c>
      <c r="D1108">
        <v>2</v>
      </c>
      <c r="E1108">
        <v>31497</v>
      </c>
      <c r="F1108">
        <f>messy_order_items_csv[[#This Row],[unit_price]]*messy_order_items_csv[[#This Row],[quantity]]</f>
        <v>62994</v>
      </c>
    </row>
    <row r="1109" spans="1:6" x14ac:dyDescent="0.3">
      <c r="A1109">
        <v>1108</v>
      </c>
      <c r="B1109" t="s">
        <v>1317</v>
      </c>
      <c r="C1109" t="s">
        <v>2200</v>
      </c>
      <c r="D1109">
        <v>3</v>
      </c>
      <c r="E1109">
        <v>31497</v>
      </c>
      <c r="F1109">
        <f>messy_order_items_csv[[#This Row],[unit_price]]*messy_order_items_csv[[#This Row],[quantity]]</f>
        <v>94491</v>
      </c>
    </row>
    <row r="1110" spans="1:6" x14ac:dyDescent="0.3">
      <c r="A1110">
        <v>1109</v>
      </c>
      <c r="B1110" t="s">
        <v>1012</v>
      </c>
      <c r="C1110" t="s">
        <v>2251</v>
      </c>
      <c r="D1110">
        <v>1</v>
      </c>
      <c r="E1110">
        <v>14054</v>
      </c>
      <c r="F1110">
        <f>messy_order_items_csv[[#This Row],[unit_price]]*messy_order_items_csv[[#This Row],[quantity]]</f>
        <v>14054</v>
      </c>
    </row>
    <row r="1111" spans="1:6" x14ac:dyDescent="0.3">
      <c r="A1111">
        <v>1110</v>
      </c>
      <c r="B1111" t="s">
        <v>1619</v>
      </c>
      <c r="C1111" t="s">
        <v>2249</v>
      </c>
      <c r="D1111">
        <v>1</v>
      </c>
      <c r="E1111">
        <v>80319</v>
      </c>
      <c r="F1111">
        <f>messy_order_items_csv[[#This Row],[unit_price]]*messy_order_items_csv[[#This Row],[quantity]]</f>
        <v>80319</v>
      </c>
    </row>
    <row r="1112" spans="1:6" x14ac:dyDescent="0.3">
      <c r="A1112">
        <v>1111</v>
      </c>
      <c r="B1112" t="s">
        <v>2083</v>
      </c>
      <c r="C1112" t="s">
        <v>2271</v>
      </c>
      <c r="D1112">
        <v>1</v>
      </c>
      <c r="E1112">
        <v>25734</v>
      </c>
      <c r="F1112">
        <f>messy_order_items_csv[[#This Row],[unit_price]]*messy_order_items_csv[[#This Row],[quantity]]</f>
        <v>25734</v>
      </c>
    </row>
    <row r="1113" spans="1:6" x14ac:dyDescent="0.3">
      <c r="A1113">
        <v>1112</v>
      </c>
      <c r="B1113" t="s">
        <v>1719</v>
      </c>
      <c r="C1113" t="s">
        <v>2257</v>
      </c>
      <c r="D1113">
        <v>2</v>
      </c>
      <c r="E1113">
        <v>31497</v>
      </c>
      <c r="F1113">
        <f>messy_order_items_csv[[#This Row],[unit_price]]*messy_order_items_csv[[#This Row],[quantity]]</f>
        <v>62994</v>
      </c>
    </row>
    <row r="1114" spans="1:6" x14ac:dyDescent="0.3">
      <c r="A1114">
        <v>1113</v>
      </c>
      <c r="B1114" t="s">
        <v>1669</v>
      </c>
      <c r="C1114" t="s">
        <v>2239</v>
      </c>
      <c r="E1114">
        <v>52963</v>
      </c>
      <c r="F1114">
        <f>messy_order_items_csv[[#This Row],[unit_price]]*messy_order_items_csv[[#This Row],[quantity]]</f>
        <v>0</v>
      </c>
    </row>
    <row r="1115" spans="1:6" x14ac:dyDescent="0.3">
      <c r="A1115">
        <v>1114</v>
      </c>
      <c r="B1115" t="s">
        <v>2162</v>
      </c>
      <c r="C1115" t="s">
        <v>2200</v>
      </c>
      <c r="E1115">
        <v>31497</v>
      </c>
      <c r="F1115">
        <f>messy_order_items_csv[[#This Row],[unit_price]]*messy_order_items_csv[[#This Row],[quantity]]</f>
        <v>0</v>
      </c>
    </row>
    <row r="1116" spans="1:6" x14ac:dyDescent="0.3">
      <c r="A1116">
        <v>1115</v>
      </c>
      <c r="B1116" t="s">
        <v>1380</v>
      </c>
      <c r="C1116" t="s">
        <v>2195</v>
      </c>
      <c r="D1116">
        <v>2</v>
      </c>
      <c r="E1116">
        <v>44741</v>
      </c>
      <c r="F1116">
        <f>messy_order_items_csv[[#This Row],[unit_price]]*messy_order_items_csv[[#This Row],[quantity]]</f>
        <v>89482</v>
      </c>
    </row>
    <row r="1117" spans="1:6" x14ac:dyDescent="0.3">
      <c r="A1117">
        <v>1116</v>
      </c>
      <c r="B1117" t="s">
        <v>1282</v>
      </c>
      <c r="C1117" t="s">
        <v>2222</v>
      </c>
      <c r="D1117">
        <v>4</v>
      </c>
      <c r="E1117">
        <v>34450</v>
      </c>
      <c r="F1117">
        <f>messy_order_items_csv[[#This Row],[unit_price]]*messy_order_items_csv[[#This Row],[quantity]]</f>
        <v>137800</v>
      </c>
    </row>
    <row r="1118" spans="1:6" x14ac:dyDescent="0.3">
      <c r="A1118">
        <v>1117</v>
      </c>
      <c r="B1118" t="s">
        <v>1310</v>
      </c>
      <c r="C1118" t="s">
        <v>2217</v>
      </c>
      <c r="D1118">
        <v>1</v>
      </c>
      <c r="E1118">
        <v>75716</v>
      </c>
      <c r="F1118">
        <f>messy_order_items_csv[[#This Row],[unit_price]]*messy_order_items_csv[[#This Row],[quantity]]</f>
        <v>75716</v>
      </c>
    </row>
    <row r="1119" spans="1:6" x14ac:dyDescent="0.3">
      <c r="A1119">
        <v>1118</v>
      </c>
      <c r="B1119" t="s">
        <v>1480</v>
      </c>
      <c r="C1119" t="s">
        <v>2200</v>
      </c>
      <c r="D1119">
        <v>4</v>
      </c>
      <c r="E1119">
        <v>48471</v>
      </c>
      <c r="F1119">
        <f>messy_order_items_csv[[#This Row],[unit_price]]*messy_order_items_csv[[#This Row],[quantity]]</f>
        <v>193884</v>
      </c>
    </row>
    <row r="1120" spans="1:6" x14ac:dyDescent="0.3">
      <c r="A1120">
        <v>1119</v>
      </c>
      <c r="B1120" t="s">
        <v>1817</v>
      </c>
      <c r="C1120" t="s">
        <v>2266</v>
      </c>
      <c r="D1120">
        <v>0</v>
      </c>
      <c r="E1120">
        <v>59778</v>
      </c>
      <c r="F1120">
        <f>messy_order_items_csv[[#This Row],[unit_price]]*messy_order_items_csv[[#This Row],[quantity]]</f>
        <v>0</v>
      </c>
    </row>
    <row r="1121" spans="1:6" x14ac:dyDescent="0.3">
      <c r="A1121">
        <v>1120</v>
      </c>
      <c r="B1121" t="s">
        <v>1698</v>
      </c>
      <c r="C1121" t="s">
        <v>2236</v>
      </c>
      <c r="D1121">
        <v>1</v>
      </c>
      <c r="E1121">
        <v>74948</v>
      </c>
      <c r="F1121">
        <f>messy_order_items_csv[[#This Row],[unit_price]]*messy_order_items_csv[[#This Row],[quantity]]</f>
        <v>74948</v>
      </c>
    </row>
    <row r="1122" spans="1:6" x14ac:dyDescent="0.3">
      <c r="A1122">
        <v>1121</v>
      </c>
      <c r="B1122" t="s">
        <v>1050</v>
      </c>
      <c r="C1122" t="s">
        <v>2231</v>
      </c>
      <c r="D1122">
        <v>1</v>
      </c>
      <c r="E1122">
        <v>53586</v>
      </c>
      <c r="F1122">
        <f>messy_order_items_csv[[#This Row],[unit_price]]*messy_order_items_csv[[#This Row],[quantity]]</f>
        <v>53586</v>
      </c>
    </row>
    <row r="1123" spans="1:6" x14ac:dyDescent="0.3">
      <c r="A1123">
        <v>1122</v>
      </c>
      <c r="B1123" t="s">
        <v>1288</v>
      </c>
      <c r="C1123" t="s">
        <v>2263</v>
      </c>
      <c r="D1123">
        <v>4</v>
      </c>
      <c r="E1123">
        <v>31497</v>
      </c>
      <c r="F1123">
        <f>messy_order_items_csv[[#This Row],[unit_price]]*messy_order_items_csv[[#This Row],[quantity]]</f>
        <v>125988</v>
      </c>
    </row>
    <row r="1124" spans="1:6" x14ac:dyDescent="0.3">
      <c r="A1124">
        <v>1123</v>
      </c>
      <c r="B1124" t="s">
        <v>1822</v>
      </c>
      <c r="C1124" t="s">
        <v>2272</v>
      </c>
      <c r="D1124">
        <v>3</v>
      </c>
      <c r="E1124">
        <v>43027</v>
      </c>
      <c r="F1124">
        <f>messy_order_items_csv[[#This Row],[unit_price]]*messy_order_items_csv[[#This Row],[quantity]]</f>
        <v>129081</v>
      </c>
    </row>
    <row r="1125" spans="1:6" x14ac:dyDescent="0.3">
      <c r="A1125">
        <v>1124</v>
      </c>
      <c r="B1125" t="s">
        <v>1713</v>
      </c>
      <c r="C1125" t="s">
        <v>2272</v>
      </c>
      <c r="E1125">
        <v>43027</v>
      </c>
      <c r="F1125">
        <f>messy_order_items_csv[[#This Row],[unit_price]]*messy_order_items_csv[[#This Row],[quantity]]</f>
        <v>0</v>
      </c>
    </row>
    <row r="1126" spans="1:6" x14ac:dyDescent="0.3">
      <c r="A1126">
        <v>1125</v>
      </c>
      <c r="B1126" t="s">
        <v>1863</v>
      </c>
      <c r="C1126" t="s">
        <v>2221</v>
      </c>
      <c r="D1126">
        <v>3</v>
      </c>
      <c r="E1126">
        <v>55180</v>
      </c>
      <c r="F1126">
        <f>messy_order_items_csv[[#This Row],[unit_price]]*messy_order_items_csv[[#This Row],[quantity]]</f>
        <v>165540</v>
      </c>
    </row>
    <row r="1127" spans="1:6" x14ac:dyDescent="0.3">
      <c r="A1127">
        <v>1126</v>
      </c>
      <c r="B1127" t="s">
        <v>1748</v>
      </c>
      <c r="C1127" t="s">
        <v>2242</v>
      </c>
      <c r="D1127">
        <v>1</v>
      </c>
      <c r="E1127">
        <v>31497</v>
      </c>
      <c r="F1127">
        <f>messy_order_items_csv[[#This Row],[unit_price]]*messy_order_items_csv[[#This Row],[quantity]]</f>
        <v>31497</v>
      </c>
    </row>
    <row r="1128" spans="1:6" x14ac:dyDescent="0.3">
      <c r="A1128">
        <v>1127</v>
      </c>
      <c r="B1128" t="s">
        <v>1762</v>
      </c>
      <c r="C1128" t="s">
        <v>2230</v>
      </c>
      <c r="E1128">
        <v>31497</v>
      </c>
      <c r="F1128">
        <f>messy_order_items_csv[[#This Row],[unit_price]]*messy_order_items_csv[[#This Row],[quantity]]</f>
        <v>0</v>
      </c>
    </row>
    <row r="1129" spans="1:6" x14ac:dyDescent="0.3">
      <c r="A1129">
        <v>1128</v>
      </c>
      <c r="B1129" t="s">
        <v>2048</v>
      </c>
      <c r="C1129" t="s">
        <v>2241</v>
      </c>
      <c r="D1129">
        <v>2</v>
      </c>
      <c r="E1129">
        <v>27157</v>
      </c>
      <c r="F1129">
        <f>messy_order_items_csv[[#This Row],[unit_price]]*messy_order_items_csv[[#This Row],[quantity]]</f>
        <v>54314</v>
      </c>
    </row>
    <row r="1130" spans="1:6" x14ac:dyDescent="0.3">
      <c r="A1130">
        <v>1129</v>
      </c>
      <c r="B1130" t="s">
        <v>1877</v>
      </c>
      <c r="C1130" t="s">
        <v>2243</v>
      </c>
      <c r="D1130">
        <v>3</v>
      </c>
      <c r="E1130">
        <v>8864</v>
      </c>
      <c r="F1130">
        <f>messy_order_items_csv[[#This Row],[unit_price]]*messy_order_items_csv[[#This Row],[quantity]]</f>
        <v>26592</v>
      </c>
    </row>
    <row r="1131" spans="1:6" x14ac:dyDescent="0.3">
      <c r="A1131">
        <v>1130</v>
      </c>
      <c r="B1131" t="s">
        <v>1080</v>
      </c>
      <c r="C1131" t="s">
        <v>2217</v>
      </c>
      <c r="E1131">
        <v>44051</v>
      </c>
      <c r="F1131">
        <f>messy_order_items_csv[[#This Row],[unit_price]]*messy_order_items_csv[[#This Row],[quantity]]</f>
        <v>0</v>
      </c>
    </row>
    <row r="1132" spans="1:6" x14ac:dyDescent="0.3">
      <c r="A1132">
        <v>1131</v>
      </c>
      <c r="B1132" t="s">
        <v>1546</v>
      </c>
      <c r="C1132" t="s">
        <v>2202</v>
      </c>
      <c r="D1132">
        <v>3</v>
      </c>
      <c r="E1132">
        <v>31497</v>
      </c>
      <c r="F1132">
        <f>messy_order_items_csv[[#This Row],[unit_price]]*messy_order_items_csv[[#This Row],[quantity]]</f>
        <v>94491</v>
      </c>
    </row>
    <row r="1133" spans="1:6" x14ac:dyDescent="0.3">
      <c r="A1133">
        <v>1132</v>
      </c>
      <c r="B1133" t="s">
        <v>1238</v>
      </c>
      <c r="C1133" t="s">
        <v>2221</v>
      </c>
      <c r="D1133">
        <v>4</v>
      </c>
      <c r="E1133">
        <v>31497</v>
      </c>
      <c r="F1133">
        <f>messy_order_items_csv[[#This Row],[unit_price]]*messy_order_items_csv[[#This Row],[quantity]]</f>
        <v>125988</v>
      </c>
    </row>
    <row r="1134" spans="1:6" x14ac:dyDescent="0.3">
      <c r="A1134">
        <v>1133</v>
      </c>
      <c r="B1134" t="s">
        <v>2019</v>
      </c>
      <c r="C1134" t="s">
        <v>2195</v>
      </c>
      <c r="D1134">
        <v>3</v>
      </c>
      <c r="E1134">
        <v>54325</v>
      </c>
      <c r="F1134">
        <f>messy_order_items_csv[[#This Row],[unit_price]]*messy_order_items_csv[[#This Row],[quantity]]</f>
        <v>162975</v>
      </c>
    </row>
    <row r="1135" spans="1:6" x14ac:dyDescent="0.3">
      <c r="A1135">
        <v>1134</v>
      </c>
      <c r="B1135" t="s">
        <v>1323</v>
      </c>
      <c r="C1135" t="s">
        <v>2235</v>
      </c>
      <c r="D1135">
        <v>2</v>
      </c>
      <c r="E1135">
        <v>31497</v>
      </c>
      <c r="F1135">
        <f>messy_order_items_csv[[#This Row],[unit_price]]*messy_order_items_csv[[#This Row],[quantity]]</f>
        <v>62994</v>
      </c>
    </row>
    <row r="1136" spans="1:6" x14ac:dyDescent="0.3">
      <c r="A1136">
        <v>1135</v>
      </c>
      <c r="B1136" t="s">
        <v>1217</v>
      </c>
      <c r="C1136" t="s">
        <v>2217</v>
      </c>
      <c r="D1136">
        <v>3</v>
      </c>
      <c r="E1136">
        <v>65476</v>
      </c>
      <c r="F1136">
        <f>messy_order_items_csv[[#This Row],[unit_price]]*messy_order_items_csv[[#This Row],[quantity]]</f>
        <v>196428</v>
      </c>
    </row>
    <row r="1137" spans="1:6" x14ac:dyDescent="0.3">
      <c r="A1137">
        <v>1136</v>
      </c>
      <c r="B1137" t="s">
        <v>2122</v>
      </c>
      <c r="C1137" t="s">
        <v>2255</v>
      </c>
      <c r="D1137">
        <v>1</v>
      </c>
      <c r="E1137">
        <v>81129</v>
      </c>
      <c r="F1137">
        <f>messy_order_items_csv[[#This Row],[unit_price]]*messy_order_items_csv[[#This Row],[quantity]]</f>
        <v>81129</v>
      </c>
    </row>
    <row r="1138" spans="1:6" x14ac:dyDescent="0.3">
      <c r="A1138">
        <v>1137</v>
      </c>
      <c r="B1138" t="s">
        <v>2114</v>
      </c>
      <c r="C1138" t="s">
        <v>2239</v>
      </c>
      <c r="D1138">
        <v>0</v>
      </c>
      <c r="E1138">
        <v>68660</v>
      </c>
      <c r="F1138">
        <f>messy_order_items_csv[[#This Row],[unit_price]]*messy_order_items_csv[[#This Row],[quantity]]</f>
        <v>0</v>
      </c>
    </row>
    <row r="1139" spans="1:6" x14ac:dyDescent="0.3">
      <c r="A1139">
        <v>1138</v>
      </c>
      <c r="B1139" t="s">
        <v>1513</v>
      </c>
      <c r="C1139" t="s">
        <v>2242</v>
      </c>
      <c r="D1139">
        <v>0</v>
      </c>
      <c r="E1139">
        <v>79384</v>
      </c>
      <c r="F1139">
        <f>messy_order_items_csv[[#This Row],[unit_price]]*messy_order_items_csv[[#This Row],[quantity]]</f>
        <v>0</v>
      </c>
    </row>
    <row r="1140" spans="1:6" x14ac:dyDescent="0.3">
      <c r="A1140">
        <v>1139</v>
      </c>
      <c r="B1140" t="s">
        <v>1335</v>
      </c>
      <c r="C1140" t="s">
        <v>2207</v>
      </c>
      <c r="D1140">
        <v>4</v>
      </c>
      <c r="E1140">
        <v>31497</v>
      </c>
      <c r="F1140">
        <f>messy_order_items_csv[[#This Row],[unit_price]]*messy_order_items_csv[[#This Row],[quantity]]</f>
        <v>125988</v>
      </c>
    </row>
    <row r="1141" spans="1:6" x14ac:dyDescent="0.3">
      <c r="A1141">
        <v>1140</v>
      </c>
      <c r="B1141" t="s">
        <v>1182</v>
      </c>
      <c r="C1141" t="s">
        <v>2195</v>
      </c>
      <c r="D1141">
        <v>3</v>
      </c>
      <c r="E1141">
        <v>47453</v>
      </c>
      <c r="F1141">
        <f>messy_order_items_csv[[#This Row],[unit_price]]*messy_order_items_csv[[#This Row],[quantity]]</f>
        <v>142359</v>
      </c>
    </row>
    <row r="1142" spans="1:6" x14ac:dyDescent="0.3">
      <c r="A1142">
        <v>1141</v>
      </c>
      <c r="B1142" t="s">
        <v>1963</v>
      </c>
      <c r="C1142" t="s">
        <v>2249</v>
      </c>
      <c r="D1142">
        <v>1</v>
      </c>
      <c r="E1142">
        <v>31497</v>
      </c>
      <c r="F1142">
        <f>messy_order_items_csv[[#This Row],[unit_price]]*messy_order_items_csv[[#This Row],[quantity]]</f>
        <v>31497</v>
      </c>
    </row>
    <row r="1143" spans="1:6" x14ac:dyDescent="0.3">
      <c r="A1143">
        <v>1142</v>
      </c>
      <c r="B1143" t="s">
        <v>1328</v>
      </c>
      <c r="C1143" t="s">
        <v>2238</v>
      </c>
      <c r="D1143">
        <v>4</v>
      </c>
      <c r="E1143">
        <v>77306</v>
      </c>
      <c r="F1143">
        <f>messy_order_items_csv[[#This Row],[unit_price]]*messy_order_items_csv[[#This Row],[quantity]]</f>
        <v>309224</v>
      </c>
    </row>
    <row r="1144" spans="1:6" x14ac:dyDescent="0.3">
      <c r="A1144">
        <v>1143</v>
      </c>
      <c r="B1144" t="s">
        <v>1149</v>
      </c>
      <c r="C1144" t="s">
        <v>2247</v>
      </c>
      <c r="D1144">
        <v>3</v>
      </c>
      <c r="E1144">
        <v>42452</v>
      </c>
      <c r="F1144">
        <f>messy_order_items_csv[[#This Row],[unit_price]]*messy_order_items_csv[[#This Row],[quantity]]</f>
        <v>127356</v>
      </c>
    </row>
    <row r="1145" spans="1:6" x14ac:dyDescent="0.3">
      <c r="A1145">
        <v>1144</v>
      </c>
      <c r="B1145" t="s">
        <v>1589</v>
      </c>
      <c r="C1145" t="s">
        <v>2227</v>
      </c>
      <c r="D1145">
        <v>3</v>
      </c>
      <c r="E1145">
        <v>31497</v>
      </c>
      <c r="F1145">
        <f>messy_order_items_csv[[#This Row],[unit_price]]*messy_order_items_csv[[#This Row],[quantity]]</f>
        <v>94491</v>
      </c>
    </row>
    <row r="1146" spans="1:6" x14ac:dyDescent="0.3">
      <c r="A1146">
        <v>1145</v>
      </c>
      <c r="B1146" t="s">
        <v>1989</v>
      </c>
      <c r="C1146" t="s">
        <v>2241</v>
      </c>
      <c r="D1146">
        <v>3</v>
      </c>
      <c r="E1146">
        <v>89980</v>
      </c>
      <c r="F1146">
        <f>messy_order_items_csv[[#This Row],[unit_price]]*messy_order_items_csv[[#This Row],[quantity]]</f>
        <v>269940</v>
      </c>
    </row>
    <row r="1147" spans="1:6" x14ac:dyDescent="0.3">
      <c r="A1147">
        <v>1146</v>
      </c>
      <c r="B1147" t="s">
        <v>1145</v>
      </c>
      <c r="C1147" t="s">
        <v>2220</v>
      </c>
      <c r="D1147">
        <v>2</v>
      </c>
      <c r="E1147">
        <v>5475</v>
      </c>
      <c r="F1147">
        <f>messy_order_items_csv[[#This Row],[unit_price]]*messy_order_items_csv[[#This Row],[quantity]]</f>
        <v>10950</v>
      </c>
    </row>
    <row r="1148" spans="1:6" x14ac:dyDescent="0.3">
      <c r="A1148">
        <v>1147</v>
      </c>
      <c r="B1148" t="s">
        <v>1630</v>
      </c>
      <c r="C1148" t="s">
        <v>2197</v>
      </c>
      <c r="D1148">
        <v>4</v>
      </c>
      <c r="E1148">
        <v>31497</v>
      </c>
      <c r="F1148">
        <f>messy_order_items_csv[[#This Row],[unit_price]]*messy_order_items_csv[[#This Row],[quantity]]</f>
        <v>125988</v>
      </c>
    </row>
    <row r="1149" spans="1:6" x14ac:dyDescent="0.3">
      <c r="A1149">
        <v>1148</v>
      </c>
      <c r="B1149" t="s">
        <v>2080</v>
      </c>
      <c r="C1149" t="s">
        <v>2252</v>
      </c>
      <c r="D1149">
        <v>1</v>
      </c>
      <c r="E1149">
        <v>31497</v>
      </c>
      <c r="F1149">
        <f>messy_order_items_csv[[#This Row],[unit_price]]*messy_order_items_csv[[#This Row],[quantity]]</f>
        <v>31497</v>
      </c>
    </row>
    <row r="1150" spans="1:6" x14ac:dyDescent="0.3">
      <c r="A1150">
        <v>1149</v>
      </c>
      <c r="B1150" t="s">
        <v>1574</v>
      </c>
      <c r="C1150" t="s">
        <v>2222</v>
      </c>
      <c r="D1150">
        <v>0</v>
      </c>
      <c r="E1150">
        <v>34450</v>
      </c>
      <c r="F1150">
        <f>messy_order_items_csv[[#This Row],[unit_price]]*messy_order_items_csv[[#This Row],[quantity]]</f>
        <v>0</v>
      </c>
    </row>
    <row r="1151" spans="1:6" x14ac:dyDescent="0.3">
      <c r="A1151">
        <v>1150</v>
      </c>
      <c r="B1151" t="s">
        <v>1860</v>
      </c>
      <c r="C1151" t="s">
        <v>2258</v>
      </c>
      <c r="D1151">
        <v>3</v>
      </c>
      <c r="E1151">
        <v>51735</v>
      </c>
      <c r="F1151">
        <f>messy_order_items_csv[[#This Row],[unit_price]]*messy_order_items_csv[[#This Row],[quantity]]</f>
        <v>155205</v>
      </c>
    </row>
    <row r="1152" spans="1:6" x14ac:dyDescent="0.3">
      <c r="A1152">
        <v>1151</v>
      </c>
      <c r="B1152" t="s">
        <v>1094</v>
      </c>
      <c r="C1152" t="s">
        <v>2267</v>
      </c>
      <c r="D1152">
        <v>1</v>
      </c>
      <c r="E1152">
        <v>20923</v>
      </c>
      <c r="F1152">
        <f>messy_order_items_csv[[#This Row],[unit_price]]*messy_order_items_csv[[#This Row],[quantity]]</f>
        <v>20923</v>
      </c>
    </row>
    <row r="1153" spans="1:6" x14ac:dyDescent="0.3">
      <c r="A1153">
        <v>1152</v>
      </c>
      <c r="B1153" t="s">
        <v>1724</v>
      </c>
      <c r="C1153" t="s">
        <v>2231</v>
      </c>
      <c r="D1153">
        <v>0</v>
      </c>
      <c r="E1153">
        <v>40595</v>
      </c>
      <c r="F1153">
        <f>messy_order_items_csv[[#This Row],[unit_price]]*messy_order_items_csv[[#This Row],[quantity]]</f>
        <v>0</v>
      </c>
    </row>
    <row r="1154" spans="1:6" x14ac:dyDescent="0.3">
      <c r="A1154">
        <v>1153</v>
      </c>
      <c r="B1154" t="s">
        <v>1625</v>
      </c>
      <c r="C1154" t="s">
        <v>2253</v>
      </c>
      <c r="D1154">
        <v>0</v>
      </c>
      <c r="E1154">
        <v>69520</v>
      </c>
      <c r="F1154">
        <f>messy_order_items_csv[[#This Row],[unit_price]]*messy_order_items_csv[[#This Row],[quantity]]</f>
        <v>0</v>
      </c>
    </row>
    <row r="1155" spans="1:6" x14ac:dyDescent="0.3">
      <c r="A1155">
        <v>1154</v>
      </c>
      <c r="B1155" t="s">
        <v>1852</v>
      </c>
      <c r="C1155" t="s">
        <v>2272</v>
      </c>
      <c r="D1155">
        <v>1</v>
      </c>
      <c r="E1155">
        <v>43027</v>
      </c>
      <c r="F1155">
        <f>messy_order_items_csv[[#This Row],[unit_price]]*messy_order_items_csv[[#This Row],[quantity]]</f>
        <v>43027</v>
      </c>
    </row>
    <row r="1156" spans="1:6" x14ac:dyDescent="0.3">
      <c r="A1156">
        <v>1155</v>
      </c>
      <c r="B1156" t="s">
        <v>1318</v>
      </c>
      <c r="C1156" t="s">
        <v>2197</v>
      </c>
      <c r="D1156">
        <v>4</v>
      </c>
      <c r="E1156">
        <v>31497</v>
      </c>
      <c r="F1156">
        <f>messy_order_items_csv[[#This Row],[unit_price]]*messy_order_items_csv[[#This Row],[quantity]]</f>
        <v>125988</v>
      </c>
    </row>
    <row r="1157" spans="1:6" x14ac:dyDescent="0.3">
      <c r="A1157">
        <v>1156</v>
      </c>
      <c r="B1157" t="s">
        <v>1702</v>
      </c>
      <c r="C1157" t="s">
        <v>2211</v>
      </c>
      <c r="D1157">
        <v>0</v>
      </c>
      <c r="E1157">
        <v>24250</v>
      </c>
      <c r="F1157">
        <f>messy_order_items_csv[[#This Row],[unit_price]]*messy_order_items_csv[[#This Row],[quantity]]</f>
        <v>0</v>
      </c>
    </row>
    <row r="1158" spans="1:6" x14ac:dyDescent="0.3">
      <c r="A1158">
        <v>1157</v>
      </c>
      <c r="B1158" t="s">
        <v>1091</v>
      </c>
      <c r="C1158" t="s">
        <v>2271</v>
      </c>
      <c r="D1158">
        <v>1</v>
      </c>
      <c r="E1158">
        <v>88764</v>
      </c>
      <c r="F1158">
        <f>messy_order_items_csv[[#This Row],[unit_price]]*messy_order_items_csv[[#This Row],[quantity]]</f>
        <v>88764</v>
      </c>
    </row>
    <row r="1159" spans="1:6" x14ac:dyDescent="0.3">
      <c r="A1159">
        <v>1158</v>
      </c>
      <c r="B1159" t="s">
        <v>1476</v>
      </c>
      <c r="C1159" t="s">
        <v>2226</v>
      </c>
      <c r="E1159">
        <v>79076</v>
      </c>
      <c r="F1159">
        <f>messy_order_items_csv[[#This Row],[unit_price]]*messy_order_items_csv[[#This Row],[quantity]]</f>
        <v>0</v>
      </c>
    </row>
    <row r="1160" spans="1:6" x14ac:dyDescent="0.3">
      <c r="A1160">
        <v>1159</v>
      </c>
      <c r="B1160" t="s">
        <v>1002</v>
      </c>
      <c r="C1160" t="s">
        <v>2209</v>
      </c>
      <c r="D1160">
        <v>3</v>
      </c>
      <c r="E1160">
        <v>14562</v>
      </c>
      <c r="F1160">
        <f>messy_order_items_csv[[#This Row],[unit_price]]*messy_order_items_csv[[#This Row],[quantity]]</f>
        <v>43686</v>
      </c>
    </row>
    <row r="1161" spans="1:6" x14ac:dyDescent="0.3">
      <c r="A1161">
        <v>1160</v>
      </c>
      <c r="B1161" t="s">
        <v>1338</v>
      </c>
      <c r="C1161" t="s">
        <v>2209</v>
      </c>
      <c r="D1161">
        <v>1</v>
      </c>
      <c r="E1161">
        <v>13294</v>
      </c>
      <c r="F1161">
        <f>messy_order_items_csv[[#This Row],[unit_price]]*messy_order_items_csv[[#This Row],[quantity]]</f>
        <v>13294</v>
      </c>
    </row>
    <row r="1162" spans="1:6" x14ac:dyDescent="0.3">
      <c r="A1162">
        <v>1161</v>
      </c>
      <c r="B1162" t="s">
        <v>2185</v>
      </c>
      <c r="C1162" t="s">
        <v>2223</v>
      </c>
      <c r="D1162">
        <v>0</v>
      </c>
      <c r="E1162">
        <v>31497</v>
      </c>
      <c r="F1162">
        <f>messy_order_items_csv[[#This Row],[unit_price]]*messy_order_items_csv[[#This Row],[quantity]]</f>
        <v>0</v>
      </c>
    </row>
    <row r="1163" spans="1:6" x14ac:dyDescent="0.3">
      <c r="A1163">
        <v>1162</v>
      </c>
      <c r="B1163" t="s">
        <v>1519</v>
      </c>
      <c r="C1163" t="s">
        <v>2250</v>
      </c>
      <c r="E1163">
        <v>31497</v>
      </c>
      <c r="F1163">
        <f>messy_order_items_csv[[#This Row],[unit_price]]*messy_order_items_csv[[#This Row],[quantity]]</f>
        <v>0</v>
      </c>
    </row>
    <row r="1164" spans="1:6" x14ac:dyDescent="0.3">
      <c r="A1164">
        <v>1163</v>
      </c>
      <c r="B1164" t="s">
        <v>2126</v>
      </c>
      <c r="C1164" t="s">
        <v>2223</v>
      </c>
      <c r="D1164">
        <v>1</v>
      </c>
      <c r="E1164">
        <v>75188</v>
      </c>
      <c r="F1164">
        <f>messy_order_items_csv[[#This Row],[unit_price]]*messy_order_items_csv[[#This Row],[quantity]]</f>
        <v>75188</v>
      </c>
    </row>
    <row r="1165" spans="1:6" x14ac:dyDescent="0.3">
      <c r="A1165">
        <v>1164</v>
      </c>
      <c r="B1165" t="s">
        <v>1622</v>
      </c>
      <c r="C1165" t="s">
        <v>2269</v>
      </c>
      <c r="D1165">
        <v>4</v>
      </c>
      <c r="E1165">
        <v>41597</v>
      </c>
      <c r="F1165">
        <f>messy_order_items_csv[[#This Row],[unit_price]]*messy_order_items_csv[[#This Row],[quantity]]</f>
        <v>166388</v>
      </c>
    </row>
    <row r="1166" spans="1:6" x14ac:dyDescent="0.3">
      <c r="A1166">
        <v>1165</v>
      </c>
      <c r="B1166" t="s">
        <v>1110</v>
      </c>
      <c r="C1166" t="s">
        <v>2207</v>
      </c>
      <c r="D1166">
        <v>1</v>
      </c>
      <c r="E1166">
        <v>35729</v>
      </c>
      <c r="F1166">
        <f>messy_order_items_csv[[#This Row],[unit_price]]*messy_order_items_csv[[#This Row],[quantity]]</f>
        <v>35729</v>
      </c>
    </row>
    <row r="1167" spans="1:6" x14ac:dyDescent="0.3">
      <c r="A1167">
        <v>1166</v>
      </c>
      <c r="B1167" t="s">
        <v>1657</v>
      </c>
      <c r="C1167" t="s">
        <v>2263</v>
      </c>
      <c r="D1167">
        <v>3</v>
      </c>
      <c r="E1167">
        <v>47907</v>
      </c>
      <c r="F1167">
        <f>messy_order_items_csv[[#This Row],[unit_price]]*messy_order_items_csv[[#This Row],[quantity]]</f>
        <v>143721</v>
      </c>
    </row>
    <row r="1168" spans="1:6" x14ac:dyDescent="0.3">
      <c r="A1168">
        <v>1167</v>
      </c>
      <c r="B1168" t="s">
        <v>1395</v>
      </c>
      <c r="C1168" t="s">
        <v>2195</v>
      </c>
      <c r="D1168">
        <v>4</v>
      </c>
      <c r="E1168">
        <v>47453</v>
      </c>
      <c r="F1168">
        <f>messy_order_items_csv[[#This Row],[unit_price]]*messy_order_items_csv[[#This Row],[quantity]]</f>
        <v>189812</v>
      </c>
    </row>
    <row r="1169" spans="1:6" x14ac:dyDescent="0.3">
      <c r="A1169">
        <v>1168</v>
      </c>
      <c r="B1169" t="s">
        <v>1087</v>
      </c>
      <c r="C1169" t="s">
        <v>2274</v>
      </c>
      <c r="D1169">
        <v>3</v>
      </c>
      <c r="E1169">
        <v>9098</v>
      </c>
      <c r="F1169">
        <f>messy_order_items_csv[[#This Row],[unit_price]]*messy_order_items_csv[[#This Row],[quantity]]</f>
        <v>27294</v>
      </c>
    </row>
    <row r="1170" spans="1:6" x14ac:dyDescent="0.3">
      <c r="A1170">
        <v>1169</v>
      </c>
      <c r="B1170" t="s">
        <v>1300</v>
      </c>
      <c r="C1170" t="s">
        <v>2253</v>
      </c>
      <c r="D1170">
        <v>0</v>
      </c>
      <c r="E1170">
        <v>69520</v>
      </c>
      <c r="F1170">
        <f>messy_order_items_csv[[#This Row],[unit_price]]*messy_order_items_csv[[#This Row],[quantity]]</f>
        <v>0</v>
      </c>
    </row>
    <row r="1171" spans="1:6" x14ac:dyDescent="0.3">
      <c r="A1171">
        <v>1170</v>
      </c>
      <c r="B1171" t="s">
        <v>1730</v>
      </c>
      <c r="C1171" t="s">
        <v>2248</v>
      </c>
      <c r="D1171">
        <v>1</v>
      </c>
      <c r="E1171">
        <v>23817</v>
      </c>
      <c r="F1171">
        <f>messy_order_items_csv[[#This Row],[unit_price]]*messy_order_items_csv[[#This Row],[quantity]]</f>
        <v>23817</v>
      </c>
    </row>
    <row r="1172" spans="1:6" x14ac:dyDescent="0.3">
      <c r="A1172">
        <v>1171</v>
      </c>
      <c r="B1172" t="s">
        <v>2071</v>
      </c>
      <c r="C1172" t="s">
        <v>2223</v>
      </c>
      <c r="D1172">
        <v>3</v>
      </c>
      <c r="E1172">
        <v>31497</v>
      </c>
      <c r="F1172">
        <f>messy_order_items_csv[[#This Row],[unit_price]]*messy_order_items_csv[[#This Row],[quantity]]</f>
        <v>94491</v>
      </c>
    </row>
    <row r="1173" spans="1:6" x14ac:dyDescent="0.3">
      <c r="A1173">
        <v>1172</v>
      </c>
      <c r="B1173" t="s">
        <v>1989</v>
      </c>
      <c r="C1173" t="s">
        <v>2270</v>
      </c>
      <c r="D1173">
        <v>0</v>
      </c>
      <c r="E1173">
        <v>19386</v>
      </c>
      <c r="F1173">
        <f>messy_order_items_csv[[#This Row],[unit_price]]*messy_order_items_csv[[#This Row],[quantity]]</f>
        <v>0</v>
      </c>
    </row>
    <row r="1174" spans="1:6" x14ac:dyDescent="0.3">
      <c r="A1174">
        <v>1173</v>
      </c>
      <c r="B1174" t="s">
        <v>1840</v>
      </c>
      <c r="C1174" t="s">
        <v>2230</v>
      </c>
      <c r="D1174">
        <v>4</v>
      </c>
      <c r="E1174">
        <v>36949</v>
      </c>
      <c r="F1174">
        <f>messy_order_items_csv[[#This Row],[unit_price]]*messy_order_items_csv[[#This Row],[quantity]]</f>
        <v>147796</v>
      </c>
    </row>
    <row r="1175" spans="1:6" x14ac:dyDescent="0.3">
      <c r="A1175">
        <v>1174</v>
      </c>
      <c r="B1175" t="s">
        <v>1740</v>
      </c>
      <c r="C1175" t="s">
        <v>2223</v>
      </c>
      <c r="E1175">
        <v>20808</v>
      </c>
      <c r="F1175">
        <f>messy_order_items_csv[[#This Row],[unit_price]]*messy_order_items_csv[[#This Row],[quantity]]</f>
        <v>0</v>
      </c>
    </row>
    <row r="1176" spans="1:6" x14ac:dyDescent="0.3">
      <c r="A1176">
        <v>1175</v>
      </c>
      <c r="B1176" t="s">
        <v>1681</v>
      </c>
      <c r="C1176" t="s">
        <v>2220</v>
      </c>
      <c r="D1176">
        <v>1</v>
      </c>
      <c r="E1176">
        <v>5475</v>
      </c>
      <c r="F1176">
        <f>messy_order_items_csv[[#This Row],[unit_price]]*messy_order_items_csv[[#This Row],[quantity]]</f>
        <v>5475</v>
      </c>
    </row>
    <row r="1177" spans="1:6" x14ac:dyDescent="0.3">
      <c r="A1177">
        <v>1176</v>
      </c>
      <c r="B1177" t="s">
        <v>2119</v>
      </c>
      <c r="C1177" t="s">
        <v>2262</v>
      </c>
      <c r="D1177">
        <v>4</v>
      </c>
      <c r="E1177">
        <v>18522</v>
      </c>
      <c r="F1177">
        <f>messy_order_items_csv[[#This Row],[unit_price]]*messy_order_items_csv[[#This Row],[quantity]]</f>
        <v>74088</v>
      </c>
    </row>
    <row r="1178" spans="1:6" x14ac:dyDescent="0.3">
      <c r="A1178">
        <v>1177</v>
      </c>
      <c r="B1178" t="s">
        <v>1482</v>
      </c>
      <c r="C1178" t="s">
        <v>2230</v>
      </c>
      <c r="D1178">
        <v>1</v>
      </c>
      <c r="E1178">
        <v>33752</v>
      </c>
      <c r="F1178">
        <f>messy_order_items_csv[[#This Row],[unit_price]]*messy_order_items_csv[[#This Row],[quantity]]</f>
        <v>33752</v>
      </c>
    </row>
    <row r="1179" spans="1:6" x14ac:dyDescent="0.3">
      <c r="A1179">
        <v>1178</v>
      </c>
      <c r="B1179" t="s">
        <v>1240</v>
      </c>
      <c r="C1179" t="s">
        <v>2214</v>
      </c>
      <c r="D1179">
        <v>2</v>
      </c>
      <c r="E1179">
        <v>30826</v>
      </c>
      <c r="F1179">
        <f>messy_order_items_csv[[#This Row],[unit_price]]*messy_order_items_csv[[#This Row],[quantity]]</f>
        <v>61652</v>
      </c>
    </row>
    <row r="1180" spans="1:6" x14ac:dyDescent="0.3">
      <c r="A1180">
        <v>1179</v>
      </c>
      <c r="B1180" t="s">
        <v>1534</v>
      </c>
      <c r="C1180" t="s">
        <v>2268</v>
      </c>
      <c r="D1180">
        <v>4</v>
      </c>
      <c r="E1180">
        <v>5740</v>
      </c>
      <c r="F1180">
        <f>messy_order_items_csv[[#This Row],[unit_price]]*messy_order_items_csv[[#This Row],[quantity]]</f>
        <v>22960</v>
      </c>
    </row>
    <row r="1181" spans="1:6" x14ac:dyDescent="0.3">
      <c r="A1181">
        <v>1180</v>
      </c>
      <c r="B1181" t="s">
        <v>1544</v>
      </c>
      <c r="C1181" t="s">
        <v>2245</v>
      </c>
      <c r="D1181">
        <v>1</v>
      </c>
      <c r="E1181">
        <v>53426</v>
      </c>
      <c r="F1181">
        <f>messy_order_items_csv[[#This Row],[unit_price]]*messy_order_items_csv[[#This Row],[quantity]]</f>
        <v>53426</v>
      </c>
    </row>
    <row r="1182" spans="1:6" x14ac:dyDescent="0.3">
      <c r="A1182">
        <v>1181</v>
      </c>
      <c r="B1182" t="s">
        <v>1159</v>
      </c>
      <c r="C1182" t="s">
        <v>2213</v>
      </c>
      <c r="D1182">
        <v>2</v>
      </c>
      <c r="E1182">
        <v>31497</v>
      </c>
      <c r="F1182">
        <f>messy_order_items_csv[[#This Row],[unit_price]]*messy_order_items_csv[[#This Row],[quantity]]</f>
        <v>62994</v>
      </c>
    </row>
    <row r="1183" spans="1:6" x14ac:dyDescent="0.3">
      <c r="A1183">
        <v>1182</v>
      </c>
      <c r="B1183" t="s">
        <v>1180</v>
      </c>
      <c r="C1183" t="s">
        <v>2196</v>
      </c>
      <c r="D1183">
        <v>4</v>
      </c>
      <c r="E1183">
        <v>31497</v>
      </c>
      <c r="F1183">
        <f>messy_order_items_csv[[#This Row],[unit_price]]*messy_order_items_csv[[#This Row],[quantity]]</f>
        <v>125988</v>
      </c>
    </row>
    <row r="1184" spans="1:6" x14ac:dyDescent="0.3">
      <c r="A1184">
        <v>1183</v>
      </c>
      <c r="B1184" t="s">
        <v>1974</v>
      </c>
      <c r="C1184" t="s">
        <v>2233</v>
      </c>
      <c r="D1184">
        <v>3</v>
      </c>
      <c r="E1184">
        <v>36124</v>
      </c>
      <c r="F1184">
        <f>messy_order_items_csv[[#This Row],[unit_price]]*messy_order_items_csv[[#This Row],[quantity]]</f>
        <v>108372</v>
      </c>
    </row>
    <row r="1185" spans="1:6" x14ac:dyDescent="0.3">
      <c r="A1185">
        <v>1184</v>
      </c>
      <c r="B1185" t="s">
        <v>1295</v>
      </c>
      <c r="C1185" t="s">
        <v>2195</v>
      </c>
      <c r="D1185">
        <v>0</v>
      </c>
      <c r="E1185">
        <v>47453</v>
      </c>
      <c r="F1185">
        <f>messy_order_items_csv[[#This Row],[unit_price]]*messy_order_items_csv[[#This Row],[quantity]]</f>
        <v>0</v>
      </c>
    </row>
    <row r="1186" spans="1:6" x14ac:dyDescent="0.3">
      <c r="A1186">
        <v>1185</v>
      </c>
      <c r="B1186" t="s">
        <v>1208</v>
      </c>
      <c r="C1186" t="s">
        <v>2272</v>
      </c>
      <c r="D1186">
        <v>2</v>
      </c>
      <c r="E1186">
        <v>43027</v>
      </c>
      <c r="F1186">
        <f>messy_order_items_csv[[#This Row],[unit_price]]*messy_order_items_csv[[#This Row],[quantity]]</f>
        <v>86054</v>
      </c>
    </row>
    <row r="1187" spans="1:6" x14ac:dyDescent="0.3">
      <c r="A1187">
        <v>1186</v>
      </c>
      <c r="B1187" t="s">
        <v>1271</v>
      </c>
      <c r="C1187" t="s">
        <v>2270</v>
      </c>
      <c r="E1187">
        <v>31497</v>
      </c>
      <c r="F1187">
        <f>messy_order_items_csv[[#This Row],[unit_price]]*messy_order_items_csv[[#This Row],[quantity]]</f>
        <v>0</v>
      </c>
    </row>
    <row r="1188" spans="1:6" x14ac:dyDescent="0.3">
      <c r="A1188">
        <v>1187</v>
      </c>
      <c r="B1188" t="s">
        <v>2167</v>
      </c>
      <c r="C1188" t="s">
        <v>2209</v>
      </c>
      <c r="E1188">
        <v>80449</v>
      </c>
      <c r="F1188">
        <f>messy_order_items_csv[[#This Row],[unit_price]]*messy_order_items_csv[[#This Row],[quantity]]</f>
        <v>0</v>
      </c>
    </row>
    <row r="1189" spans="1:6" x14ac:dyDescent="0.3">
      <c r="A1189">
        <v>1188</v>
      </c>
      <c r="B1189" t="s">
        <v>1388</v>
      </c>
      <c r="C1189" t="s">
        <v>2237</v>
      </c>
      <c r="D1189">
        <v>3</v>
      </c>
      <c r="E1189">
        <v>2979</v>
      </c>
      <c r="F1189">
        <f>messy_order_items_csv[[#This Row],[unit_price]]*messy_order_items_csv[[#This Row],[quantity]]</f>
        <v>8937</v>
      </c>
    </row>
    <row r="1190" spans="1:6" x14ac:dyDescent="0.3">
      <c r="A1190">
        <v>1189</v>
      </c>
      <c r="B1190" t="s">
        <v>1715</v>
      </c>
      <c r="C1190" t="s">
        <v>2224</v>
      </c>
      <c r="E1190">
        <v>84653</v>
      </c>
      <c r="F1190">
        <f>messy_order_items_csv[[#This Row],[unit_price]]*messy_order_items_csv[[#This Row],[quantity]]</f>
        <v>0</v>
      </c>
    </row>
    <row r="1191" spans="1:6" x14ac:dyDescent="0.3">
      <c r="A1191">
        <v>1190</v>
      </c>
      <c r="B1191" t="s">
        <v>2129</v>
      </c>
      <c r="C1191" t="s">
        <v>2237</v>
      </c>
      <c r="D1191">
        <v>3</v>
      </c>
      <c r="E1191">
        <v>38500</v>
      </c>
      <c r="F1191">
        <f>messy_order_items_csv[[#This Row],[unit_price]]*messy_order_items_csv[[#This Row],[quantity]]</f>
        <v>115500</v>
      </c>
    </row>
    <row r="1192" spans="1:6" x14ac:dyDescent="0.3">
      <c r="A1192">
        <v>1191</v>
      </c>
      <c r="B1192" t="s">
        <v>1384</v>
      </c>
      <c r="C1192" t="s">
        <v>2262</v>
      </c>
      <c r="E1192">
        <v>86499</v>
      </c>
      <c r="F1192">
        <f>messy_order_items_csv[[#This Row],[unit_price]]*messy_order_items_csv[[#This Row],[quantity]]</f>
        <v>0</v>
      </c>
    </row>
    <row r="1193" spans="1:6" x14ac:dyDescent="0.3">
      <c r="A1193">
        <v>1192</v>
      </c>
      <c r="B1193" t="s">
        <v>2089</v>
      </c>
      <c r="C1193" t="s">
        <v>2223</v>
      </c>
      <c r="D1193">
        <v>3</v>
      </c>
      <c r="E1193">
        <v>31497</v>
      </c>
      <c r="F1193">
        <f>messy_order_items_csv[[#This Row],[unit_price]]*messy_order_items_csv[[#This Row],[quantity]]</f>
        <v>94491</v>
      </c>
    </row>
    <row r="1194" spans="1:6" x14ac:dyDescent="0.3">
      <c r="A1194">
        <v>1193</v>
      </c>
      <c r="B1194" t="s">
        <v>1577</v>
      </c>
      <c r="C1194" t="s">
        <v>2223</v>
      </c>
      <c r="D1194">
        <v>4</v>
      </c>
      <c r="E1194">
        <v>4575</v>
      </c>
      <c r="F1194">
        <f>messy_order_items_csv[[#This Row],[unit_price]]*messy_order_items_csv[[#This Row],[quantity]]</f>
        <v>18300</v>
      </c>
    </row>
    <row r="1195" spans="1:6" x14ac:dyDescent="0.3">
      <c r="A1195">
        <v>1194</v>
      </c>
      <c r="B1195" t="s">
        <v>2114</v>
      </c>
      <c r="C1195" t="s">
        <v>2228</v>
      </c>
      <c r="D1195">
        <v>0</v>
      </c>
      <c r="E1195">
        <v>59514</v>
      </c>
      <c r="F1195">
        <f>messy_order_items_csv[[#This Row],[unit_price]]*messy_order_items_csv[[#This Row],[quantity]]</f>
        <v>0</v>
      </c>
    </row>
    <row r="1196" spans="1:6" x14ac:dyDescent="0.3">
      <c r="A1196">
        <v>1195</v>
      </c>
      <c r="B1196" t="s">
        <v>1279</v>
      </c>
      <c r="C1196" t="s">
        <v>2232</v>
      </c>
      <c r="D1196">
        <v>2</v>
      </c>
      <c r="E1196">
        <v>77948</v>
      </c>
      <c r="F1196">
        <f>messy_order_items_csv[[#This Row],[unit_price]]*messy_order_items_csv[[#This Row],[quantity]]</f>
        <v>155896</v>
      </c>
    </row>
    <row r="1197" spans="1:6" x14ac:dyDescent="0.3">
      <c r="A1197">
        <v>1196</v>
      </c>
      <c r="B1197" t="s">
        <v>1192</v>
      </c>
      <c r="C1197" t="s">
        <v>2257</v>
      </c>
      <c r="D1197">
        <v>1</v>
      </c>
      <c r="E1197">
        <v>31497</v>
      </c>
      <c r="F1197">
        <f>messy_order_items_csv[[#This Row],[unit_price]]*messy_order_items_csv[[#This Row],[quantity]]</f>
        <v>31497</v>
      </c>
    </row>
    <row r="1198" spans="1:6" x14ac:dyDescent="0.3">
      <c r="A1198">
        <v>1197</v>
      </c>
      <c r="B1198" t="s">
        <v>1811</v>
      </c>
      <c r="C1198" t="s">
        <v>2242</v>
      </c>
      <c r="D1198">
        <v>3</v>
      </c>
      <c r="E1198">
        <v>31497</v>
      </c>
      <c r="F1198">
        <f>messy_order_items_csv[[#This Row],[unit_price]]*messy_order_items_csv[[#This Row],[quantity]]</f>
        <v>94491</v>
      </c>
    </row>
    <row r="1199" spans="1:6" x14ac:dyDescent="0.3">
      <c r="A1199">
        <v>1198</v>
      </c>
      <c r="B1199" t="s">
        <v>1231</v>
      </c>
      <c r="C1199" t="s">
        <v>2200</v>
      </c>
      <c r="D1199">
        <v>2</v>
      </c>
      <c r="E1199">
        <v>31497</v>
      </c>
      <c r="F1199">
        <f>messy_order_items_csv[[#This Row],[unit_price]]*messy_order_items_csv[[#This Row],[quantity]]</f>
        <v>62994</v>
      </c>
    </row>
    <row r="1200" spans="1:6" x14ac:dyDescent="0.3">
      <c r="A1200">
        <v>1199</v>
      </c>
      <c r="B1200" t="s">
        <v>2018</v>
      </c>
      <c r="C1200" t="s">
        <v>2238</v>
      </c>
      <c r="E1200">
        <v>43260</v>
      </c>
      <c r="F1200">
        <f>messy_order_items_csv[[#This Row],[unit_price]]*messy_order_items_csv[[#This Row],[quantity]]</f>
        <v>0</v>
      </c>
    </row>
    <row r="1201" spans="1:6" x14ac:dyDescent="0.3">
      <c r="A1201">
        <v>1200</v>
      </c>
      <c r="B1201" t="s">
        <v>1706</v>
      </c>
      <c r="C1201" t="s">
        <v>2214</v>
      </c>
      <c r="D1201">
        <v>2</v>
      </c>
      <c r="E1201">
        <v>31497</v>
      </c>
      <c r="F1201">
        <f>messy_order_items_csv[[#This Row],[unit_price]]*messy_order_items_csv[[#This Row],[quantity]]</f>
        <v>62994</v>
      </c>
    </row>
    <row r="1202" spans="1:6" x14ac:dyDescent="0.3">
      <c r="A1202">
        <v>1201</v>
      </c>
      <c r="B1202" t="s">
        <v>1105</v>
      </c>
      <c r="C1202" t="s">
        <v>2222</v>
      </c>
      <c r="D1202">
        <v>0</v>
      </c>
      <c r="E1202">
        <v>64414</v>
      </c>
      <c r="F1202">
        <f>messy_order_items_csv[[#This Row],[unit_price]]*messy_order_items_csv[[#This Row],[quantity]]</f>
        <v>0</v>
      </c>
    </row>
    <row r="1203" spans="1:6" x14ac:dyDescent="0.3">
      <c r="A1203">
        <v>1202</v>
      </c>
      <c r="B1203" t="s">
        <v>1023</v>
      </c>
      <c r="C1203" t="s">
        <v>2228</v>
      </c>
      <c r="D1203">
        <v>3</v>
      </c>
      <c r="E1203">
        <v>59514</v>
      </c>
      <c r="F1203">
        <f>messy_order_items_csv[[#This Row],[unit_price]]*messy_order_items_csv[[#This Row],[quantity]]</f>
        <v>178542</v>
      </c>
    </row>
    <row r="1204" spans="1:6" x14ac:dyDescent="0.3">
      <c r="A1204">
        <v>1203</v>
      </c>
      <c r="B1204" t="s">
        <v>1998</v>
      </c>
      <c r="C1204" t="s">
        <v>2217</v>
      </c>
      <c r="D1204">
        <v>4</v>
      </c>
      <c r="E1204">
        <v>44051</v>
      </c>
      <c r="F1204">
        <f>messy_order_items_csv[[#This Row],[unit_price]]*messy_order_items_csv[[#This Row],[quantity]]</f>
        <v>176204</v>
      </c>
    </row>
    <row r="1205" spans="1:6" x14ac:dyDescent="0.3">
      <c r="A1205">
        <v>1204</v>
      </c>
      <c r="B1205" t="s">
        <v>1130</v>
      </c>
      <c r="C1205" t="s">
        <v>2255</v>
      </c>
      <c r="D1205">
        <v>2</v>
      </c>
      <c r="E1205">
        <v>59468</v>
      </c>
      <c r="F1205">
        <f>messy_order_items_csv[[#This Row],[unit_price]]*messy_order_items_csv[[#This Row],[quantity]]</f>
        <v>118936</v>
      </c>
    </row>
    <row r="1206" spans="1:6" x14ac:dyDescent="0.3">
      <c r="A1206">
        <v>1205</v>
      </c>
      <c r="B1206" t="s">
        <v>1217</v>
      </c>
      <c r="C1206" t="s">
        <v>2255</v>
      </c>
      <c r="D1206">
        <v>3</v>
      </c>
      <c r="E1206">
        <v>81129</v>
      </c>
      <c r="F1206">
        <f>messy_order_items_csv[[#This Row],[unit_price]]*messy_order_items_csv[[#This Row],[quantity]]</f>
        <v>243387</v>
      </c>
    </row>
    <row r="1207" spans="1:6" x14ac:dyDescent="0.3">
      <c r="A1207">
        <v>1206</v>
      </c>
      <c r="B1207" t="s">
        <v>1299</v>
      </c>
      <c r="C1207" t="s">
        <v>2240</v>
      </c>
      <c r="D1207">
        <v>0</v>
      </c>
      <c r="E1207">
        <v>28975</v>
      </c>
      <c r="F1207">
        <f>messy_order_items_csv[[#This Row],[unit_price]]*messy_order_items_csv[[#This Row],[quantity]]</f>
        <v>0</v>
      </c>
    </row>
    <row r="1208" spans="1:6" x14ac:dyDescent="0.3">
      <c r="A1208">
        <v>1207</v>
      </c>
      <c r="B1208" t="s">
        <v>1858</v>
      </c>
      <c r="C1208" t="s">
        <v>2197</v>
      </c>
      <c r="D1208">
        <v>3</v>
      </c>
      <c r="E1208">
        <v>36451</v>
      </c>
      <c r="F1208">
        <f>messy_order_items_csv[[#This Row],[unit_price]]*messy_order_items_csv[[#This Row],[quantity]]</f>
        <v>109353</v>
      </c>
    </row>
    <row r="1209" spans="1:6" x14ac:dyDescent="0.3">
      <c r="A1209">
        <v>1208</v>
      </c>
      <c r="B1209" t="s">
        <v>2103</v>
      </c>
      <c r="C1209" t="s">
        <v>2211</v>
      </c>
      <c r="D1209">
        <v>3</v>
      </c>
      <c r="E1209">
        <v>63208</v>
      </c>
      <c r="F1209">
        <f>messy_order_items_csv[[#This Row],[unit_price]]*messy_order_items_csv[[#This Row],[quantity]]</f>
        <v>189624</v>
      </c>
    </row>
    <row r="1210" spans="1:6" x14ac:dyDescent="0.3">
      <c r="A1210">
        <v>1209</v>
      </c>
      <c r="B1210" t="s">
        <v>1808</v>
      </c>
      <c r="C1210" t="s">
        <v>2196</v>
      </c>
      <c r="E1210">
        <v>6954</v>
      </c>
      <c r="F1210">
        <f>messy_order_items_csv[[#This Row],[unit_price]]*messy_order_items_csv[[#This Row],[quantity]]</f>
        <v>0</v>
      </c>
    </row>
    <row r="1211" spans="1:6" x14ac:dyDescent="0.3">
      <c r="A1211">
        <v>1210</v>
      </c>
      <c r="B1211" t="s">
        <v>1778</v>
      </c>
      <c r="C1211" t="s">
        <v>2206</v>
      </c>
      <c r="D1211">
        <v>2</v>
      </c>
      <c r="E1211">
        <v>15249</v>
      </c>
      <c r="F1211">
        <f>messy_order_items_csv[[#This Row],[unit_price]]*messy_order_items_csv[[#This Row],[quantity]]</f>
        <v>30498</v>
      </c>
    </row>
    <row r="1212" spans="1:6" x14ac:dyDescent="0.3">
      <c r="A1212">
        <v>1211</v>
      </c>
      <c r="B1212" t="s">
        <v>2093</v>
      </c>
      <c r="C1212" t="s">
        <v>2216</v>
      </c>
      <c r="D1212">
        <v>2</v>
      </c>
      <c r="E1212">
        <v>31497</v>
      </c>
      <c r="F1212">
        <f>messy_order_items_csv[[#This Row],[unit_price]]*messy_order_items_csv[[#This Row],[quantity]]</f>
        <v>62994</v>
      </c>
    </row>
    <row r="1213" spans="1:6" x14ac:dyDescent="0.3">
      <c r="A1213">
        <v>1212</v>
      </c>
      <c r="B1213" t="s">
        <v>1206</v>
      </c>
      <c r="C1213" t="s">
        <v>2212</v>
      </c>
      <c r="D1213">
        <v>4</v>
      </c>
      <c r="E1213">
        <v>58364</v>
      </c>
      <c r="F1213">
        <f>messy_order_items_csv[[#This Row],[unit_price]]*messy_order_items_csv[[#This Row],[quantity]]</f>
        <v>233456</v>
      </c>
    </row>
    <row r="1214" spans="1:6" x14ac:dyDescent="0.3">
      <c r="A1214">
        <v>1213</v>
      </c>
      <c r="B1214" t="s">
        <v>1029</v>
      </c>
      <c r="C1214" t="s">
        <v>2225</v>
      </c>
      <c r="D1214">
        <v>1</v>
      </c>
      <c r="E1214">
        <v>31497</v>
      </c>
      <c r="F1214">
        <f>messy_order_items_csv[[#This Row],[unit_price]]*messy_order_items_csv[[#This Row],[quantity]]</f>
        <v>31497</v>
      </c>
    </row>
    <row r="1215" spans="1:6" x14ac:dyDescent="0.3">
      <c r="A1215">
        <v>1214</v>
      </c>
      <c r="B1215" t="s">
        <v>1604</v>
      </c>
      <c r="C1215" t="s">
        <v>2243</v>
      </c>
      <c r="D1215">
        <v>3</v>
      </c>
      <c r="E1215">
        <v>31497</v>
      </c>
      <c r="F1215">
        <f>messy_order_items_csv[[#This Row],[unit_price]]*messy_order_items_csv[[#This Row],[quantity]]</f>
        <v>94491</v>
      </c>
    </row>
    <row r="1216" spans="1:6" x14ac:dyDescent="0.3">
      <c r="A1216">
        <v>1215</v>
      </c>
      <c r="B1216" t="s">
        <v>1394</v>
      </c>
      <c r="C1216" t="s">
        <v>2261</v>
      </c>
      <c r="D1216">
        <v>4</v>
      </c>
      <c r="E1216">
        <v>31345</v>
      </c>
      <c r="F1216">
        <f>messy_order_items_csv[[#This Row],[unit_price]]*messy_order_items_csv[[#This Row],[quantity]]</f>
        <v>125380</v>
      </c>
    </row>
    <row r="1217" spans="1:6" x14ac:dyDescent="0.3">
      <c r="A1217">
        <v>1216</v>
      </c>
      <c r="B1217" t="s">
        <v>1372</v>
      </c>
      <c r="C1217" t="s">
        <v>2240</v>
      </c>
      <c r="D1217">
        <v>0</v>
      </c>
      <c r="E1217">
        <v>10270</v>
      </c>
      <c r="F1217">
        <f>messy_order_items_csv[[#This Row],[unit_price]]*messy_order_items_csv[[#This Row],[quantity]]</f>
        <v>0</v>
      </c>
    </row>
    <row r="1218" spans="1:6" x14ac:dyDescent="0.3">
      <c r="A1218">
        <v>1217</v>
      </c>
      <c r="B1218" t="s">
        <v>1766</v>
      </c>
      <c r="C1218" t="s">
        <v>2195</v>
      </c>
      <c r="D1218">
        <v>0</v>
      </c>
      <c r="E1218">
        <v>18331</v>
      </c>
      <c r="F1218">
        <f>messy_order_items_csv[[#This Row],[unit_price]]*messy_order_items_csv[[#This Row],[quantity]]</f>
        <v>0</v>
      </c>
    </row>
    <row r="1219" spans="1:6" x14ac:dyDescent="0.3">
      <c r="A1219">
        <v>1218</v>
      </c>
      <c r="B1219" t="s">
        <v>1254</v>
      </c>
      <c r="C1219" t="s">
        <v>2249</v>
      </c>
      <c r="D1219">
        <v>2</v>
      </c>
      <c r="E1219">
        <v>3742</v>
      </c>
      <c r="F1219">
        <f>messy_order_items_csv[[#This Row],[unit_price]]*messy_order_items_csv[[#This Row],[quantity]]</f>
        <v>7484</v>
      </c>
    </row>
    <row r="1220" spans="1:6" x14ac:dyDescent="0.3">
      <c r="A1220">
        <v>1219</v>
      </c>
      <c r="B1220" t="s">
        <v>1556</v>
      </c>
      <c r="C1220" t="s">
        <v>2247</v>
      </c>
      <c r="D1220">
        <v>2</v>
      </c>
      <c r="E1220">
        <v>31497</v>
      </c>
      <c r="F1220">
        <f>messy_order_items_csv[[#This Row],[unit_price]]*messy_order_items_csv[[#This Row],[quantity]]</f>
        <v>62994</v>
      </c>
    </row>
    <row r="1221" spans="1:6" x14ac:dyDescent="0.3">
      <c r="A1221">
        <v>1220</v>
      </c>
      <c r="B1221" t="s">
        <v>1294</v>
      </c>
      <c r="C1221" t="s">
        <v>2265</v>
      </c>
      <c r="D1221">
        <v>0</v>
      </c>
      <c r="E1221">
        <v>82068</v>
      </c>
      <c r="F1221">
        <f>messy_order_items_csv[[#This Row],[unit_price]]*messy_order_items_csv[[#This Row],[quantity]]</f>
        <v>0</v>
      </c>
    </row>
    <row r="1222" spans="1:6" x14ac:dyDescent="0.3">
      <c r="A1222">
        <v>1221</v>
      </c>
      <c r="B1222" t="s">
        <v>1999</v>
      </c>
      <c r="C1222" t="s">
        <v>2251</v>
      </c>
      <c r="D1222">
        <v>1</v>
      </c>
      <c r="E1222">
        <v>40345</v>
      </c>
      <c r="F1222">
        <f>messy_order_items_csv[[#This Row],[unit_price]]*messy_order_items_csv[[#This Row],[quantity]]</f>
        <v>40345</v>
      </c>
    </row>
    <row r="1223" spans="1:6" x14ac:dyDescent="0.3">
      <c r="A1223">
        <v>1222</v>
      </c>
      <c r="B1223" t="s">
        <v>1993</v>
      </c>
      <c r="C1223" t="s">
        <v>2257</v>
      </c>
      <c r="D1223">
        <v>1</v>
      </c>
      <c r="E1223">
        <v>31497</v>
      </c>
      <c r="F1223">
        <f>messy_order_items_csv[[#This Row],[unit_price]]*messy_order_items_csv[[#This Row],[quantity]]</f>
        <v>31497</v>
      </c>
    </row>
    <row r="1224" spans="1:6" x14ac:dyDescent="0.3">
      <c r="A1224">
        <v>1223</v>
      </c>
      <c r="B1224" t="s">
        <v>1850</v>
      </c>
      <c r="C1224" t="s">
        <v>2195</v>
      </c>
      <c r="E1224">
        <v>39720</v>
      </c>
      <c r="F1224">
        <f>messy_order_items_csv[[#This Row],[unit_price]]*messy_order_items_csv[[#This Row],[quantity]]</f>
        <v>0</v>
      </c>
    </row>
    <row r="1225" spans="1:6" x14ac:dyDescent="0.3">
      <c r="A1225">
        <v>1224</v>
      </c>
      <c r="B1225" t="s">
        <v>1479</v>
      </c>
      <c r="C1225" t="s">
        <v>2206</v>
      </c>
      <c r="D1225">
        <v>3</v>
      </c>
      <c r="E1225">
        <v>30154</v>
      </c>
      <c r="F1225">
        <f>messy_order_items_csv[[#This Row],[unit_price]]*messy_order_items_csv[[#This Row],[quantity]]</f>
        <v>90462</v>
      </c>
    </row>
    <row r="1226" spans="1:6" x14ac:dyDescent="0.3">
      <c r="A1226">
        <v>1225</v>
      </c>
      <c r="B1226" t="s">
        <v>1533</v>
      </c>
      <c r="C1226" t="s">
        <v>2216</v>
      </c>
      <c r="D1226">
        <v>2</v>
      </c>
      <c r="E1226">
        <v>27083</v>
      </c>
      <c r="F1226">
        <f>messy_order_items_csv[[#This Row],[unit_price]]*messy_order_items_csv[[#This Row],[quantity]]</f>
        <v>54166</v>
      </c>
    </row>
    <row r="1227" spans="1:6" x14ac:dyDescent="0.3">
      <c r="A1227">
        <v>1226</v>
      </c>
      <c r="B1227" t="s">
        <v>2071</v>
      </c>
      <c r="C1227" t="s">
        <v>2206</v>
      </c>
      <c r="D1227">
        <v>4</v>
      </c>
      <c r="E1227">
        <v>62668</v>
      </c>
      <c r="F1227">
        <f>messy_order_items_csv[[#This Row],[unit_price]]*messy_order_items_csv[[#This Row],[quantity]]</f>
        <v>250672</v>
      </c>
    </row>
    <row r="1228" spans="1:6" x14ac:dyDescent="0.3">
      <c r="A1228">
        <v>1227</v>
      </c>
      <c r="B1228" t="s">
        <v>2155</v>
      </c>
      <c r="C1228" t="s">
        <v>2223</v>
      </c>
      <c r="D1228">
        <v>4</v>
      </c>
      <c r="E1228">
        <v>31497</v>
      </c>
      <c r="F1228">
        <f>messy_order_items_csv[[#This Row],[unit_price]]*messy_order_items_csv[[#This Row],[quantity]]</f>
        <v>125988</v>
      </c>
    </row>
    <row r="1229" spans="1:6" x14ac:dyDescent="0.3">
      <c r="A1229">
        <v>1228</v>
      </c>
      <c r="B1229" t="s">
        <v>1554</v>
      </c>
      <c r="C1229" t="s">
        <v>2225</v>
      </c>
      <c r="D1229">
        <v>3</v>
      </c>
      <c r="E1229">
        <v>56322</v>
      </c>
      <c r="F1229">
        <f>messy_order_items_csv[[#This Row],[unit_price]]*messy_order_items_csv[[#This Row],[quantity]]</f>
        <v>168966</v>
      </c>
    </row>
    <row r="1230" spans="1:6" x14ac:dyDescent="0.3">
      <c r="A1230">
        <v>1229</v>
      </c>
      <c r="B1230" t="s">
        <v>1083</v>
      </c>
      <c r="C1230" t="s">
        <v>2229</v>
      </c>
      <c r="D1230">
        <v>0</v>
      </c>
      <c r="E1230">
        <v>19544</v>
      </c>
      <c r="F1230">
        <f>messy_order_items_csv[[#This Row],[unit_price]]*messy_order_items_csv[[#This Row],[quantity]]</f>
        <v>0</v>
      </c>
    </row>
    <row r="1231" spans="1:6" x14ac:dyDescent="0.3">
      <c r="A1231">
        <v>1230</v>
      </c>
      <c r="B1231" t="s">
        <v>2029</v>
      </c>
      <c r="C1231" t="s">
        <v>2252</v>
      </c>
      <c r="D1231">
        <v>1</v>
      </c>
      <c r="E1231">
        <v>45881</v>
      </c>
      <c r="F1231">
        <f>messy_order_items_csv[[#This Row],[unit_price]]*messy_order_items_csv[[#This Row],[quantity]]</f>
        <v>45881</v>
      </c>
    </row>
    <row r="1232" spans="1:6" x14ac:dyDescent="0.3">
      <c r="A1232">
        <v>1231</v>
      </c>
      <c r="B1232" t="s">
        <v>1824</v>
      </c>
      <c r="C1232" t="s">
        <v>2274</v>
      </c>
      <c r="D1232">
        <v>1</v>
      </c>
      <c r="E1232">
        <v>31497</v>
      </c>
      <c r="F1232">
        <f>messy_order_items_csv[[#This Row],[unit_price]]*messy_order_items_csv[[#This Row],[quantity]]</f>
        <v>31497</v>
      </c>
    </row>
    <row r="1233" spans="1:6" x14ac:dyDescent="0.3">
      <c r="A1233">
        <v>1232</v>
      </c>
      <c r="B1233" t="s">
        <v>1933</v>
      </c>
      <c r="C1233" t="s">
        <v>2208</v>
      </c>
      <c r="D1233">
        <v>4</v>
      </c>
      <c r="E1233">
        <v>31497</v>
      </c>
      <c r="F1233">
        <f>messy_order_items_csv[[#This Row],[unit_price]]*messy_order_items_csv[[#This Row],[quantity]]</f>
        <v>125988</v>
      </c>
    </row>
    <row r="1234" spans="1:6" x14ac:dyDescent="0.3">
      <c r="A1234">
        <v>1233</v>
      </c>
      <c r="B1234" t="s">
        <v>1571</v>
      </c>
      <c r="C1234" t="s">
        <v>2216</v>
      </c>
      <c r="D1234">
        <v>1</v>
      </c>
      <c r="E1234">
        <v>89224</v>
      </c>
      <c r="F1234">
        <f>messy_order_items_csv[[#This Row],[unit_price]]*messy_order_items_csv[[#This Row],[quantity]]</f>
        <v>89224</v>
      </c>
    </row>
    <row r="1235" spans="1:6" x14ac:dyDescent="0.3">
      <c r="A1235">
        <v>1234</v>
      </c>
      <c r="B1235" t="s">
        <v>1493</v>
      </c>
      <c r="C1235" t="s">
        <v>2221</v>
      </c>
      <c r="D1235">
        <v>1</v>
      </c>
      <c r="E1235">
        <v>21381</v>
      </c>
      <c r="F1235">
        <f>messy_order_items_csv[[#This Row],[unit_price]]*messy_order_items_csv[[#This Row],[quantity]]</f>
        <v>21381</v>
      </c>
    </row>
    <row r="1236" spans="1:6" x14ac:dyDescent="0.3">
      <c r="A1236">
        <v>1235</v>
      </c>
      <c r="B1236" t="s">
        <v>1337</v>
      </c>
      <c r="C1236" t="s">
        <v>2207</v>
      </c>
      <c r="D1236">
        <v>2</v>
      </c>
      <c r="E1236">
        <v>56618</v>
      </c>
      <c r="F1236">
        <f>messy_order_items_csv[[#This Row],[unit_price]]*messy_order_items_csv[[#This Row],[quantity]]</f>
        <v>113236</v>
      </c>
    </row>
    <row r="1237" spans="1:6" x14ac:dyDescent="0.3">
      <c r="A1237">
        <v>1236</v>
      </c>
      <c r="B1237" t="s">
        <v>1481</v>
      </c>
      <c r="C1237" t="s">
        <v>2257</v>
      </c>
      <c r="D1237">
        <v>4</v>
      </c>
      <c r="E1237">
        <v>75675</v>
      </c>
      <c r="F1237">
        <f>messy_order_items_csv[[#This Row],[unit_price]]*messy_order_items_csv[[#This Row],[quantity]]</f>
        <v>302700</v>
      </c>
    </row>
    <row r="1238" spans="1:6" x14ac:dyDescent="0.3">
      <c r="A1238">
        <v>1237</v>
      </c>
      <c r="B1238" t="s">
        <v>1807</v>
      </c>
      <c r="C1238" t="s">
        <v>2225</v>
      </c>
      <c r="D1238">
        <v>0</v>
      </c>
      <c r="E1238">
        <v>63723</v>
      </c>
      <c r="F1238">
        <f>messy_order_items_csv[[#This Row],[unit_price]]*messy_order_items_csv[[#This Row],[quantity]]</f>
        <v>0</v>
      </c>
    </row>
    <row r="1239" spans="1:6" x14ac:dyDescent="0.3">
      <c r="A1239">
        <v>1238</v>
      </c>
      <c r="B1239" t="s">
        <v>1999</v>
      </c>
      <c r="C1239" t="s">
        <v>2259</v>
      </c>
      <c r="D1239">
        <v>2</v>
      </c>
      <c r="E1239">
        <v>50229</v>
      </c>
      <c r="F1239">
        <f>messy_order_items_csv[[#This Row],[unit_price]]*messy_order_items_csv[[#This Row],[quantity]]</f>
        <v>100458</v>
      </c>
    </row>
    <row r="1240" spans="1:6" x14ac:dyDescent="0.3">
      <c r="A1240">
        <v>1239</v>
      </c>
      <c r="B1240" t="s">
        <v>2014</v>
      </c>
      <c r="C1240" t="s">
        <v>2268</v>
      </c>
      <c r="D1240">
        <v>0</v>
      </c>
      <c r="E1240">
        <v>15040</v>
      </c>
      <c r="F1240">
        <f>messy_order_items_csv[[#This Row],[unit_price]]*messy_order_items_csv[[#This Row],[quantity]]</f>
        <v>0</v>
      </c>
    </row>
    <row r="1241" spans="1:6" x14ac:dyDescent="0.3">
      <c r="A1241">
        <v>1240</v>
      </c>
      <c r="B1241" t="s">
        <v>1456</v>
      </c>
      <c r="C1241" t="s">
        <v>2198</v>
      </c>
      <c r="D1241">
        <v>4</v>
      </c>
      <c r="E1241">
        <v>31497</v>
      </c>
      <c r="F1241">
        <f>messy_order_items_csv[[#This Row],[unit_price]]*messy_order_items_csv[[#This Row],[quantity]]</f>
        <v>125988</v>
      </c>
    </row>
    <row r="1242" spans="1:6" x14ac:dyDescent="0.3">
      <c r="A1242">
        <v>1241</v>
      </c>
      <c r="B1242" t="s">
        <v>2018</v>
      </c>
      <c r="C1242" t="s">
        <v>2201</v>
      </c>
      <c r="D1242">
        <v>3</v>
      </c>
      <c r="E1242">
        <v>31497</v>
      </c>
      <c r="F1242">
        <f>messy_order_items_csv[[#This Row],[unit_price]]*messy_order_items_csv[[#This Row],[quantity]]</f>
        <v>94491</v>
      </c>
    </row>
    <row r="1243" spans="1:6" x14ac:dyDescent="0.3">
      <c r="A1243">
        <v>1242</v>
      </c>
      <c r="B1243" t="s">
        <v>1729</v>
      </c>
      <c r="C1243" t="s">
        <v>2256</v>
      </c>
      <c r="D1243">
        <v>2</v>
      </c>
      <c r="E1243">
        <v>48395</v>
      </c>
      <c r="F1243">
        <f>messy_order_items_csv[[#This Row],[unit_price]]*messy_order_items_csv[[#This Row],[quantity]]</f>
        <v>96790</v>
      </c>
    </row>
    <row r="1244" spans="1:6" x14ac:dyDescent="0.3">
      <c r="A1244">
        <v>1243</v>
      </c>
      <c r="B1244" t="s">
        <v>1637</v>
      </c>
      <c r="C1244" t="s">
        <v>2205</v>
      </c>
      <c r="D1244">
        <v>4</v>
      </c>
      <c r="E1244">
        <v>31497</v>
      </c>
      <c r="F1244">
        <f>messy_order_items_csv[[#This Row],[unit_price]]*messy_order_items_csv[[#This Row],[quantity]]</f>
        <v>125988</v>
      </c>
    </row>
    <row r="1245" spans="1:6" x14ac:dyDescent="0.3">
      <c r="A1245">
        <v>1244</v>
      </c>
      <c r="B1245" t="s">
        <v>1004</v>
      </c>
      <c r="C1245" t="s">
        <v>2226</v>
      </c>
      <c r="E1245">
        <v>84776</v>
      </c>
      <c r="F1245">
        <f>messy_order_items_csv[[#This Row],[unit_price]]*messy_order_items_csv[[#This Row],[quantity]]</f>
        <v>0</v>
      </c>
    </row>
    <row r="1246" spans="1:6" x14ac:dyDescent="0.3">
      <c r="A1246">
        <v>1245</v>
      </c>
      <c r="B1246" t="s">
        <v>1150</v>
      </c>
      <c r="C1246" t="s">
        <v>2245</v>
      </c>
      <c r="D1246">
        <v>4</v>
      </c>
      <c r="E1246">
        <v>61607</v>
      </c>
      <c r="F1246">
        <f>messy_order_items_csv[[#This Row],[unit_price]]*messy_order_items_csv[[#This Row],[quantity]]</f>
        <v>246428</v>
      </c>
    </row>
    <row r="1247" spans="1:6" x14ac:dyDescent="0.3">
      <c r="A1247">
        <v>1246</v>
      </c>
      <c r="B1247" t="s">
        <v>1135</v>
      </c>
      <c r="C1247" t="s">
        <v>2221</v>
      </c>
      <c r="D1247">
        <v>4</v>
      </c>
      <c r="E1247">
        <v>57212</v>
      </c>
      <c r="F1247">
        <f>messy_order_items_csv[[#This Row],[unit_price]]*messy_order_items_csv[[#This Row],[quantity]]</f>
        <v>228848</v>
      </c>
    </row>
    <row r="1248" spans="1:6" x14ac:dyDescent="0.3">
      <c r="A1248">
        <v>1247</v>
      </c>
      <c r="B1248" t="s">
        <v>1048</v>
      </c>
      <c r="C1248" t="s">
        <v>2206</v>
      </c>
      <c r="D1248">
        <v>2</v>
      </c>
      <c r="E1248">
        <v>15249</v>
      </c>
      <c r="F1248">
        <f>messy_order_items_csv[[#This Row],[unit_price]]*messy_order_items_csv[[#This Row],[quantity]]</f>
        <v>30498</v>
      </c>
    </row>
    <row r="1249" spans="1:6" x14ac:dyDescent="0.3">
      <c r="A1249">
        <v>1248</v>
      </c>
      <c r="B1249" t="s">
        <v>1495</v>
      </c>
      <c r="C1249" t="s">
        <v>2205</v>
      </c>
      <c r="D1249">
        <v>4</v>
      </c>
      <c r="E1249">
        <v>81691</v>
      </c>
      <c r="F1249">
        <f>messy_order_items_csv[[#This Row],[unit_price]]*messy_order_items_csv[[#This Row],[quantity]]</f>
        <v>326764</v>
      </c>
    </row>
    <row r="1250" spans="1:6" x14ac:dyDescent="0.3">
      <c r="A1250">
        <v>1249</v>
      </c>
      <c r="B1250" t="s">
        <v>1003</v>
      </c>
      <c r="C1250" t="s">
        <v>2253</v>
      </c>
      <c r="E1250">
        <v>69520</v>
      </c>
      <c r="F1250">
        <f>messy_order_items_csv[[#This Row],[unit_price]]*messy_order_items_csv[[#This Row],[quantity]]</f>
        <v>0</v>
      </c>
    </row>
    <row r="1251" spans="1:6" x14ac:dyDescent="0.3">
      <c r="A1251">
        <v>1250</v>
      </c>
      <c r="B1251" t="s">
        <v>1916</v>
      </c>
      <c r="C1251" t="s">
        <v>2229</v>
      </c>
      <c r="D1251">
        <v>4</v>
      </c>
      <c r="E1251">
        <v>47676</v>
      </c>
      <c r="F1251">
        <f>messy_order_items_csv[[#This Row],[unit_price]]*messy_order_items_csv[[#This Row],[quantity]]</f>
        <v>190704</v>
      </c>
    </row>
    <row r="1252" spans="1:6" x14ac:dyDescent="0.3">
      <c r="A1252">
        <v>1251</v>
      </c>
      <c r="B1252" t="s">
        <v>2036</v>
      </c>
      <c r="C1252" t="s">
        <v>2199</v>
      </c>
      <c r="D1252">
        <v>2</v>
      </c>
      <c r="E1252">
        <v>1626</v>
      </c>
      <c r="F1252">
        <f>messy_order_items_csv[[#This Row],[unit_price]]*messy_order_items_csv[[#This Row],[quantity]]</f>
        <v>3252</v>
      </c>
    </row>
    <row r="1253" spans="1:6" x14ac:dyDescent="0.3">
      <c r="A1253">
        <v>1252</v>
      </c>
      <c r="B1253" t="s">
        <v>1018</v>
      </c>
      <c r="C1253" t="s">
        <v>2251</v>
      </c>
      <c r="E1253">
        <v>31497</v>
      </c>
      <c r="F1253">
        <f>messy_order_items_csv[[#This Row],[unit_price]]*messy_order_items_csv[[#This Row],[quantity]]</f>
        <v>0</v>
      </c>
    </row>
    <row r="1254" spans="1:6" x14ac:dyDescent="0.3">
      <c r="A1254">
        <v>1253</v>
      </c>
      <c r="B1254" t="s">
        <v>1573</v>
      </c>
      <c r="C1254" t="s">
        <v>2223</v>
      </c>
      <c r="D1254">
        <v>4</v>
      </c>
      <c r="E1254">
        <v>64903</v>
      </c>
      <c r="F1254">
        <f>messy_order_items_csv[[#This Row],[unit_price]]*messy_order_items_csv[[#This Row],[quantity]]</f>
        <v>259612</v>
      </c>
    </row>
    <row r="1255" spans="1:6" x14ac:dyDescent="0.3">
      <c r="A1255">
        <v>1254</v>
      </c>
      <c r="B1255" t="s">
        <v>1673</v>
      </c>
      <c r="C1255" t="s">
        <v>2228</v>
      </c>
      <c r="D1255">
        <v>4</v>
      </c>
      <c r="E1255">
        <v>33085</v>
      </c>
      <c r="F1255">
        <f>messy_order_items_csv[[#This Row],[unit_price]]*messy_order_items_csv[[#This Row],[quantity]]</f>
        <v>132340</v>
      </c>
    </row>
    <row r="1256" spans="1:6" x14ac:dyDescent="0.3">
      <c r="A1256">
        <v>1255</v>
      </c>
      <c r="B1256" t="s">
        <v>1017</v>
      </c>
      <c r="C1256" t="s">
        <v>2222</v>
      </c>
      <c r="D1256">
        <v>3</v>
      </c>
      <c r="E1256">
        <v>49038</v>
      </c>
      <c r="F1256">
        <f>messy_order_items_csv[[#This Row],[unit_price]]*messy_order_items_csv[[#This Row],[quantity]]</f>
        <v>147114</v>
      </c>
    </row>
    <row r="1257" spans="1:6" x14ac:dyDescent="0.3">
      <c r="A1257">
        <v>1256</v>
      </c>
      <c r="B1257" t="s">
        <v>1416</v>
      </c>
      <c r="C1257" t="s">
        <v>2223</v>
      </c>
      <c r="D1257">
        <v>4</v>
      </c>
      <c r="E1257">
        <v>31497</v>
      </c>
      <c r="F1257">
        <f>messy_order_items_csv[[#This Row],[unit_price]]*messy_order_items_csv[[#This Row],[quantity]]</f>
        <v>125988</v>
      </c>
    </row>
    <row r="1258" spans="1:6" x14ac:dyDescent="0.3">
      <c r="A1258">
        <v>1257</v>
      </c>
      <c r="B1258" t="s">
        <v>1853</v>
      </c>
      <c r="C1258" t="s">
        <v>2252</v>
      </c>
      <c r="D1258">
        <v>1</v>
      </c>
      <c r="E1258">
        <v>74329</v>
      </c>
      <c r="F1258">
        <f>messy_order_items_csv[[#This Row],[unit_price]]*messy_order_items_csv[[#This Row],[quantity]]</f>
        <v>74329</v>
      </c>
    </row>
    <row r="1259" spans="1:6" x14ac:dyDescent="0.3">
      <c r="A1259">
        <v>1258</v>
      </c>
      <c r="B1259" t="s">
        <v>1996</v>
      </c>
      <c r="C1259" t="s">
        <v>2247</v>
      </c>
      <c r="D1259">
        <v>4</v>
      </c>
      <c r="E1259">
        <v>31497</v>
      </c>
      <c r="F1259">
        <f>messy_order_items_csv[[#This Row],[unit_price]]*messy_order_items_csv[[#This Row],[quantity]]</f>
        <v>125988</v>
      </c>
    </row>
    <row r="1260" spans="1:6" x14ac:dyDescent="0.3">
      <c r="A1260">
        <v>1259</v>
      </c>
      <c r="B1260" t="s">
        <v>1269</v>
      </c>
      <c r="C1260" t="s">
        <v>2195</v>
      </c>
      <c r="D1260">
        <v>1</v>
      </c>
      <c r="E1260">
        <v>70498</v>
      </c>
      <c r="F1260">
        <f>messy_order_items_csv[[#This Row],[unit_price]]*messy_order_items_csv[[#This Row],[quantity]]</f>
        <v>70498</v>
      </c>
    </row>
    <row r="1261" spans="1:6" x14ac:dyDescent="0.3">
      <c r="A1261">
        <v>1260</v>
      </c>
      <c r="B1261" t="s">
        <v>1937</v>
      </c>
      <c r="C1261" t="s">
        <v>2202</v>
      </c>
      <c r="D1261">
        <v>0</v>
      </c>
      <c r="E1261">
        <v>31497</v>
      </c>
      <c r="F1261">
        <f>messy_order_items_csv[[#This Row],[unit_price]]*messy_order_items_csv[[#This Row],[quantity]]</f>
        <v>0</v>
      </c>
    </row>
    <row r="1262" spans="1:6" x14ac:dyDescent="0.3">
      <c r="A1262">
        <v>1261</v>
      </c>
      <c r="B1262" t="s">
        <v>1075</v>
      </c>
      <c r="C1262" t="s">
        <v>2274</v>
      </c>
      <c r="D1262">
        <v>0</v>
      </c>
      <c r="E1262">
        <v>76395</v>
      </c>
      <c r="F1262">
        <f>messy_order_items_csv[[#This Row],[unit_price]]*messy_order_items_csv[[#This Row],[quantity]]</f>
        <v>0</v>
      </c>
    </row>
    <row r="1263" spans="1:6" x14ac:dyDescent="0.3">
      <c r="A1263">
        <v>1262</v>
      </c>
      <c r="B1263" t="s">
        <v>1171</v>
      </c>
      <c r="C1263" t="s">
        <v>2252</v>
      </c>
      <c r="D1263">
        <v>1</v>
      </c>
      <c r="E1263">
        <v>31497</v>
      </c>
      <c r="F1263">
        <f>messy_order_items_csv[[#This Row],[unit_price]]*messy_order_items_csv[[#This Row],[quantity]]</f>
        <v>31497</v>
      </c>
    </row>
    <row r="1264" spans="1:6" x14ac:dyDescent="0.3">
      <c r="A1264">
        <v>1263</v>
      </c>
      <c r="B1264" t="s">
        <v>1140</v>
      </c>
      <c r="C1264" t="s">
        <v>2270</v>
      </c>
      <c r="D1264">
        <v>0</v>
      </c>
      <c r="E1264">
        <v>35410</v>
      </c>
      <c r="F1264">
        <f>messy_order_items_csv[[#This Row],[unit_price]]*messy_order_items_csv[[#This Row],[quantity]]</f>
        <v>0</v>
      </c>
    </row>
    <row r="1265" spans="1:6" x14ac:dyDescent="0.3">
      <c r="A1265">
        <v>1264</v>
      </c>
      <c r="B1265" t="s">
        <v>1225</v>
      </c>
      <c r="C1265" t="s">
        <v>2226</v>
      </c>
      <c r="D1265">
        <v>0</v>
      </c>
      <c r="E1265">
        <v>85365</v>
      </c>
      <c r="F1265">
        <f>messy_order_items_csv[[#This Row],[unit_price]]*messy_order_items_csv[[#This Row],[quantity]]</f>
        <v>0</v>
      </c>
    </row>
    <row r="1266" spans="1:6" x14ac:dyDescent="0.3">
      <c r="A1266">
        <v>1265</v>
      </c>
      <c r="B1266" t="s">
        <v>1898</v>
      </c>
      <c r="C1266" t="s">
        <v>2248</v>
      </c>
      <c r="D1266">
        <v>1</v>
      </c>
      <c r="E1266">
        <v>31497</v>
      </c>
      <c r="F1266">
        <f>messy_order_items_csv[[#This Row],[unit_price]]*messy_order_items_csv[[#This Row],[quantity]]</f>
        <v>31497</v>
      </c>
    </row>
    <row r="1267" spans="1:6" x14ac:dyDescent="0.3">
      <c r="A1267">
        <v>1266</v>
      </c>
      <c r="B1267" t="s">
        <v>1065</v>
      </c>
      <c r="C1267" t="s">
        <v>2218</v>
      </c>
      <c r="D1267">
        <v>0</v>
      </c>
      <c r="E1267">
        <v>77028</v>
      </c>
      <c r="F1267">
        <f>messy_order_items_csv[[#This Row],[unit_price]]*messy_order_items_csv[[#This Row],[quantity]]</f>
        <v>0</v>
      </c>
    </row>
    <row r="1268" spans="1:6" x14ac:dyDescent="0.3">
      <c r="A1268">
        <v>1267</v>
      </c>
      <c r="B1268" t="s">
        <v>1119</v>
      </c>
      <c r="C1268" t="s">
        <v>2196</v>
      </c>
      <c r="E1268">
        <v>89446</v>
      </c>
      <c r="F1268">
        <f>messy_order_items_csv[[#This Row],[unit_price]]*messy_order_items_csv[[#This Row],[quantity]]</f>
        <v>0</v>
      </c>
    </row>
    <row r="1269" spans="1:6" x14ac:dyDescent="0.3">
      <c r="A1269">
        <v>1268</v>
      </c>
      <c r="B1269" t="s">
        <v>2172</v>
      </c>
      <c r="C1269" t="s">
        <v>2239</v>
      </c>
      <c r="E1269">
        <v>55994</v>
      </c>
      <c r="F1269">
        <f>messy_order_items_csv[[#This Row],[unit_price]]*messy_order_items_csv[[#This Row],[quantity]]</f>
        <v>0</v>
      </c>
    </row>
    <row r="1270" spans="1:6" x14ac:dyDescent="0.3">
      <c r="A1270">
        <v>1269</v>
      </c>
      <c r="B1270" t="s">
        <v>1614</v>
      </c>
      <c r="C1270" t="s">
        <v>2274</v>
      </c>
      <c r="D1270">
        <v>2</v>
      </c>
      <c r="E1270">
        <v>31497</v>
      </c>
      <c r="F1270">
        <f>messy_order_items_csv[[#This Row],[unit_price]]*messy_order_items_csv[[#This Row],[quantity]]</f>
        <v>62994</v>
      </c>
    </row>
    <row r="1271" spans="1:6" x14ac:dyDescent="0.3">
      <c r="A1271">
        <v>1270</v>
      </c>
      <c r="B1271" t="s">
        <v>1887</v>
      </c>
      <c r="C1271" t="s">
        <v>2239</v>
      </c>
      <c r="E1271">
        <v>21876</v>
      </c>
      <c r="F1271">
        <f>messy_order_items_csv[[#This Row],[unit_price]]*messy_order_items_csv[[#This Row],[quantity]]</f>
        <v>0</v>
      </c>
    </row>
    <row r="1272" spans="1:6" x14ac:dyDescent="0.3">
      <c r="A1272">
        <v>1271</v>
      </c>
      <c r="B1272" t="s">
        <v>1926</v>
      </c>
      <c r="C1272" t="s">
        <v>2256</v>
      </c>
      <c r="D1272">
        <v>2</v>
      </c>
      <c r="E1272">
        <v>31497</v>
      </c>
      <c r="F1272">
        <f>messy_order_items_csv[[#This Row],[unit_price]]*messy_order_items_csv[[#This Row],[quantity]]</f>
        <v>62994</v>
      </c>
    </row>
    <row r="1273" spans="1:6" x14ac:dyDescent="0.3">
      <c r="A1273">
        <v>1272</v>
      </c>
      <c r="B1273" t="s">
        <v>1065</v>
      </c>
      <c r="C1273" t="s">
        <v>2208</v>
      </c>
      <c r="D1273">
        <v>2</v>
      </c>
      <c r="E1273">
        <v>31497</v>
      </c>
      <c r="F1273">
        <f>messy_order_items_csv[[#This Row],[unit_price]]*messy_order_items_csv[[#This Row],[quantity]]</f>
        <v>62994</v>
      </c>
    </row>
    <row r="1274" spans="1:6" x14ac:dyDescent="0.3">
      <c r="A1274">
        <v>1273</v>
      </c>
      <c r="B1274" t="s">
        <v>1433</v>
      </c>
      <c r="C1274" t="s">
        <v>2215</v>
      </c>
      <c r="D1274">
        <v>1</v>
      </c>
      <c r="E1274">
        <v>40732</v>
      </c>
      <c r="F1274">
        <f>messy_order_items_csv[[#This Row],[unit_price]]*messy_order_items_csv[[#This Row],[quantity]]</f>
        <v>40732</v>
      </c>
    </row>
    <row r="1275" spans="1:6" x14ac:dyDescent="0.3">
      <c r="A1275">
        <v>1274</v>
      </c>
      <c r="B1275" t="s">
        <v>1012</v>
      </c>
      <c r="C1275" t="s">
        <v>2257</v>
      </c>
      <c r="E1275">
        <v>23536</v>
      </c>
      <c r="F1275">
        <f>messy_order_items_csv[[#This Row],[unit_price]]*messy_order_items_csv[[#This Row],[quantity]]</f>
        <v>0</v>
      </c>
    </row>
    <row r="1276" spans="1:6" x14ac:dyDescent="0.3">
      <c r="A1276">
        <v>1275</v>
      </c>
      <c r="B1276" t="s">
        <v>1551</v>
      </c>
      <c r="C1276" t="s">
        <v>2246</v>
      </c>
      <c r="D1276">
        <v>1</v>
      </c>
      <c r="E1276">
        <v>2571</v>
      </c>
      <c r="F1276">
        <f>messy_order_items_csv[[#This Row],[unit_price]]*messy_order_items_csv[[#This Row],[quantity]]</f>
        <v>2571</v>
      </c>
    </row>
    <row r="1277" spans="1:6" x14ac:dyDescent="0.3">
      <c r="A1277">
        <v>1276</v>
      </c>
      <c r="B1277" t="s">
        <v>1194</v>
      </c>
      <c r="C1277" t="s">
        <v>2202</v>
      </c>
      <c r="D1277">
        <v>3</v>
      </c>
      <c r="E1277">
        <v>31497</v>
      </c>
      <c r="F1277">
        <f>messy_order_items_csv[[#This Row],[unit_price]]*messy_order_items_csv[[#This Row],[quantity]]</f>
        <v>94491</v>
      </c>
    </row>
    <row r="1278" spans="1:6" x14ac:dyDescent="0.3">
      <c r="A1278">
        <v>1277</v>
      </c>
      <c r="B1278" t="s">
        <v>1519</v>
      </c>
      <c r="C1278" t="s">
        <v>2232</v>
      </c>
      <c r="D1278">
        <v>1</v>
      </c>
      <c r="E1278">
        <v>56616</v>
      </c>
      <c r="F1278">
        <f>messy_order_items_csv[[#This Row],[unit_price]]*messy_order_items_csv[[#This Row],[quantity]]</f>
        <v>56616</v>
      </c>
    </row>
    <row r="1279" spans="1:6" x14ac:dyDescent="0.3">
      <c r="A1279">
        <v>1278</v>
      </c>
      <c r="B1279" t="s">
        <v>1773</v>
      </c>
      <c r="C1279" t="s">
        <v>2220</v>
      </c>
      <c r="D1279">
        <v>2</v>
      </c>
      <c r="E1279">
        <v>7298</v>
      </c>
      <c r="F1279">
        <f>messy_order_items_csv[[#This Row],[unit_price]]*messy_order_items_csv[[#This Row],[quantity]]</f>
        <v>14596</v>
      </c>
    </row>
    <row r="1280" spans="1:6" x14ac:dyDescent="0.3">
      <c r="A1280">
        <v>1279</v>
      </c>
      <c r="B1280" t="s">
        <v>1838</v>
      </c>
      <c r="C1280" t="s">
        <v>2204</v>
      </c>
      <c r="D1280">
        <v>3</v>
      </c>
      <c r="E1280">
        <v>9588</v>
      </c>
      <c r="F1280">
        <f>messy_order_items_csv[[#This Row],[unit_price]]*messy_order_items_csv[[#This Row],[quantity]]</f>
        <v>28764</v>
      </c>
    </row>
    <row r="1281" spans="1:6" x14ac:dyDescent="0.3">
      <c r="A1281">
        <v>1280</v>
      </c>
      <c r="B1281" t="s">
        <v>2121</v>
      </c>
      <c r="C1281" t="s">
        <v>2223</v>
      </c>
      <c r="D1281">
        <v>0</v>
      </c>
      <c r="E1281">
        <v>31497</v>
      </c>
      <c r="F1281">
        <f>messy_order_items_csv[[#This Row],[unit_price]]*messy_order_items_csv[[#This Row],[quantity]]</f>
        <v>0</v>
      </c>
    </row>
    <row r="1282" spans="1:6" x14ac:dyDescent="0.3">
      <c r="A1282">
        <v>1281</v>
      </c>
      <c r="B1282" t="s">
        <v>2070</v>
      </c>
      <c r="C1282" t="s">
        <v>2225</v>
      </c>
      <c r="D1282">
        <v>4</v>
      </c>
      <c r="E1282">
        <v>31497</v>
      </c>
      <c r="F1282">
        <f>messy_order_items_csv[[#This Row],[unit_price]]*messy_order_items_csv[[#This Row],[quantity]]</f>
        <v>125988</v>
      </c>
    </row>
    <row r="1283" spans="1:6" x14ac:dyDescent="0.3">
      <c r="A1283">
        <v>1282</v>
      </c>
      <c r="B1283" t="s">
        <v>1070</v>
      </c>
      <c r="C1283" t="s">
        <v>2274</v>
      </c>
      <c r="D1283">
        <v>1</v>
      </c>
      <c r="E1283">
        <v>84550</v>
      </c>
      <c r="F1283">
        <f>messy_order_items_csv[[#This Row],[unit_price]]*messy_order_items_csv[[#This Row],[quantity]]</f>
        <v>84550</v>
      </c>
    </row>
    <row r="1284" spans="1:6" x14ac:dyDescent="0.3">
      <c r="A1284">
        <v>1283</v>
      </c>
      <c r="B1284" t="s">
        <v>2035</v>
      </c>
      <c r="C1284" t="s">
        <v>2259</v>
      </c>
      <c r="D1284">
        <v>3</v>
      </c>
      <c r="E1284">
        <v>67962</v>
      </c>
      <c r="F1284">
        <f>messy_order_items_csv[[#This Row],[unit_price]]*messy_order_items_csv[[#This Row],[quantity]]</f>
        <v>203886</v>
      </c>
    </row>
    <row r="1285" spans="1:6" x14ac:dyDescent="0.3">
      <c r="A1285">
        <v>1284</v>
      </c>
      <c r="B1285" t="s">
        <v>1526</v>
      </c>
      <c r="C1285" t="s">
        <v>2262</v>
      </c>
      <c r="D1285">
        <v>3</v>
      </c>
      <c r="E1285">
        <v>54184</v>
      </c>
      <c r="F1285">
        <f>messy_order_items_csv[[#This Row],[unit_price]]*messy_order_items_csv[[#This Row],[quantity]]</f>
        <v>162552</v>
      </c>
    </row>
    <row r="1286" spans="1:6" x14ac:dyDescent="0.3">
      <c r="A1286">
        <v>1285</v>
      </c>
      <c r="B1286" t="s">
        <v>1683</v>
      </c>
      <c r="C1286" t="s">
        <v>2198</v>
      </c>
      <c r="D1286">
        <v>3</v>
      </c>
      <c r="E1286">
        <v>57773</v>
      </c>
      <c r="F1286">
        <f>messy_order_items_csv[[#This Row],[unit_price]]*messy_order_items_csv[[#This Row],[quantity]]</f>
        <v>173319</v>
      </c>
    </row>
    <row r="1287" spans="1:6" x14ac:dyDescent="0.3">
      <c r="A1287">
        <v>1286</v>
      </c>
      <c r="B1287" t="s">
        <v>1893</v>
      </c>
      <c r="C1287" t="s">
        <v>2231</v>
      </c>
      <c r="D1287">
        <v>1</v>
      </c>
      <c r="E1287">
        <v>40595</v>
      </c>
      <c r="F1287">
        <f>messy_order_items_csv[[#This Row],[unit_price]]*messy_order_items_csv[[#This Row],[quantity]]</f>
        <v>40595</v>
      </c>
    </row>
    <row r="1288" spans="1:6" x14ac:dyDescent="0.3">
      <c r="A1288">
        <v>1287</v>
      </c>
      <c r="B1288" t="s">
        <v>1879</v>
      </c>
      <c r="C1288" t="s">
        <v>2230</v>
      </c>
      <c r="D1288">
        <v>4</v>
      </c>
      <c r="E1288">
        <v>29917</v>
      </c>
      <c r="F1288">
        <f>messy_order_items_csv[[#This Row],[unit_price]]*messy_order_items_csv[[#This Row],[quantity]]</f>
        <v>119668</v>
      </c>
    </row>
    <row r="1289" spans="1:6" x14ac:dyDescent="0.3">
      <c r="A1289">
        <v>1288</v>
      </c>
      <c r="B1289" t="s">
        <v>1744</v>
      </c>
      <c r="C1289" t="s">
        <v>2203</v>
      </c>
      <c r="E1289">
        <v>76755</v>
      </c>
      <c r="F1289">
        <f>messy_order_items_csv[[#This Row],[unit_price]]*messy_order_items_csv[[#This Row],[quantity]]</f>
        <v>0</v>
      </c>
    </row>
    <row r="1290" spans="1:6" x14ac:dyDescent="0.3">
      <c r="A1290">
        <v>1289</v>
      </c>
      <c r="B1290" t="s">
        <v>1067</v>
      </c>
      <c r="C1290" t="s">
        <v>2203</v>
      </c>
      <c r="E1290">
        <v>76755</v>
      </c>
      <c r="F1290">
        <f>messy_order_items_csv[[#This Row],[unit_price]]*messy_order_items_csv[[#This Row],[quantity]]</f>
        <v>0</v>
      </c>
    </row>
    <row r="1291" spans="1:6" x14ac:dyDescent="0.3">
      <c r="A1291">
        <v>1290</v>
      </c>
      <c r="B1291" t="s">
        <v>1284</v>
      </c>
      <c r="C1291" t="s">
        <v>2273</v>
      </c>
      <c r="D1291">
        <v>0</v>
      </c>
      <c r="E1291">
        <v>31497</v>
      </c>
      <c r="F1291">
        <f>messy_order_items_csv[[#This Row],[unit_price]]*messy_order_items_csv[[#This Row],[quantity]]</f>
        <v>0</v>
      </c>
    </row>
    <row r="1292" spans="1:6" x14ac:dyDescent="0.3">
      <c r="A1292">
        <v>1291</v>
      </c>
      <c r="B1292" t="s">
        <v>1670</v>
      </c>
      <c r="C1292" t="s">
        <v>2202</v>
      </c>
      <c r="D1292">
        <v>2</v>
      </c>
      <c r="E1292">
        <v>74431</v>
      </c>
      <c r="F1292">
        <f>messy_order_items_csv[[#This Row],[unit_price]]*messy_order_items_csv[[#This Row],[quantity]]</f>
        <v>148862</v>
      </c>
    </row>
    <row r="1293" spans="1:6" x14ac:dyDescent="0.3">
      <c r="A1293">
        <v>1292</v>
      </c>
      <c r="B1293" t="s">
        <v>2001</v>
      </c>
      <c r="C1293" t="s">
        <v>2235</v>
      </c>
      <c r="D1293">
        <v>3</v>
      </c>
      <c r="E1293">
        <v>52631</v>
      </c>
      <c r="F1293">
        <f>messy_order_items_csv[[#This Row],[unit_price]]*messy_order_items_csv[[#This Row],[quantity]]</f>
        <v>157893</v>
      </c>
    </row>
    <row r="1294" spans="1:6" x14ac:dyDescent="0.3">
      <c r="A1294">
        <v>1293</v>
      </c>
      <c r="B1294" t="s">
        <v>988</v>
      </c>
      <c r="C1294" t="s">
        <v>2248</v>
      </c>
      <c r="D1294">
        <v>0</v>
      </c>
      <c r="E1294">
        <v>61323</v>
      </c>
      <c r="F1294">
        <f>messy_order_items_csv[[#This Row],[unit_price]]*messy_order_items_csv[[#This Row],[quantity]]</f>
        <v>0</v>
      </c>
    </row>
    <row r="1295" spans="1:6" x14ac:dyDescent="0.3">
      <c r="A1295">
        <v>1294</v>
      </c>
      <c r="B1295" t="s">
        <v>1075</v>
      </c>
      <c r="C1295" t="s">
        <v>2241</v>
      </c>
      <c r="D1295">
        <v>4</v>
      </c>
      <c r="E1295">
        <v>27157</v>
      </c>
      <c r="F1295">
        <f>messy_order_items_csv[[#This Row],[unit_price]]*messy_order_items_csv[[#This Row],[quantity]]</f>
        <v>108628</v>
      </c>
    </row>
    <row r="1296" spans="1:6" x14ac:dyDescent="0.3">
      <c r="A1296">
        <v>1295</v>
      </c>
      <c r="B1296" t="s">
        <v>1103</v>
      </c>
      <c r="C1296" t="s">
        <v>2195</v>
      </c>
      <c r="D1296">
        <v>3</v>
      </c>
      <c r="E1296">
        <v>69715</v>
      </c>
      <c r="F1296">
        <f>messy_order_items_csv[[#This Row],[unit_price]]*messy_order_items_csv[[#This Row],[quantity]]</f>
        <v>209145</v>
      </c>
    </row>
    <row r="1297" spans="1:6" x14ac:dyDescent="0.3">
      <c r="A1297">
        <v>1296</v>
      </c>
      <c r="B1297" t="s">
        <v>1269</v>
      </c>
      <c r="C1297" t="s">
        <v>2259</v>
      </c>
      <c r="D1297">
        <v>1</v>
      </c>
      <c r="E1297">
        <v>25729</v>
      </c>
      <c r="F1297">
        <f>messy_order_items_csv[[#This Row],[unit_price]]*messy_order_items_csv[[#This Row],[quantity]]</f>
        <v>25729</v>
      </c>
    </row>
    <row r="1298" spans="1:6" x14ac:dyDescent="0.3">
      <c r="A1298">
        <v>1297</v>
      </c>
      <c r="B1298" t="s">
        <v>2039</v>
      </c>
      <c r="C1298" t="s">
        <v>2255</v>
      </c>
      <c r="D1298">
        <v>0</v>
      </c>
      <c r="E1298">
        <v>35441</v>
      </c>
      <c r="F1298">
        <f>messy_order_items_csv[[#This Row],[unit_price]]*messy_order_items_csv[[#This Row],[quantity]]</f>
        <v>0</v>
      </c>
    </row>
    <row r="1299" spans="1:6" x14ac:dyDescent="0.3">
      <c r="A1299">
        <v>1298</v>
      </c>
      <c r="B1299" t="s">
        <v>1213</v>
      </c>
      <c r="C1299" t="s">
        <v>2195</v>
      </c>
      <c r="D1299">
        <v>3</v>
      </c>
      <c r="E1299">
        <v>47453</v>
      </c>
      <c r="F1299">
        <f>messy_order_items_csv[[#This Row],[unit_price]]*messy_order_items_csv[[#This Row],[quantity]]</f>
        <v>142359</v>
      </c>
    </row>
    <row r="1300" spans="1:6" x14ac:dyDescent="0.3">
      <c r="A1300">
        <v>1299</v>
      </c>
      <c r="B1300" t="s">
        <v>1087</v>
      </c>
      <c r="C1300" t="s">
        <v>2236</v>
      </c>
      <c r="D1300">
        <v>4</v>
      </c>
      <c r="E1300">
        <v>6095</v>
      </c>
      <c r="F1300">
        <f>messy_order_items_csv[[#This Row],[unit_price]]*messy_order_items_csv[[#This Row],[quantity]]</f>
        <v>24380</v>
      </c>
    </row>
    <row r="1301" spans="1:6" x14ac:dyDescent="0.3">
      <c r="A1301">
        <v>1300</v>
      </c>
      <c r="B1301" t="s">
        <v>1634</v>
      </c>
      <c r="C1301" t="s">
        <v>2218</v>
      </c>
      <c r="D1301">
        <v>1</v>
      </c>
      <c r="E1301">
        <v>65274</v>
      </c>
      <c r="F1301">
        <f>messy_order_items_csv[[#This Row],[unit_price]]*messy_order_items_csv[[#This Row],[quantity]]</f>
        <v>65274</v>
      </c>
    </row>
    <row r="1302" spans="1:6" x14ac:dyDescent="0.3">
      <c r="A1302">
        <v>1301</v>
      </c>
      <c r="B1302" t="s">
        <v>1243</v>
      </c>
      <c r="C1302" t="s">
        <v>2196</v>
      </c>
      <c r="D1302">
        <v>4</v>
      </c>
      <c r="E1302">
        <v>60785</v>
      </c>
      <c r="F1302">
        <f>messy_order_items_csv[[#This Row],[unit_price]]*messy_order_items_csv[[#This Row],[quantity]]</f>
        <v>243140</v>
      </c>
    </row>
    <row r="1303" spans="1:6" x14ac:dyDescent="0.3">
      <c r="A1303">
        <v>1302</v>
      </c>
      <c r="B1303" t="s">
        <v>1218</v>
      </c>
      <c r="C1303" t="s">
        <v>2220</v>
      </c>
      <c r="E1303">
        <v>5475</v>
      </c>
      <c r="F1303">
        <f>messy_order_items_csv[[#This Row],[unit_price]]*messy_order_items_csv[[#This Row],[quantity]]</f>
        <v>0</v>
      </c>
    </row>
    <row r="1304" spans="1:6" x14ac:dyDescent="0.3">
      <c r="A1304">
        <v>1303</v>
      </c>
      <c r="B1304" t="s">
        <v>1769</v>
      </c>
      <c r="C1304" t="s">
        <v>2213</v>
      </c>
      <c r="E1304">
        <v>12529</v>
      </c>
      <c r="F1304">
        <f>messy_order_items_csv[[#This Row],[unit_price]]*messy_order_items_csv[[#This Row],[quantity]]</f>
        <v>0</v>
      </c>
    </row>
    <row r="1305" spans="1:6" x14ac:dyDescent="0.3">
      <c r="A1305">
        <v>1304</v>
      </c>
      <c r="B1305" t="s">
        <v>1945</v>
      </c>
      <c r="C1305" t="s">
        <v>2220</v>
      </c>
      <c r="D1305">
        <v>0</v>
      </c>
      <c r="E1305">
        <v>34146</v>
      </c>
      <c r="F1305">
        <f>messy_order_items_csv[[#This Row],[unit_price]]*messy_order_items_csv[[#This Row],[quantity]]</f>
        <v>0</v>
      </c>
    </row>
    <row r="1306" spans="1:6" x14ac:dyDescent="0.3">
      <c r="A1306">
        <v>1305</v>
      </c>
      <c r="B1306" t="s">
        <v>2142</v>
      </c>
      <c r="C1306" t="s">
        <v>2212</v>
      </c>
      <c r="D1306">
        <v>1</v>
      </c>
      <c r="E1306">
        <v>58364</v>
      </c>
      <c r="F1306">
        <f>messy_order_items_csv[[#This Row],[unit_price]]*messy_order_items_csv[[#This Row],[quantity]]</f>
        <v>58364</v>
      </c>
    </row>
    <row r="1307" spans="1:6" x14ac:dyDescent="0.3">
      <c r="A1307">
        <v>1306</v>
      </c>
      <c r="B1307" t="s">
        <v>1564</v>
      </c>
      <c r="C1307" t="s">
        <v>2217</v>
      </c>
      <c r="D1307">
        <v>2</v>
      </c>
      <c r="E1307">
        <v>44051</v>
      </c>
      <c r="F1307">
        <f>messy_order_items_csv[[#This Row],[unit_price]]*messy_order_items_csv[[#This Row],[quantity]]</f>
        <v>88102</v>
      </c>
    </row>
    <row r="1308" spans="1:6" x14ac:dyDescent="0.3">
      <c r="A1308">
        <v>1307</v>
      </c>
      <c r="B1308" t="s">
        <v>1008</v>
      </c>
      <c r="C1308" t="s">
        <v>2241</v>
      </c>
      <c r="D1308">
        <v>1</v>
      </c>
      <c r="E1308">
        <v>27157</v>
      </c>
      <c r="F1308">
        <f>messy_order_items_csv[[#This Row],[unit_price]]*messy_order_items_csv[[#This Row],[quantity]]</f>
        <v>27157</v>
      </c>
    </row>
    <row r="1309" spans="1:6" x14ac:dyDescent="0.3">
      <c r="A1309">
        <v>1308</v>
      </c>
      <c r="B1309" t="s">
        <v>1205</v>
      </c>
      <c r="C1309" t="s">
        <v>2234</v>
      </c>
      <c r="E1309">
        <v>31497</v>
      </c>
      <c r="F1309">
        <f>messy_order_items_csv[[#This Row],[unit_price]]*messy_order_items_csv[[#This Row],[quantity]]</f>
        <v>0</v>
      </c>
    </row>
    <row r="1310" spans="1:6" x14ac:dyDescent="0.3">
      <c r="A1310">
        <v>1309</v>
      </c>
      <c r="B1310" t="s">
        <v>1259</v>
      </c>
      <c r="C1310" t="s">
        <v>2196</v>
      </c>
      <c r="D1310">
        <v>3</v>
      </c>
      <c r="E1310">
        <v>22464</v>
      </c>
      <c r="F1310">
        <f>messy_order_items_csv[[#This Row],[unit_price]]*messy_order_items_csv[[#This Row],[quantity]]</f>
        <v>67392</v>
      </c>
    </row>
    <row r="1311" spans="1:6" x14ac:dyDescent="0.3">
      <c r="A1311">
        <v>1310</v>
      </c>
      <c r="B1311" t="s">
        <v>1159</v>
      </c>
      <c r="C1311" t="s">
        <v>2244</v>
      </c>
      <c r="D1311">
        <v>1</v>
      </c>
      <c r="E1311">
        <v>31497</v>
      </c>
      <c r="F1311">
        <f>messy_order_items_csv[[#This Row],[unit_price]]*messy_order_items_csv[[#This Row],[quantity]]</f>
        <v>31497</v>
      </c>
    </row>
    <row r="1312" spans="1:6" x14ac:dyDescent="0.3">
      <c r="A1312">
        <v>1311</v>
      </c>
      <c r="B1312" t="s">
        <v>2063</v>
      </c>
      <c r="C1312" t="s">
        <v>2200</v>
      </c>
      <c r="E1312">
        <v>42365</v>
      </c>
      <c r="F1312">
        <f>messy_order_items_csv[[#This Row],[unit_price]]*messy_order_items_csv[[#This Row],[quantity]]</f>
        <v>0</v>
      </c>
    </row>
    <row r="1313" spans="1:6" x14ac:dyDescent="0.3">
      <c r="A1313">
        <v>1312</v>
      </c>
      <c r="B1313" t="s">
        <v>1035</v>
      </c>
      <c r="C1313" t="s">
        <v>2209</v>
      </c>
      <c r="D1313">
        <v>4</v>
      </c>
      <c r="E1313">
        <v>13294</v>
      </c>
      <c r="F1313">
        <f>messy_order_items_csv[[#This Row],[unit_price]]*messy_order_items_csv[[#This Row],[quantity]]</f>
        <v>53176</v>
      </c>
    </row>
    <row r="1314" spans="1:6" x14ac:dyDescent="0.3">
      <c r="A1314">
        <v>1313</v>
      </c>
      <c r="B1314" t="s">
        <v>1794</v>
      </c>
      <c r="C1314" t="s">
        <v>2272</v>
      </c>
      <c r="D1314">
        <v>3</v>
      </c>
      <c r="E1314">
        <v>43027</v>
      </c>
      <c r="F1314">
        <f>messy_order_items_csv[[#This Row],[unit_price]]*messy_order_items_csv[[#This Row],[quantity]]</f>
        <v>129081</v>
      </c>
    </row>
    <row r="1315" spans="1:6" x14ac:dyDescent="0.3">
      <c r="A1315">
        <v>1314</v>
      </c>
      <c r="B1315" t="s">
        <v>1420</v>
      </c>
      <c r="C1315" t="s">
        <v>2250</v>
      </c>
      <c r="D1315">
        <v>1</v>
      </c>
      <c r="E1315">
        <v>20782</v>
      </c>
      <c r="F1315">
        <f>messy_order_items_csv[[#This Row],[unit_price]]*messy_order_items_csv[[#This Row],[quantity]]</f>
        <v>20782</v>
      </c>
    </row>
    <row r="1316" spans="1:6" x14ac:dyDescent="0.3">
      <c r="A1316">
        <v>1315</v>
      </c>
      <c r="B1316" t="s">
        <v>1046</v>
      </c>
      <c r="C1316" t="s">
        <v>2204</v>
      </c>
      <c r="D1316">
        <v>4</v>
      </c>
      <c r="E1316">
        <v>31497</v>
      </c>
      <c r="F1316">
        <f>messy_order_items_csv[[#This Row],[unit_price]]*messy_order_items_csv[[#This Row],[quantity]]</f>
        <v>125988</v>
      </c>
    </row>
    <row r="1317" spans="1:6" x14ac:dyDescent="0.3">
      <c r="A1317">
        <v>1316</v>
      </c>
      <c r="B1317" t="s">
        <v>1676</v>
      </c>
      <c r="C1317" t="s">
        <v>2210</v>
      </c>
      <c r="D1317">
        <v>3</v>
      </c>
      <c r="E1317">
        <v>31497</v>
      </c>
      <c r="F1317">
        <f>messy_order_items_csv[[#This Row],[unit_price]]*messy_order_items_csv[[#This Row],[quantity]]</f>
        <v>94491</v>
      </c>
    </row>
    <row r="1318" spans="1:6" x14ac:dyDescent="0.3">
      <c r="A1318">
        <v>1317</v>
      </c>
      <c r="B1318" t="s">
        <v>2152</v>
      </c>
      <c r="C1318" t="s">
        <v>2260</v>
      </c>
      <c r="D1318">
        <v>2</v>
      </c>
      <c r="E1318">
        <v>86191</v>
      </c>
      <c r="F1318">
        <f>messy_order_items_csv[[#This Row],[unit_price]]*messy_order_items_csv[[#This Row],[quantity]]</f>
        <v>172382</v>
      </c>
    </row>
    <row r="1319" spans="1:6" x14ac:dyDescent="0.3">
      <c r="A1319">
        <v>1318</v>
      </c>
      <c r="B1319" t="s">
        <v>1352</v>
      </c>
      <c r="C1319" t="s">
        <v>2261</v>
      </c>
      <c r="E1319">
        <v>31497</v>
      </c>
      <c r="F1319">
        <f>messy_order_items_csv[[#This Row],[unit_price]]*messy_order_items_csv[[#This Row],[quantity]]</f>
        <v>0</v>
      </c>
    </row>
    <row r="1320" spans="1:6" x14ac:dyDescent="0.3">
      <c r="A1320">
        <v>1319</v>
      </c>
      <c r="B1320" t="s">
        <v>1506</v>
      </c>
      <c r="C1320" t="s">
        <v>2235</v>
      </c>
      <c r="D1320">
        <v>4</v>
      </c>
      <c r="E1320">
        <v>5346</v>
      </c>
      <c r="F1320">
        <f>messy_order_items_csv[[#This Row],[unit_price]]*messy_order_items_csv[[#This Row],[quantity]]</f>
        <v>21384</v>
      </c>
    </row>
    <row r="1321" spans="1:6" x14ac:dyDescent="0.3">
      <c r="A1321">
        <v>1320</v>
      </c>
      <c r="B1321" t="s">
        <v>1536</v>
      </c>
      <c r="C1321" t="s">
        <v>2230</v>
      </c>
      <c r="D1321">
        <v>4</v>
      </c>
      <c r="E1321">
        <v>7617</v>
      </c>
      <c r="F1321">
        <f>messy_order_items_csv[[#This Row],[unit_price]]*messy_order_items_csv[[#This Row],[quantity]]</f>
        <v>30468</v>
      </c>
    </row>
    <row r="1322" spans="1:6" x14ac:dyDescent="0.3">
      <c r="A1322">
        <v>1321</v>
      </c>
      <c r="B1322" t="s">
        <v>1962</v>
      </c>
      <c r="C1322" t="s">
        <v>2258</v>
      </c>
      <c r="D1322">
        <v>1</v>
      </c>
      <c r="E1322">
        <v>51735</v>
      </c>
      <c r="F1322">
        <f>messy_order_items_csv[[#This Row],[unit_price]]*messy_order_items_csv[[#This Row],[quantity]]</f>
        <v>51735</v>
      </c>
    </row>
    <row r="1323" spans="1:6" x14ac:dyDescent="0.3">
      <c r="A1323">
        <v>1322</v>
      </c>
      <c r="B1323" t="s">
        <v>2038</v>
      </c>
      <c r="C1323" t="s">
        <v>2210</v>
      </c>
      <c r="D1323">
        <v>2</v>
      </c>
      <c r="E1323">
        <v>23192</v>
      </c>
      <c r="F1323">
        <f>messy_order_items_csv[[#This Row],[unit_price]]*messy_order_items_csv[[#This Row],[quantity]]</f>
        <v>46384</v>
      </c>
    </row>
    <row r="1324" spans="1:6" x14ac:dyDescent="0.3">
      <c r="A1324">
        <v>1323</v>
      </c>
      <c r="B1324" t="s">
        <v>2012</v>
      </c>
      <c r="C1324" t="s">
        <v>2231</v>
      </c>
      <c r="D1324">
        <v>3</v>
      </c>
      <c r="E1324">
        <v>40595</v>
      </c>
      <c r="F1324">
        <f>messy_order_items_csv[[#This Row],[unit_price]]*messy_order_items_csv[[#This Row],[quantity]]</f>
        <v>121785</v>
      </c>
    </row>
    <row r="1325" spans="1:6" x14ac:dyDescent="0.3">
      <c r="A1325">
        <v>1324</v>
      </c>
      <c r="B1325" t="s">
        <v>1827</v>
      </c>
      <c r="C1325" t="s">
        <v>2242</v>
      </c>
      <c r="D1325">
        <v>1</v>
      </c>
      <c r="E1325">
        <v>31497</v>
      </c>
      <c r="F1325">
        <f>messy_order_items_csv[[#This Row],[unit_price]]*messy_order_items_csv[[#This Row],[quantity]]</f>
        <v>31497</v>
      </c>
    </row>
    <row r="1326" spans="1:6" x14ac:dyDescent="0.3">
      <c r="A1326">
        <v>1325</v>
      </c>
      <c r="B1326" t="s">
        <v>1546</v>
      </c>
      <c r="C1326" t="s">
        <v>2216</v>
      </c>
      <c r="D1326">
        <v>3</v>
      </c>
      <c r="E1326">
        <v>31497</v>
      </c>
      <c r="F1326">
        <f>messy_order_items_csv[[#This Row],[unit_price]]*messy_order_items_csv[[#This Row],[quantity]]</f>
        <v>94491</v>
      </c>
    </row>
    <row r="1327" spans="1:6" x14ac:dyDescent="0.3">
      <c r="A1327">
        <v>1326</v>
      </c>
      <c r="B1327" t="s">
        <v>1745</v>
      </c>
      <c r="C1327" t="s">
        <v>2222</v>
      </c>
      <c r="E1327">
        <v>34450</v>
      </c>
      <c r="F1327">
        <f>messy_order_items_csv[[#This Row],[unit_price]]*messy_order_items_csv[[#This Row],[quantity]]</f>
        <v>0</v>
      </c>
    </row>
    <row r="1328" spans="1:6" x14ac:dyDescent="0.3">
      <c r="A1328">
        <v>1327</v>
      </c>
      <c r="B1328" t="s">
        <v>1373</v>
      </c>
      <c r="C1328" t="s">
        <v>2206</v>
      </c>
      <c r="D1328">
        <v>3</v>
      </c>
      <c r="E1328">
        <v>15249</v>
      </c>
      <c r="F1328">
        <f>messy_order_items_csv[[#This Row],[unit_price]]*messy_order_items_csv[[#This Row],[quantity]]</f>
        <v>45747</v>
      </c>
    </row>
    <row r="1329" spans="1:6" x14ac:dyDescent="0.3">
      <c r="A1329">
        <v>1328</v>
      </c>
      <c r="B1329" t="s">
        <v>1630</v>
      </c>
      <c r="C1329" t="s">
        <v>2227</v>
      </c>
      <c r="D1329">
        <v>1</v>
      </c>
      <c r="E1329">
        <v>38206</v>
      </c>
      <c r="F1329">
        <f>messy_order_items_csv[[#This Row],[unit_price]]*messy_order_items_csv[[#This Row],[quantity]]</f>
        <v>38206</v>
      </c>
    </row>
    <row r="1330" spans="1:6" x14ac:dyDescent="0.3">
      <c r="A1330">
        <v>1329</v>
      </c>
      <c r="B1330" t="s">
        <v>1137</v>
      </c>
      <c r="C1330" t="s">
        <v>2264</v>
      </c>
      <c r="D1330">
        <v>1</v>
      </c>
      <c r="E1330">
        <v>43198</v>
      </c>
      <c r="F1330">
        <f>messy_order_items_csv[[#This Row],[unit_price]]*messy_order_items_csv[[#This Row],[quantity]]</f>
        <v>43198</v>
      </c>
    </row>
    <row r="1331" spans="1:6" x14ac:dyDescent="0.3">
      <c r="A1331">
        <v>1330</v>
      </c>
      <c r="B1331" t="s">
        <v>1561</v>
      </c>
      <c r="C1331" t="s">
        <v>2220</v>
      </c>
      <c r="D1331">
        <v>4</v>
      </c>
      <c r="E1331">
        <v>5475</v>
      </c>
      <c r="F1331">
        <f>messy_order_items_csv[[#This Row],[unit_price]]*messy_order_items_csv[[#This Row],[quantity]]</f>
        <v>21900</v>
      </c>
    </row>
    <row r="1332" spans="1:6" x14ac:dyDescent="0.3">
      <c r="A1332">
        <v>1331</v>
      </c>
      <c r="B1332" t="s">
        <v>1954</v>
      </c>
      <c r="C1332" t="s">
        <v>2269</v>
      </c>
      <c r="D1332">
        <v>0</v>
      </c>
      <c r="E1332">
        <v>4043</v>
      </c>
      <c r="F1332">
        <f>messy_order_items_csv[[#This Row],[unit_price]]*messy_order_items_csv[[#This Row],[quantity]]</f>
        <v>0</v>
      </c>
    </row>
    <row r="1333" spans="1:6" x14ac:dyDescent="0.3">
      <c r="A1333">
        <v>1332</v>
      </c>
      <c r="B1333" t="s">
        <v>1608</v>
      </c>
      <c r="C1333" t="s">
        <v>2200</v>
      </c>
      <c r="D1333">
        <v>2</v>
      </c>
      <c r="E1333">
        <v>13478</v>
      </c>
      <c r="F1333">
        <f>messy_order_items_csv[[#This Row],[unit_price]]*messy_order_items_csv[[#This Row],[quantity]]</f>
        <v>26956</v>
      </c>
    </row>
    <row r="1334" spans="1:6" x14ac:dyDescent="0.3">
      <c r="A1334">
        <v>1333</v>
      </c>
      <c r="B1334" t="s">
        <v>1604</v>
      </c>
      <c r="C1334" t="s">
        <v>2265</v>
      </c>
      <c r="D1334">
        <v>3</v>
      </c>
      <c r="E1334">
        <v>70582</v>
      </c>
      <c r="F1334">
        <f>messy_order_items_csv[[#This Row],[unit_price]]*messy_order_items_csv[[#This Row],[quantity]]</f>
        <v>211746</v>
      </c>
    </row>
    <row r="1335" spans="1:6" x14ac:dyDescent="0.3">
      <c r="A1335">
        <v>1334</v>
      </c>
      <c r="B1335" t="s">
        <v>2013</v>
      </c>
      <c r="C1335" t="s">
        <v>2257</v>
      </c>
      <c r="D1335">
        <v>4</v>
      </c>
      <c r="E1335">
        <v>31497</v>
      </c>
      <c r="F1335">
        <f>messy_order_items_csv[[#This Row],[unit_price]]*messy_order_items_csv[[#This Row],[quantity]]</f>
        <v>125988</v>
      </c>
    </row>
    <row r="1336" spans="1:6" x14ac:dyDescent="0.3">
      <c r="A1336">
        <v>1335</v>
      </c>
      <c r="B1336" t="s">
        <v>1968</v>
      </c>
      <c r="C1336" t="s">
        <v>2264</v>
      </c>
      <c r="D1336">
        <v>1</v>
      </c>
      <c r="E1336">
        <v>24933</v>
      </c>
      <c r="F1336">
        <f>messy_order_items_csv[[#This Row],[unit_price]]*messy_order_items_csv[[#This Row],[quantity]]</f>
        <v>24933</v>
      </c>
    </row>
    <row r="1337" spans="1:6" x14ac:dyDescent="0.3">
      <c r="A1337">
        <v>1336</v>
      </c>
      <c r="B1337" t="s">
        <v>1126</v>
      </c>
      <c r="C1337" t="s">
        <v>2245</v>
      </c>
      <c r="E1337">
        <v>46377</v>
      </c>
      <c r="F1337">
        <f>messy_order_items_csv[[#This Row],[unit_price]]*messy_order_items_csv[[#This Row],[quantity]]</f>
        <v>0</v>
      </c>
    </row>
    <row r="1338" spans="1:6" x14ac:dyDescent="0.3">
      <c r="A1338">
        <v>1337</v>
      </c>
      <c r="B1338" t="s">
        <v>1244</v>
      </c>
      <c r="C1338" t="s">
        <v>2205</v>
      </c>
      <c r="D1338">
        <v>1</v>
      </c>
      <c r="E1338">
        <v>88123</v>
      </c>
      <c r="F1338">
        <f>messy_order_items_csv[[#This Row],[unit_price]]*messy_order_items_csv[[#This Row],[quantity]]</f>
        <v>88123</v>
      </c>
    </row>
    <row r="1339" spans="1:6" x14ac:dyDescent="0.3">
      <c r="A1339">
        <v>1338</v>
      </c>
      <c r="B1339" t="s">
        <v>1263</v>
      </c>
      <c r="C1339" t="s">
        <v>2196</v>
      </c>
      <c r="D1339">
        <v>1</v>
      </c>
      <c r="E1339">
        <v>31497</v>
      </c>
      <c r="F1339">
        <f>messy_order_items_csv[[#This Row],[unit_price]]*messy_order_items_csv[[#This Row],[quantity]]</f>
        <v>31497</v>
      </c>
    </row>
    <row r="1340" spans="1:6" x14ac:dyDescent="0.3">
      <c r="A1340">
        <v>1339</v>
      </c>
      <c r="B1340" t="s">
        <v>1815</v>
      </c>
      <c r="C1340" t="s">
        <v>2206</v>
      </c>
      <c r="D1340">
        <v>3</v>
      </c>
      <c r="E1340">
        <v>15249</v>
      </c>
      <c r="F1340">
        <f>messy_order_items_csv[[#This Row],[unit_price]]*messy_order_items_csv[[#This Row],[quantity]]</f>
        <v>45747</v>
      </c>
    </row>
    <row r="1341" spans="1:6" x14ac:dyDescent="0.3">
      <c r="A1341">
        <v>1340</v>
      </c>
      <c r="B1341" t="s">
        <v>1097</v>
      </c>
      <c r="C1341" t="s">
        <v>2257</v>
      </c>
      <c r="D1341">
        <v>2</v>
      </c>
      <c r="E1341">
        <v>31497</v>
      </c>
      <c r="F1341">
        <f>messy_order_items_csv[[#This Row],[unit_price]]*messy_order_items_csv[[#This Row],[quantity]]</f>
        <v>62994</v>
      </c>
    </row>
    <row r="1342" spans="1:6" x14ac:dyDescent="0.3">
      <c r="A1342">
        <v>1341</v>
      </c>
      <c r="B1342" t="s">
        <v>2160</v>
      </c>
      <c r="C1342" t="s">
        <v>2208</v>
      </c>
      <c r="E1342">
        <v>37562</v>
      </c>
      <c r="F1342">
        <f>messy_order_items_csv[[#This Row],[unit_price]]*messy_order_items_csv[[#This Row],[quantity]]</f>
        <v>0</v>
      </c>
    </row>
    <row r="1343" spans="1:6" x14ac:dyDescent="0.3">
      <c r="A1343">
        <v>1342</v>
      </c>
      <c r="B1343" t="s">
        <v>1710</v>
      </c>
      <c r="C1343" t="s">
        <v>2221</v>
      </c>
      <c r="E1343">
        <v>67007</v>
      </c>
      <c r="F1343">
        <f>messy_order_items_csv[[#This Row],[unit_price]]*messy_order_items_csv[[#This Row],[quantity]]</f>
        <v>0</v>
      </c>
    </row>
    <row r="1344" spans="1:6" x14ac:dyDescent="0.3">
      <c r="A1344">
        <v>1343</v>
      </c>
      <c r="B1344" t="s">
        <v>1033</v>
      </c>
      <c r="C1344" t="s">
        <v>2197</v>
      </c>
      <c r="D1344">
        <v>3</v>
      </c>
      <c r="E1344">
        <v>63661</v>
      </c>
      <c r="F1344">
        <f>messy_order_items_csv[[#This Row],[unit_price]]*messy_order_items_csv[[#This Row],[quantity]]</f>
        <v>190983</v>
      </c>
    </row>
    <row r="1345" spans="1:6" x14ac:dyDescent="0.3">
      <c r="A1345">
        <v>1344</v>
      </c>
      <c r="B1345" t="s">
        <v>1604</v>
      </c>
      <c r="C1345" t="s">
        <v>2248</v>
      </c>
      <c r="D1345">
        <v>0</v>
      </c>
      <c r="E1345">
        <v>31497</v>
      </c>
      <c r="F1345">
        <f>messy_order_items_csv[[#This Row],[unit_price]]*messy_order_items_csv[[#This Row],[quantity]]</f>
        <v>0</v>
      </c>
    </row>
    <row r="1346" spans="1:6" x14ac:dyDescent="0.3">
      <c r="A1346">
        <v>1345</v>
      </c>
      <c r="B1346" t="s">
        <v>1486</v>
      </c>
      <c r="C1346" t="s">
        <v>2244</v>
      </c>
      <c r="D1346">
        <v>1</v>
      </c>
      <c r="E1346">
        <v>86292</v>
      </c>
      <c r="F1346">
        <f>messy_order_items_csv[[#This Row],[unit_price]]*messy_order_items_csv[[#This Row],[quantity]]</f>
        <v>86292</v>
      </c>
    </row>
    <row r="1347" spans="1:6" x14ac:dyDescent="0.3">
      <c r="A1347">
        <v>1346</v>
      </c>
      <c r="B1347" t="s">
        <v>1513</v>
      </c>
      <c r="C1347" t="s">
        <v>2203</v>
      </c>
      <c r="D1347">
        <v>2</v>
      </c>
      <c r="E1347">
        <v>85305</v>
      </c>
      <c r="F1347">
        <f>messy_order_items_csv[[#This Row],[unit_price]]*messy_order_items_csv[[#This Row],[quantity]]</f>
        <v>170610</v>
      </c>
    </row>
    <row r="1348" spans="1:6" x14ac:dyDescent="0.3">
      <c r="A1348">
        <v>1347</v>
      </c>
      <c r="B1348" t="s">
        <v>1184</v>
      </c>
      <c r="C1348" t="s">
        <v>2224</v>
      </c>
      <c r="D1348">
        <v>4</v>
      </c>
      <c r="E1348">
        <v>2678</v>
      </c>
      <c r="F1348">
        <f>messy_order_items_csv[[#This Row],[unit_price]]*messy_order_items_csv[[#This Row],[quantity]]</f>
        <v>10712</v>
      </c>
    </row>
    <row r="1349" spans="1:6" x14ac:dyDescent="0.3">
      <c r="A1349">
        <v>1348</v>
      </c>
      <c r="B1349" t="s">
        <v>1799</v>
      </c>
      <c r="C1349" t="s">
        <v>2196</v>
      </c>
      <c r="D1349">
        <v>4</v>
      </c>
      <c r="E1349">
        <v>31497</v>
      </c>
      <c r="F1349">
        <f>messy_order_items_csv[[#This Row],[unit_price]]*messy_order_items_csv[[#This Row],[quantity]]</f>
        <v>125988</v>
      </c>
    </row>
    <row r="1350" spans="1:6" x14ac:dyDescent="0.3">
      <c r="A1350">
        <v>1349</v>
      </c>
      <c r="B1350" t="s">
        <v>1671</v>
      </c>
      <c r="C1350" t="s">
        <v>2196</v>
      </c>
      <c r="E1350">
        <v>31497</v>
      </c>
      <c r="F1350">
        <f>messy_order_items_csv[[#This Row],[unit_price]]*messy_order_items_csv[[#This Row],[quantity]]</f>
        <v>0</v>
      </c>
    </row>
    <row r="1351" spans="1:6" x14ac:dyDescent="0.3">
      <c r="A1351">
        <v>1350</v>
      </c>
      <c r="B1351" t="s">
        <v>1570</v>
      </c>
      <c r="C1351" t="s">
        <v>2203</v>
      </c>
      <c r="D1351">
        <v>0</v>
      </c>
      <c r="E1351">
        <v>87369</v>
      </c>
      <c r="F1351">
        <f>messy_order_items_csv[[#This Row],[unit_price]]*messy_order_items_csv[[#This Row],[quantity]]</f>
        <v>0</v>
      </c>
    </row>
    <row r="1352" spans="1:6" x14ac:dyDescent="0.3">
      <c r="A1352">
        <v>1351</v>
      </c>
      <c r="B1352" t="s">
        <v>1963</v>
      </c>
      <c r="C1352" t="s">
        <v>2248</v>
      </c>
      <c r="D1352">
        <v>4</v>
      </c>
      <c r="E1352">
        <v>31497</v>
      </c>
      <c r="F1352">
        <f>messy_order_items_csv[[#This Row],[unit_price]]*messy_order_items_csv[[#This Row],[quantity]]</f>
        <v>125988</v>
      </c>
    </row>
    <row r="1353" spans="1:6" x14ac:dyDescent="0.3">
      <c r="A1353">
        <v>1352</v>
      </c>
      <c r="B1353" t="s">
        <v>1710</v>
      </c>
      <c r="C1353" t="s">
        <v>2247</v>
      </c>
      <c r="D1353">
        <v>0</v>
      </c>
      <c r="E1353">
        <v>87099</v>
      </c>
      <c r="F1353">
        <f>messy_order_items_csv[[#This Row],[unit_price]]*messy_order_items_csv[[#This Row],[quantity]]</f>
        <v>0</v>
      </c>
    </row>
    <row r="1354" spans="1:6" x14ac:dyDescent="0.3">
      <c r="A1354">
        <v>1353</v>
      </c>
      <c r="B1354" t="s">
        <v>1991</v>
      </c>
      <c r="C1354" t="s">
        <v>2267</v>
      </c>
      <c r="D1354">
        <v>0</v>
      </c>
      <c r="E1354">
        <v>71257</v>
      </c>
      <c r="F1354">
        <f>messy_order_items_csv[[#This Row],[unit_price]]*messy_order_items_csv[[#This Row],[quantity]]</f>
        <v>0</v>
      </c>
    </row>
    <row r="1355" spans="1:6" x14ac:dyDescent="0.3">
      <c r="A1355">
        <v>1354</v>
      </c>
      <c r="B1355" t="s">
        <v>1111</v>
      </c>
      <c r="C1355" t="s">
        <v>2195</v>
      </c>
      <c r="D1355">
        <v>0</v>
      </c>
      <c r="E1355">
        <v>11965</v>
      </c>
      <c r="F1355">
        <f>messy_order_items_csv[[#This Row],[unit_price]]*messy_order_items_csv[[#This Row],[quantity]]</f>
        <v>0</v>
      </c>
    </row>
    <row r="1356" spans="1:6" x14ac:dyDescent="0.3">
      <c r="A1356">
        <v>1355</v>
      </c>
      <c r="B1356" t="s">
        <v>2035</v>
      </c>
      <c r="C1356" t="s">
        <v>2219</v>
      </c>
      <c r="D1356">
        <v>0</v>
      </c>
      <c r="E1356">
        <v>17936</v>
      </c>
      <c r="F1356">
        <f>messy_order_items_csv[[#This Row],[unit_price]]*messy_order_items_csv[[#This Row],[quantity]]</f>
        <v>0</v>
      </c>
    </row>
    <row r="1357" spans="1:6" x14ac:dyDescent="0.3">
      <c r="A1357">
        <v>1356</v>
      </c>
      <c r="B1357" t="s">
        <v>1267</v>
      </c>
      <c r="C1357" t="s">
        <v>2196</v>
      </c>
      <c r="D1357">
        <v>2</v>
      </c>
      <c r="E1357">
        <v>87063</v>
      </c>
      <c r="F1357">
        <f>messy_order_items_csv[[#This Row],[unit_price]]*messy_order_items_csv[[#This Row],[quantity]]</f>
        <v>174126</v>
      </c>
    </row>
    <row r="1358" spans="1:6" x14ac:dyDescent="0.3">
      <c r="A1358">
        <v>1357</v>
      </c>
      <c r="B1358" t="s">
        <v>1287</v>
      </c>
      <c r="C1358" t="s">
        <v>2261</v>
      </c>
      <c r="E1358">
        <v>31497</v>
      </c>
      <c r="F1358">
        <f>messy_order_items_csv[[#This Row],[unit_price]]*messy_order_items_csv[[#This Row],[quantity]]</f>
        <v>0</v>
      </c>
    </row>
    <row r="1359" spans="1:6" x14ac:dyDescent="0.3">
      <c r="A1359">
        <v>1358</v>
      </c>
      <c r="B1359" t="s">
        <v>1637</v>
      </c>
      <c r="C1359" t="s">
        <v>2235</v>
      </c>
      <c r="D1359">
        <v>0</v>
      </c>
      <c r="E1359">
        <v>31497</v>
      </c>
      <c r="F1359">
        <f>messy_order_items_csv[[#This Row],[unit_price]]*messy_order_items_csv[[#This Row],[quantity]]</f>
        <v>0</v>
      </c>
    </row>
    <row r="1360" spans="1:6" x14ac:dyDescent="0.3">
      <c r="A1360">
        <v>1359</v>
      </c>
      <c r="B1360" t="s">
        <v>1456</v>
      </c>
      <c r="C1360" t="s">
        <v>2243</v>
      </c>
      <c r="D1360">
        <v>0</v>
      </c>
      <c r="E1360">
        <v>31497</v>
      </c>
      <c r="F1360">
        <f>messy_order_items_csv[[#This Row],[unit_price]]*messy_order_items_csv[[#This Row],[quantity]]</f>
        <v>0</v>
      </c>
    </row>
    <row r="1361" spans="1:6" x14ac:dyDescent="0.3">
      <c r="A1361">
        <v>1360</v>
      </c>
      <c r="B1361" t="s">
        <v>1849</v>
      </c>
      <c r="C1361" t="s">
        <v>2206</v>
      </c>
      <c r="E1361">
        <v>15249</v>
      </c>
      <c r="F1361">
        <f>messy_order_items_csv[[#This Row],[unit_price]]*messy_order_items_csv[[#This Row],[quantity]]</f>
        <v>0</v>
      </c>
    </row>
    <row r="1362" spans="1:6" x14ac:dyDescent="0.3">
      <c r="A1362">
        <v>1361</v>
      </c>
      <c r="B1362" t="s">
        <v>2153</v>
      </c>
      <c r="C1362" t="s">
        <v>2248</v>
      </c>
      <c r="D1362">
        <v>0</v>
      </c>
      <c r="E1362">
        <v>68997</v>
      </c>
      <c r="F1362">
        <f>messy_order_items_csv[[#This Row],[unit_price]]*messy_order_items_csv[[#This Row],[quantity]]</f>
        <v>0</v>
      </c>
    </row>
    <row r="1363" spans="1:6" x14ac:dyDescent="0.3">
      <c r="A1363">
        <v>1362</v>
      </c>
      <c r="B1363" t="s">
        <v>1062</v>
      </c>
      <c r="C1363" t="s">
        <v>2249</v>
      </c>
      <c r="D1363">
        <v>2</v>
      </c>
      <c r="E1363">
        <v>82232</v>
      </c>
      <c r="F1363">
        <f>messy_order_items_csv[[#This Row],[unit_price]]*messy_order_items_csv[[#This Row],[quantity]]</f>
        <v>164464</v>
      </c>
    </row>
    <row r="1364" spans="1:6" x14ac:dyDescent="0.3">
      <c r="A1364">
        <v>1363</v>
      </c>
      <c r="B1364" t="s">
        <v>1820</v>
      </c>
      <c r="C1364" t="s">
        <v>2262</v>
      </c>
      <c r="E1364">
        <v>32945</v>
      </c>
      <c r="F1364">
        <f>messy_order_items_csv[[#This Row],[unit_price]]*messy_order_items_csv[[#This Row],[quantity]]</f>
        <v>0</v>
      </c>
    </row>
    <row r="1365" spans="1:6" x14ac:dyDescent="0.3">
      <c r="A1365">
        <v>1364</v>
      </c>
      <c r="B1365" t="s">
        <v>1884</v>
      </c>
      <c r="C1365" t="s">
        <v>2228</v>
      </c>
      <c r="D1365">
        <v>1</v>
      </c>
      <c r="E1365">
        <v>78253</v>
      </c>
      <c r="F1365">
        <f>messy_order_items_csv[[#This Row],[unit_price]]*messy_order_items_csv[[#This Row],[quantity]]</f>
        <v>78253</v>
      </c>
    </row>
    <row r="1366" spans="1:6" x14ac:dyDescent="0.3">
      <c r="A1366">
        <v>1365</v>
      </c>
      <c r="B1366" t="s">
        <v>1109</v>
      </c>
      <c r="C1366" t="s">
        <v>2272</v>
      </c>
      <c r="E1366">
        <v>43027</v>
      </c>
      <c r="F1366">
        <f>messy_order_items_csv[[#This Row],[unit_price]]*messy_order_items_csv[[#This Row],[quantity]]</f>
        <v>0</v>
      </c>
    </row>
    <row r="1367" spans="1:6" x14ac:dyDescent="0.3">
      <c r="A1367">
        <v>1366</v>
      </c>
      <c r="B1367" t="s">
        <v>1562</v>
      </c>
      <c r="C1367" t="s">
        <v>2220</v>
      </c>
      <c r="E1367">
        <v>60647</v>
      </c>
      <c r="F1367">
        <f>messy_order_items_csv[[#This Row],[unit_price]]*messy_order_items_csv[[#This Row],[quantity]]</f>
        <v>0</v>
      </c>
    </row>
    <row r="1368" spans="1:6" x14ac:dyDescent="0.3">
      <c r="A1368">
        <v>1367</v>
      </c>
      <c r="B1368" t="s">
        <v>1983</v>
      </c>
      <c r="C1368" t="s">
        <v>2225</v>
      </c>
      <c r="D1368">
        <v>4</v>
      </c>
      <c r="E1368">
        <v>31497</v>
      </c>
      <c r="F1368">
        <f>messy_order_items_csv[[#This Row],[unit_price]]*messy_order_items_csv[[#This Row],[quantity]]</f>
        <v>125988</v>
      </c>
    </row>
    <row r="1369" spans="1:6" x14ac:dyDescent="0.3">
      <c r="A1369">
        <v>1368</v>
      </c>
      <c r="B1369" t="s">
        <v>1373</v>
      </c>
      <c r="C1369" t="s">
        <v>2264</v>
      </c>
      <c r="D1369">
        <v>1</v>
      </c>
      <c r="E1369">
        <v>53094</v>
      </c>
      <c r="F1369">
        <f>messy_order_items_csv[[#This Row],[unit_price]]*messy_order_items_csv[[#This Row],[quantity]]</f>
        <v>53094</v>
      </c>
    </row>
    <row r="1370" spans="1:6" x14ac:dyDescent="0.3">
      <c r="A1370">
        <v>1369</v>
      </c>
      <c r="B1370" t="s">
        <v>1328</v>
      </c>
      <c r="C1370" t="s">
        <v>2248</v>
      </c>
      <c r="D1370">
        <v>3</v>
      </c>
      <c r="E1370">
        <v>31497</v>
      </c>
      <c r="F1370">
        <f>messy_order_items_csv[[#This Row],[unit_price]]*messy_order_items_csv[[#This Row],[quantity]]</f>
        <v>94491</v>
      </c>
    </row>
    <row r="1371" spans="1:6" x14ac:dyDescent="0.3">
      <c r="A1371">
        <v>1370</v>
      </c>
      <c r="B1371" t="s">
        <v>1060</v>
      </c>
      <c r="C1371" t="s">
        <v>2263</v>
      </c>
      <c r="D1371">
        <v>3</v>
      </c>
      <c r="E1371">
        <v>31497</v>
      </c>
      <c r="F1371">
        <f>messy_order_items_csv[[#This Row],[unit_price]]*messy_order_items_csv[[#This Row],[quantity]]</f>
        <v>94491</v>
      </c>
    </row>
    <row r="1372" spans="1:6" x14ac:dyDescent="0.3">
      <c r="A1372">
        <v>1371</v>
      </c>
      <c r="B1372" t="s">
        <v>1930</v>
      </c>
      <c r="C1372" t="s">
        <v>2270</v>
      </c>
      <c r="D1372">
        <v>0</v>
      </c>
      <c r="E1372">
        <v>31497</v>
      </c>
      <c r="F1372">
        <f>messy_order_items_csv[[#This Row],[unit_price]]*messy_order_items_csv[[#This Row],[quantity]]</f>
        <v>0</v>
      </c>
    </row>
    <row r="1373" spans="1:6" x14ac:dyDescent="0.3">
      <c r="A1373">
        <v>1372</v>
      </c>
      <c r="B1373" t="s">
        <v>2181</v>
      </c>
      <c r="C1373" t="s">
        <v>2206</v>
      </c>
      <c r="D1373">
        <v>2</v>
      </c>
      <c r="E1373">
        <v>89156</v>
      </c>
      <c r="F1373">
        <f>messy_order_items_csv[[#This Row],[unit_price]]*messy_order_items_csv[[#This Row],[quantity]]</f>
        <v>178312</v>
      </c>
    </row>
    <row r="1374" spans="1:6" x14ac:dyDescent="0.3">
      <c r="A1374">
        <v>1373</v>
      </c>
      <c r="B1374" t="s">
        <v>1442</v>
      </c>
      <c r="C1374" t="s">
        <v>2230</v>
      </c>
      <c r="D1374">
        <v>4</v>
      </c>
      <c r="E1374">
        <v>31497</v>
      </c>
      <c r="F1374">
        <f>messy_order_items_csv[[#This Row],[unit_price]]*messy_order_items_csv[[#This Row],[quantity]]</f>
        <v>125988</v>
      </c>
    </row>
    <row r="1375" spans="1:6" x14ac:dyDescent="0.3">
      <c r="A1375">
        <v>1374</v>
      </c>
      <c r="B1375" t="s">
        <v>2042</v>
      </c>
      <c r="C1375" t="s">
        <v>2199</v>
      </c>
      <c r="D1375">
        <v>4</v>
      </c>
      <c r="E1375">
        <v>25557</v>
      </c>
      <c r="F1375">
        <f>messy_order_items_csv[[#This Row],[unit_price]]*messy_order_items_csv[[#This Row],[quantity]]</f>
        <v>102228</v>
      </c>
    </row>
    <row r="1376" spans="1:6" x14ac:dyDescent="0.3">
      <c r="A1376">
        <v>1375</v>
      </c>
      <c r="B1376" t="s">
        <v>1197</v>
      </c>
      <c r="C1376" t="s">
        <v>2233</v>
      </c>
      <c r="D1376">
        <v>1</v>
      </c>
      <c r="E1376">
        <v>31497</v>
      </c>
      <c r="F1376">
        <f>messy_order_items_csv[[#This Row],[unit_price]]*messy_order_items_csv[[#This Row],[quantity]]</f>
        <v>31497</v>
      </c>
    </row>
    <row r="1377" spans="1:6" x14ac:dyDescent="0.3">
      <c r="A1377">
        <v>1376</v>
      </c>
      <c r="B1377" t="s">
        <v>1559</v>
      </c>
      <c r="C1377" t="s">
        <v>2229</v>
      </c>
      <c r="D1377">
        <v>4</v>
      </c>
      <c r="E1377">
        <v>45360</v>
      </c>
      <c r="F1377">
        <f>messy_order_items_csv[[#This Row],[unit_price]]*messy_order_items_csv[[#This Row],[quantity]]</f>
        <v>181440</v>
      </c>
    </row>
    <row r="1378" spans="1:6" x14ac:dyDescent="0.3">
      <c r="A1378">
        <v>1377</v>
      </c>
      <c r="B1378" t="s">
        <v>2147</v>
      </c>
      <c r="C1378" t="s">
        <v>2242</v>
      </c>
      <c r="D1378">
        <v>1</v>
      </c>
      <c r="E1378">
        <v>24694</v>
      </c>
      <c r="F1378">
        <f>messy_order_items_csv[[#This Row],[unit_price]]*messy_order_items_csv[[#This Row],[quantity]]</f>
        <v>24694</v>
      </c>
    </row>
    <row r="1379" spans="1:6" x14ac:dyDescent="0.3">
      <c r="A1379">
        <v>1378</v>
      </c>
      <c r="B1379" t="s">
        <v>1810</v>
      </c>
      <c r="C1379" t="s">
        <v>2195</v>
      </c>
      <c r="D1379">
        <v>2</v>
      </c>
      <c r="E1379">
        <v>20039</v>
      </c>
      <c r="F1379">
        <f>messy_order_items_csv[[#This Row],[unit_price]]*messy_order_items_csv[[#This Row],[quantity]]</f>
        <v>40078</v>
      </c>
    </row>
    <row r="1380" spans="1:6" x14ac:dyDescent="0.3">
      <c r="A1380">
        <v>1379</v>
      </c>
      <c r="B1380" t="s">
        <v>1793</v>
      </c>
      <c r="C1380" t="s">
        <v>2249</v>
      </c>
      <c r="D1380">
        <v>0</v>
      </c>
      <c r="E1380">
        <v>4318</v>
      </c>
      <c r="F1380">
        <f>messy_order_items_csv[[#This Row],[unit_price]]*messy_order_items_csv[[#This Row],[quantity]]</f>
        <v>0</v>
      </c>
    </row>
    <row r="1381" spans="1:6" x14ac:dyDescent="0.3">
      <c r="A1381">
        <v>1380</v>
      </c>
      <c r="B1381" t="s">
        <v>2058</v>
      </c>
      <c r="C1381" t="s">
        <v>2242</v>
      </c>
      <c r="E1381">
        <v>31497</v>
      </c>
      <c r="F1381">
        <f>messy_order_items_csv[[#This Row],[unit_price]]*messy_order_items_csv[[#This Row],[quantity]]</f>
        <v>0</v>
      </c>
    </row>
    <row r="1382" spans="1:6" x14ac:dyDescent="0.3">
      <c r="A1382">
        <v>1381</v>
      </c>
      <c r="B1382" t="s">
        <v>1961</v>
      </c>
      <c r="C1382" t="s">
        <v>2272</v>
      </c>
      <c r="D1382">
        <v>1</v>
      </c>
      <c r="E1382">
        <v>79414</v>
      </c>
      <c r="F1382">
        <f>messy_order_items_csv[[#This Row],[unit_price]]*messy_order_items_csv[[#This Row],[quantity]]</f>
        <v>79414</v>
      </c>
    </row>
    <row r="1383" spans="1:6" x14ac:dyDescent="0.3">
      <c r="A1383">
        <v>1382</v>
      </c>
      <c r="B1383" t="s">
        <v>1715</v>
      </c>
      <c r="C1383" t="s">
        <v>2257</v>
      </c>
      <c r="D1383">
        <v>4</v>
      </c>
      <c r="E1383">
        <v>76875</v>
      </c>
      <c r="F1383">
        <f>messy_order_items_csv[[#This Row],[unit_price]]*messy_order_items_csv[[#This Row],[quantity]]</f>
        <v>307500</v>
      </c>
    </row>
    <row r="1384" spans="1:6" x14ac:dyDescent="0.3">
      <c r="A1384">
        <v>1383</v>
      </c>
      <c r="B1384" t="s">
        <v>2028</v>
      </c>
      <c r="C1384" t="s">
        <v>2222</v>
      </c>
      <c r="D1384">
        <v>2</v>
      </c>
      <c r="E1384">
        <v>34450</v>
      </c>
      <c r="F1384">
        <f>messy_order_items_csv[[#This Row],[unit_price]]*messy_order_items_csv[[#This Row],[quantity]]</f>
        <v>68900</v>
      </c>
    </row>
    <row r="1385" spans="1:6" x14ac:dyDescent="0.3">
      <c r="A1385">
        <v>1384</v>
      </c>
      <c r="B1385" t="s">
        <v>1169</v>
      </c>
      <c r="C1385" t="s">
        <v>2245</v>
      </c>
      <c r="D1385">
        <v>1</v>
      </c>
      <c r="E1385">
        <v>70378</v>
      </c>
      <c r="F1385">
        <f>messy_order_items_csv[[#This Row],[unit_price]]*messy_order_items_csv[[#This Row],[quantity]]</f>
        <v>70378</v>
      </c>
    </row>
    <row r="1386" spans="1:6" x14ac:dyDescent="0.3">
      <c r="A1386">
        <v>1385</v>
      </c>
      <c r="B1386" t="s">
        <v>1386</v>
      </c>
      <c r="C1386" t="s">
        <v>2238</v>
      </c>
      <c r="D1386">
        <v>0</v>
      </c>
      <c r="E1386">
        <v>77306</v>
      </c>
      <c r="F1386">
        <f>messy_order_items_csv[[#This Row],[unit_price]]*messy_order_items_csv[[#This Row],[quantity]]</f>
        <v>0</v>
      </c>
    </row>
    <row r="1387" spans="1:6" x14ac:dyDescent="0.3">
      <c r="A1387">
        <v>1386</v>
      </c>
      <c r="B1387" t="s">
        <v>1888</v>
      </c>
      <c r="C1387" t="s">
        <v>2207</v>
      </c>
      <c r="D1387">
        <v>0</v>
      </c>
      <c r="E1387">
        <v>49574</v>
      </c>
      <c r="F1387">
        <f>messy_order_items_csv[[#This Row],[unit_price]]*messy_order_items_csv[[#This Row],[quantity]]</f>
        <v>0</v>
      </c>
    </row>
    <row r="1388" spans="1:6" x14ac:dyDescent="0.3">
      <c r="A1388">
        <v>1387</v>
      </c>
      <c r="B1388" t="s">
        <v>1452</v>
      </c>
      <c r="C1388" t="s">
        <v>2242</v>
      </c>
      <c r="D1388">
        <v>3</v>
      </c>
      <c r="E1388">
        <v>77964</v>
      </c>
      <c r="F1388">
        <f>messy_order_items_csv[[#This Row],[unit_price]]*messy_order_items_csv[[#This Row],[quantity]]</f>
        <v>233892</v>
      </c>
    </row>
    <row r="1389" spans="1:6" x14ac:dyDescent="0.3">
      <c r="A1389">
        <v>1388</v>
      </c>
      <c r="B1389" t="s">
        <v>1330</v>
      </c>
      <c r="C1389" t="s">
        <v>2222</v>
      </c>
      <c r="D1389">
        <v>2</v>
      </c>
      <c r="E1389">
        <v>34450</v>
      </c>
      <c r="F1389">
        <f>messy_order_items_csv[[#This Row],[unit_price]]*messy_order_items_csv[[#This Row],[quantity]]</f>
        <v>68900</v>
      </c>
    </row>
    <row r="1390" spans="1:6" x14ac:dyDescent="0.3">
      <c r="A1390">
        <v>1389</v>
      </c>
      <c r="B1390" t="s">
        <v>1261</v>
      </c>
      <c r="C1390" t="s">
        <v>2264</v>
      </c>
      <c r="E1390">
        <v>31497</v>
      </c>
      <c r="F1390">
        <f>messy_order_items_csv[[#This Row],[unit_price]]*messy_order_items_csv[[#This Row],[quantity]]</f>
        <v>0</v>
      </c>
    </row>
    <row r="1391" spans="1:6" x14ac:dyDescent="0.3">
      <c r="A1391">
        <v>1390</v>
      </c>
      <c r="B1391" t="s">
        <v>1727</v>
      </c>
      <c r="C1391" t="s">
        <v>2200</v>
      </c>
      <c r="D1391">
        <v>3</v>
      </c>
      <c r="E1391">
        <v>31497</v>
      </c>
      <c r="F1391">
        <f>messy_order_items_csv[[#This Row],[unit_price]]*messy_order_items_csv[[#This Row],[quantity]]</f>
        <v>94491</v>
      </c>
    </row>
    <row r="1392" spans="1:6" x14ac:dyDescent="0.3">
      <c r="A1392">
        <v>1391</v>
      </c>
      <c r="B1392" t="s">
        <v>1944</v>
      </c>
      <c r="C1392" t="s">
        <v>2266</v>
      </c>
      <c r="E1392">
        <v>64669</v>
      </c>
      <c r="F1392">
        <f>messy_order_items_csv[[#This Row],[unit_price]]*messy_order_items_csv[[#This Row],[quantity]]</f>
        <v>0</v>
      </c>
    </row>
    <row r="1393" spans="1:6" x14ac:dyDescent="0.3">
      <c r="A1393">
        <v>1392</v>
      </c>
      <c r="B1393" t="s">
        <v>1272</v>
      </c>
      <c r="C1393" t="s">
        <v>2207</v>
      </c>
      <c r="D1393">
        <v>0</v>
      </c>
      <c r="E1393">
        <v>31497</v>
      </c>
      <c r="F1393">
        <f>messy_order_items_csv[[#This Row],[unit_price]]*messy_order_items_csv[[#This Row],[quantity]]</f>
        <v>0</v>
      </c>
    </row>
    <row r="1394" spans="1:6" x14ac:dyDescent="0.3">
      <c r="A1394">
        <v>1393</v>
      </c>
      <c r="B1394" t="s">
        <v>2024</v>
      </c>
      <c r="C1394" t="s">
        <v>2267</v>
      </c>
      <c r="D1394">
        <v>3</v>
      </c>
      <c r="E1394">
        <v>31497</v>
      </c>
      <c r="F1394">
        <f>messy_order_items_csv[[#This Row],[unit_price]]*messy_order_items_csv[[#This Row],[quantity]]</f>
        <v>94491</v>
      </c>
    </row>
    <row r="1395" spans="1:6" x14ac:dyDescent="0.3">
      <c r="A1395">
        <v>1394</v>
      </c>
      <c r="B1395" t="s">
        <v>1919</v>
      </c>
      <c r="C1395" t="s">
        <v>2218</v>
      </c>
      <c r="D1395">
        <v>3</v>
      </c>
      <c r="E1395">
        <v>65274</v>
      </c>
      <c r="F1395">
        <f>messy_order_items_csv[[#This Row],[unit_price]]*messy_order_items_csv[[#This Row],[quantity]]</f>
        <v>195822</v>
      </c>
    </row>
    <row r="1396" spans="1:6" x14ac:dyDescent="0.3">
      <c r="A1396">
        <v>1395</v>
      </c>
      <c r="B1396" t="s">
        <v>1387</v>
      </c>
      <c r="C1396" t="s">
        <v>2227</v>
      </c>
      <c r="D1396">
        <v>2</v>
      </c>
      <c r="E1396">
        <v>50487</v>
      </c>
      <c r="F1396">
        <f>messy_order_items_csv[[#This Row],[unit_price]]*messy_order_items_csv[[#This Row],[quantity]]</f>
        <v>100974</v>
      </c>
    </row>
    <row r="1397" spans="1:6" x14ac:dyDescent="0.3">
      <c r="A1397">
        <v>1396</v>
      </c>
      <c r="B1397" t="s">
        <v>1321</v>
      </c>
      <c r="C1397" t="s">
        <v>2225</v>
      </c>
      <c r="D1397">
        <v>4</v>
      </c>
      <c r="E1397">
        <v>31497</v>
      </c>
      <c r="F1397">
        <f>messy_order_items_csv[[#This Row],[unit_price]]*messy_order_items_csv[[#This Row],[quantity]]</f>
        <v>125988</v>
      </c>
    </row>
    <row r="1398" spans="1:6" x14ac:dyDescent="0.3">
      <c r="A1398">
        <v>1397</v>
      </c>
      <c r="B1398" t="s">
        <v>1032</v>
      </c>
      <c r="C1398" t="s">
        <v>2225</v>
      </c>
      <c r="D1398">
        <v>3</v>
      </c>
      <c r="E1398">
        <v>64867</v>
      </c>
      <c r="F1398">
        <f>messy_order_items_csv[[#This Row],[unit_price]]*messy_order_items_csv[[#This Row],[quantity]]</f>
        <v>194601</v>
      </c>
    </row>
    <row r="1399" spans="1:6" x14ac:dyDescent="0.3">
      <c r="A1399">
        <v>1398</v>
      </c>
      <c r="B1399" t="s">
        <v>1688</v>
      </c>
      <c r="C1399" t="s">
        <v>2199</v>
      </c>
      <c r="D1399">
        <v>3</v>
      </c>
      <c r="E1399">
        <v>69624</v>
      </c>
      <c r="F1399">
        <f>messy_order_items_csv[[#This Row],[unit_price]]*messy_order_items_csv[[#This Row],[quantity]]</f>
        <v>208872</v>
      </c>
    </row>
    <row r="1400" spans="1:6" x14ac:dyDescent="0.3">
      <c r="A1400">
        <v>1399</v>
      </c>
      <c r="B1400" t="s">
        <v>1206</v>
      </c>
      <c r="C1400" t="s">
        <v>2258</v>
      </c>
      <c r="D1400">
        <v>3</v>
      </c>
      <c r="E1400">
        <v>51735</v>
      </c>
      <c r="F1400">
        <f>messy_order_items_csv[[#This Row],[unit_price]]*messy_order_items_csv[[#This Row],[quantity]]</f>
        <v>155205</v>
      </c>
    </row>
    <row r="1401" spans="1:6" x14ac:dyDescent="0.3">
      <c r="A1401">
        <v>1400</v>
      </c>
      <c r="B1401" t="s">
        <v>1282</v>
      </c>
      <c r="C1401" t="s">
        <v>2206</v>
      </c>
      <c r="D1401">
        <v>1</v>
      </c>
      <c r="E1401">
        <v>54344</v>
      </c>
      <c r="F1401">
        <f>messy_order_items_csv[[#This Row],[unit_price]]*messy_order_items_csv[[#This Row],[quantity]]</f>
        <v>54344</v>
      </c>
    </row>
    <row r="1402" spans="1:6" x14ac:dyDescent="0.3">
      <c r="A1402">
        <v>1401</v>
      </c>
      <c r="B1402" t="s">
        <v>1301</v>
      </c>
      <c r="C1402" t="s">
        <v>2249</v>
      </c>
      <c r="D1402">
        <v>4</v>
      </c>
      <c r="E1402">
        <v>59283</v>
      </c>
      <c r="F1402">
        <f>messy_order_items_csv[[#This Row],[unit_price]]*messy_order_items_csv[[#This Row],[quantity]]</f>
        <v>237132</v>
      </c>
    </row>
    <row r="1403" spans="1:6" x14ac:dyDescent="0.3">
      <c r="A1403">
        <v>1402</v>
      </c>
      <c r="B1403" t="s">
        <v>1926</v>
      </c>
      <c r="C1403" t="s">
        <v>2258</v>
      </c>
      <c r="D1403">
        <v>0</v>
      </c>
      <c r="E1403">
        <v>51735</v>
      </c>
      <c r="F1403">
        <f>messy_order_items_csv[[#This Row],[unit_price]]*messy_order_items_csv[[#This Row],[quantity]]</f>
        <v>0</v>
      </c>
    </row>
    <row r="1404" spans="1:6" x14ac:dyDescent="0.3">
      <c r="A1404">
        <v>1403</v>
      </c>
      <c r="B1404" t="s">
        <v>1863</v>
      </c>
      <c r="C1404" t="s">
        <v>2251</v>
      </c>
      <c r="D1404">
        <v>3</v>
      </c>
      <c r="E1404">
        <v>31497</v>
      </c>
      <c r="F1404">
        <f>messy_order_items_csv[[#This Row],[unit_price]]*messy_order_items_csv[[#This Row],[quantity]]</f>
        <v>94491</v>
      </c>
    </row>
    <row r="1405" spans="1:6" x14ac:dyDescent="0.3">
      <c r="A1405">
        <v>1404</v>
      </c>
      <c r="B1405" t="s">
        <v>2131</v>
      </c>
      <c r="C1405" t="s">
        <v>2261</v>
      </c>
      <c r="D1405">
        <v>1</v>
      </c>
      <c r="E1405">
        <v>31497</v>
      </c>
      <c r="F1405">
        <f>messy_order_items_csv[[#This Row],[unit_price]]*messy_order_items_csv[[#This Row],[quantity]]</f>
        <v>31497</v>
      </c>
    </row>
    <row r="1406" spans="1:6" x14ac:dyDescent="0.3">
      <c r="A1406">
        <v>1405</v>
      </c>
      <c r="B1406" t="s">
        <v>1313</v>
      </c>
      <c r="C1406" t="s">
        <v>2244</v>
      </c>
      <c r="D1406">
        <v>1</v>
      </c>
      <c r="E1406">
        <v>30899</v>
      </c>
      <c r="F1406">
        <f>messy_order_items_csv[[#This Row],[unit_price]]*messy_order_items_csv[[#This Row],[quantity]]</f>
        <v>30899</v>
      </c>
    </row>
    <row r="1407" spans="1:6" x14ac:dyDescent="0.3">
      <c r="A1407">
        <v>1406</v>
      </c>
      <c r="B1407" t="s">
        <v>1853</v>
      </c>
      <c r="C1407" t="s">
        <v>2234</v>
      </c>
      <c r="E1407">
        <v>31497</v>
      </c>
      <c r="F1407">
        <f>messy_order_items_csv[[#This Row],[unit_price]]*messy_order_items_csv[[#This Row],[quantity]]</f>
        <v>0</v>
      </c>
    </row>
    <row r="1408" spans="1:6" x14ac:dyDescent="0.3">
      <c r="A1408">
        <v>1407</v>
      </c>
      <c r="B1408" t="s">
        <v>1402</v>
      </c>
      <c r="C1408" t="s">
        <v>2239</v>
      </c>
      <c r="E1408">
        <v>68660</v>
      </c>
      <c r="F1408">
        <f>messy_order_items_csv[[#This Row],[unit_price]]*messy_order_items_csv[[#This Row],[quantity]]</f>
        <v>0</v>
      </c>
    </row>
    <row r="1409" spans="1:6" x14ac:dyDescent="0.3">
      <c r="A1409">
        <v>1408</v>
      </c>
      <c r="B1409" t="s">
        <v>1455</v>
      </c>
      <c r="C1409" t="s">
        <v>2195</v>
      </c>
      <c r="D1409">
        <v>4</v>
      </c>
      <c r="E1409">
        <v>47453</v>
      </c>
      <c r="F1409">
        <f>messy_order_items_csv[[#This Row],[unit_price]]*messy_order_items_csv[[#This Row],[quantity]]</f>
        <v>189812</v>
      </c>
    </row>
    <row r="1410" spans="1:6" x14ac:dyDescent="0.3">
      <c r="A1410">
        <v>1409</v>
      </c>
      <c r="B1410" t="s">
        <v>1475</v>
      </c>
      <c r="C1410" t="s">
        <v>2222</v>
      </c>
      <c r="E1410">
        <v>24720</v>
      </c>
      <c r="F1410">
        <f>messy_order_items_csv[[#This Row],[unit_price]]*messy_order_items_csv[[#This Row],[quantity]]</f>
        <v>0</v>
      </c>
    </row>
    <row r="1411" spans="1:6" x14ac:dyDescent="0.3">
      <c r="A1411">
        <v>1410</v>
      </c>
      <c r="B1411" t="s">
        <v>1425</v>
      </c>
      <c r="C1411" t="s">
        <v>2230</v>
      </c>
      <c r="D1411">
        <v>3</v>
      </c>
      <c r="E1411">
        <v>31497</v>
      </c>
      <c r="F1411">
        <f>messy_order_items_csv[[#This Row],[unit_price]]*messy_order_items_csv[[#This Row],[quantity]]</f>
        <v>94491</v>
      </c>
    </row>
    <row r="1412" spans="1:6" x14ac:dyDescent="0.3">
      <c r="A1412">
        <v>1411</v>
      </c>
      <c r="B1412" t="s">
        <v>1356</v>
      </c>
      <c r="C1412" t="s">
        <v>2264</v>
      </c>
      <c r="D1412">
        <v>3</v>
      </c>
      <c r="E1412">
        <v>31497</v>
      </c>
      <c r="F1412">
        <f>messy_order_items_csv[[#This Row],[unit_price]]*messy_order_items_csv[[#This Row],[quantity]]</f>
        <v>94491</v>
      </c>
    </row>
    <row r="1413" spans="1:6" x14ac:dyDescent="0.3">
      <c r="A1413">
        <v>1412</v>
      </c>
      <c r="B1413" t="s">
        <v>1683</v>
      </c>
      <c r="C1413" t="s">
        <v>2250</v>
      </c>
      <c r="D1413">
        <v>2</v>
      </c>
      <c r="E1413">
        <v>31497</v>
      </c>
      <c r="F1413">
        <f>messy_order_items_csv[[#This Row],[unit_price]]*messy_order_items_csv[[#This Row],[quantity]]</f>
        <v>62994</v>
      </c>
    </row>
    <row r="1414" spans="1:6" x14ac:dyDescent="0.3">
      <c r="A1414">
        <v>1413</v>
      </c>
      <c r="B1414" t="s">
        <v>1291</v>
      </c>
      <c r="C1414" t="s">
        <v>2217</v>
      </c>
      <c r="D1414">
        <v>4</v>
      </c>
      <c r="E1414">
        <v>44051</v>
      </c>
      <c r="F1414">
        <f>messy_order_items_csv[[#This Row],[unit_price]]*messy_order_items_csv[[#This Row],[quantity]]</f>
        <v>176204</v>
      </c>
    </row>
    <row r="1415" spans="1:6" x14ac:dyDescent="0.3">
      <c r="A1415">
        <v>1414</v>
      </c>
      <c r="B1415" t="s">
        <v>2002</v>
      </c>
      <c r="C1415" t="s">
        <v>2216</v>
      </c>
      <c r="D1415">
        <v>1</v>
      </c>
      <c r="E1415">
        <v>31497</v>
      </c>
      <c r="F1415">
        <f>messy_order_items_csv[[#This Row],[unit_price]]*messy_order_items_csv[[#This Row],[quantity]]</f>
        <v>31497</v>
      </c>
    </row>
    <row r="1416" spans="1:6" x14ac:dyDescent="0.3">
      <c r="A1416">
        <v>1415</v>
      </c>
      <c r="B1416" t="s">
        <v>2092</v>
      </c>
      <c r="C1416" t="s">
        <v>2265</v>
      </c>
      <c r="D1416">
        <v>3</v>
      </c>
      <c r="E1416">
        <v>70582</v>
      </c>
      <c r="F1416">
        <f>messy_order_items_csv[[#This Row],[unit_price]]*messy_order_items_csv[[#This Row],[quantity]]</f>
        <v>211746</v>
      </c>
    </row>
    <row r="1417" spans="1:6" x14ac:dyDescent="0.3">
      <c r="A1417">
        <v>1416</v>
      </c>
      <c r="B1417" t="s">
        <v>1226</v>
      </c>
      <c r="C1417" t="s">
        <v>2218</v>
      </c>
      <c r="E1417">
        <v>26470</v>
      </c>
      <c r="F1417">
        <f>messy_order_items_csv[[#This Row],[unit_price]]*messy_order_items_csv[[#This Row],[quantity]]</f>
        <v>0</v>
      </c>
    </row>
    <row r="1418" spans="1:6" x14ac:dyDescent="0.3">
      <c r="A1418">
        <v>1417</v>
      </c>
      <c r="B1418" t="s">
        <v>1898</v>
      </c>
      <c r="C1418" t="s">
        <v>2206</v>
      </c>
      <c r="D1418">
        <v>2</v>
      </c>
      <c r="E1418">
        <v>15249</v>
      </c>
      <c r="F1418">
        <f>messy_order_items_csv[[#This Row],[unit_price]]*messy_order_items_csv[[#This Row],[quantity]]</f>
        <v>30498</v>
      </c>
    </row>
    <row r="1419" spans="1:6" x14ac:dyDescent="0.3">
      <c r="A1419">
        <v>1418</v>
      </c>
      <c r="B1419" t="s">
        <v>2159</v>
      </c>
      <c r="C1419" t="s">
        <v>2257</v>
      </c>
      <c r="D1419">
        <v>2</v>
      </c>
      <c r="E1419">
        <v>10707</v>
      </c>
      <c r="F1419">
        <f>messy_order_items_csv[[#This Row],[unit_price]]*messy_order_items_csv[[#This Row],[quantity]]</f>
        <v>21414</v>
      </c>
    </row>
    <row r="1420" spans="1:6" x14ac:dyDescent="0.3">
      <c r="A1420">
        <v>1419</v>
      </c>
      <c r="B1420" t="s">
        <v>1235</v>
      </c>
      <c r="C1420" t="s">
        <v>2228</v>
      </c>
      <c r="D1420">
        <v>4</v>
      </c>
      <c r="E1420">
        <v>59514</v>
      </c>
      <c r="F1420">
        <f>messy_order_items_csv[[#This Row],[unit_price]]*messy_order_items_csv[[#This Row],[quantity]]</f>
        <v>238056</v>
      </c>
    </row>
    <row r="1421" spans="1:6" x14ac:dyDescent="0.3">
      <c r="A1421">
        <v>1420</v>
      </c>
      <c r="B1421" t="s">
        <v>1317</v>
      </c>
      <c r="C1421" t="s">
        <v>2253</v>
      </c>
      <c r="D1421">
        <v>2</v>
      </c>
      <c r="E1421">
        <v>53326</v>
      </c>
      <c r="F1421">
        <f>messy_order_items_csv[[#This Row],[unit_price]]*messy_order_items_csv[[#This Row],[quantity]]</f>
        <v>106652</v>
      </c>
    </row>
    <row r="1422" spans="1:6" x14ac:dyDescent="0.3">
      <c r="A1422">
        <v>1421</v>
      </c>
      <c r="B1422" t="s">
        <v>1498</v>
      </c>
      <c r="C1422" t="s">
        <v>2204</v>
      </c>
      <c r="D1422">
        <v>0</v>
      </c>
      <c r="E1422">
        <v>86883</v>
      </c>
      <c r="F1422">
        <f>messy_order_items_csv[[#This Row],[unit_price]]*messy_order_items_csv[[#This Row],[quantity]]</f>
        <v>0</v>
      </c>
    </row>
    <row r="1423" spans="1:6" x14ac:dyDescent="0.3">
      <c r="A1423">
        <v>1422</v>
      </c>
      <c r="B1423" t="s">
        <v>2155</v>
      </c>
      <c r="C1423" t="s">
        <v>2212</v>
      </c>
      <c r="D1423">
        <v>4</v>
      </c>
      <c r="E1423">
        <v>15354</v>
      </c>
      <c r="F1423">
        <f>messy_order_items_csv[[#This Row],[unit_price]]*messy_order_items_csv[[#This Row],[quantity]]</f>
        <v>61416</v>
      </c>
    </row>
    <row r="1424" spans="1:6" x14ac:dyDescent="0.3">
      <c r="A1424">
        <v>1423</v>
      </c>
      <c r="B1424" t="s">
        <v>1624</v>
      </c>
      <c r="C1424" t="s">
        <v>2267</v>
      </c>
      <c r="D1424">
        <v>0</v>
      </c>
      <c r="E1424">
        <v>10258</v>
      </c>
      <c r="F1424">
        <f>messy_order_items_csv[[#This Row],[unit_price]]*messy_order_items_csv[[#This Row],[quantity]]</f>
        <v>0</v>
      </c>
    </row>
    <row r="1425" spans="1:6" x14ac:dyDescent="0.3">
      <c r="A1425">
        <v>1424</v>
      </c>
      <c r="B1425" t="s">
        <v>2149</v>
      </c>
      <c r="C1425" t="s">
        <v>2255</v>
      </c>
      <c r="D1425">
        <v>2</v>
      </c>
      <c r="E1425">
        <v>56123</v>
      </c>
      <c r="F1425">
        <f>messy_order_items_csv[[#This Row],[unit_price]]*messy_order_items_csv[[#This Row],[quantity]]</f>
        <v>112246</v>
      </c>
    </row>
    <row r="1426" spans="1:6" x14ac:dyDescent="0.3">
      <c r="A1426">
        <v>1425</v>
      </c>
      <c r="B1426" t="s">
        <v>1425</v>
      </c>
      <c r="C1426" t="s">
        <v>2272</v>
      </c>
      <c r="D1426">
        <v>0</v>
      </c>
      <c r="E1426">
        <v>53379</v>
      </c>
      <c r="F1426">
        <f>messy_order_items_csv[[#This Row],[unit_price]]*messy_order_items_csv[[#This Row],[quantity]]</f>
        <v>0</v>
      </c>
    </row>
    <row r="1427" spans="1:6" x14ac:dyDescent="0.3">
      <c r="A1427">
        <v>1426</v>
      </c>
      <c r="B1427" t="s">
        <v>1382</v>
      </c>
      <c r="C1427" t="s">
        <v>2264</v>
      </c>
      <c r="D1427">
        <v>4</v>
      </c>
      <c r="E1427">
        <v>9573</v>
      </c>
      <c r="F1427">
        <f>messy_order_items_csv[[#This Row],[unit_price]]*messy_order_items_csv[[#This Row],[quantity]]</f>
        <v>38292</v>
      </c>
    </row>
    <row r="1428" spans="1:6" x14ac:dyDescent="0.3">
      <c r="A1428">
        <v>1427</v>
      </c>
      <c r="B1428" t="s">
        <v>1539</v>
      </c>
      <c r="C1428" t="s">
        <v>2200</v>
      </c>
      <c r="D1428">
        <v>3</v>
      </c>
      <c r="E1428">
        <v>88815</v>
      </c>
      <c r="F1428">
        <f>messy_order_items_csv[[#This Row],[unit_price]]*messy_order_items_csv[[#This Row],[quantity]]</f>
        <v>266445</v>
      </c>
    </row>
    <row r="1429" spans="1:6" x14ac:dyDescent="0.3">
      <c r="A1429">
        <v>1428</v>
      </c>
      <c r="B1429" t="s">
        <v>1452</v>
      </c>
      <c r="C1429" t="s">
        <v>2221</v>
      </c>
      <c r="D1429">
        <v>4</v>
      </c>
      <c r="E1429">
        <v>31497</v>
      </c>
      <c r="F1429">
        <f>messy_order_items_csv[[#This Row],[unit_price]]*messy_order_items_csv[[#This Row],[quantity]]</f>
        <v>125988</v>
      </c>
    </row>
    <row r="1430" spans="1:6" x14ac:dyDescent="0.3">
      <c r="A1430">
        <v>1429</v>
      </c>
      <c r="B1430" t="s">
        <v>2148</v>
      </c>
      <c r="C1430" t="s">
        <v>2217</v>
      </c>
      <c r="D1430">
        <v>1</v>
      </c>
      <c r="E1430">
        <v>54048</v>
      </c>
      <c r="F1430">
        <f>messy_order_items_csv[[#This Row],[unit_price]]*messy_order_items_csv[[#This Row],[quantity]]</f>
        <v>54048</v>
      </c>
    </row>
    <row r="1431" spans="1:6" x14ac:dyDescent="0.3">
      <c r="A1431">
        <v>1430</v>
      </c>
      <c r="B1431" t="s">
        <v>1057</v>
      </c>
      <c r="C1431" t="s">
        <v>2208</v>
      </c>
      <c r="E1431">
        <v>31497</v>
      </c>
      <c r="F1431">
        <f>messy_order_items_csv[[#This Row],[unit_price]]*messy_order_items_csv[[#This Row],[quantity]]</f>
        <v>0</v>
      </c>
    </row>
    <row r="1432" spans="1:6" x14ac:dyDescent="0.3">
      <c r="A1432">
        <v>1431</v>
      </c>
      <c r="B1432" t="s">
        <v>1750</v>
      </c>
      <c r="C1432" t="s">
        <v>2208</v>
      </c>
      <c r="D1432">
        <v>4</v>
      </c>
      <c r="E1432">
        <v>75390</v>
      </c>
      <c r="F1432">
        <f>messy_order_items_csv[[#This Row],[unit_price]]*messy_order_items_csv[[#This Row],[quantity]]</f>
        <v>301560</v>
      </c>
    </row>
    <row r="1433" spans="1:6" x14ac:dyDescent="0.3">
      <c r="A1433">
        <v>1432</v>
      </c>
      <c r="B1433" t="s">
        <v>1117</v>
      </c>
      <c r="C1433" t="s">
        <v>2197</v>
      </c>
      <c r="D1433">
        <v>1</v>
      </c>
      <c r="E1433">
        <v>31497</v>
      </c>
      <c r="F1433">
        <f>messy_order_items_csv[[#This Row],[unit_price]]*messy_order_items_csv[[#This Row],[quantity]]</f>
        <v>31497</v>
      </c>
    </row>
    <row r="1434" spans="1:6" x14ac:dyDescent="0.3">
      <c r="A1434">
        <v>1433</v>
      </c>
      <c r="B1434" t="s">
        <v>1116</v>
      </c>
      <c r="C1434" t="s">
        <v>2220</v>
      </c>
      <c r="E1434">
        <v>36532</v>
      </c>
      <c r="F1434">
        <f>messy_order_items_csv[[#This Row],[unit_price]]*messy_order_items_csv[[#This Row],[quantity]]</f>
        <v>0</v>
      </c>
    </row>
    <row r="1435" spans="1:6" x14ac:dyDescent="0.3">
      <c r="A1435">
        <v>1434</v>
      </c>
      <c r="B1435" t="s">
        <v>1076</v>
      </c>
      <c r="C1435" t="s">
        <v>2240</v>
      </c>
      <c r="D1435">
        <v>3</v>
      </c>
      <c r="E1435">
        <v>31497</v>
      </c>
      <c r="F1435">
        <f>messy_order_items_csv[[#This Row],[unit_price]]*messy_order_items_csv[[#This Row],[quantity]]</f>
        <v>94491</v>
      </c>
    </row>
    <row r="1436" spans="1:6" x14ac:dyDescent="0.3">
      <c r="A1436">
        <v>1435</v>
      </c>
      <c r="B1436" t="s">
        <v>1782</v>
      </c>
      <c r="C1436" t="s">
        <v>2254</v>
      </c>
      <c r="D1436">
        <v>0</v>
      </c>
      <c r="E1436">
        <v>27615</v>
      </c>
      <c r="F1436">
        <f>messy_order_items_csv[[#This Row],[unit_price]]*messy_order_items_csv[[#This Row],[quantity]]</f>
        <v>0</v>
      </c>
    </row>
    <row r="1437" spans="1:6" x14ac:dyDescent="0.3">
      <c r="A1437">
        <v>1436</v>
      </c>
      <c r="B1437" t="s">
        <v>1745</v>
      </c>
      <c r="C1437" t="s">
        <v>2239</v>
      </c>
      <c r="D1437">
        <v>4</v>
      </c>
      <c r="E1437">
        <v>68660</v>
      </c>
      <c r="F1437">
        <f>messy_order_items_csv[[#This Row],[unit_price]]*messy_order_items_csv[[#This Row],[quantity]]</f>
        <v>274640</v>
      </c>
    </row>
    <row r="1438" spans="1:6" x14ac:dyDescent="0.3">
      <c r="A1438">
        <v>1437</v>
      </c>
      <c r="B1438" t="s">
        <v>1487</v>
      </c>
      <c r="C1438" t="s">
        <v>2239</v>
      </c>
      <c r="D1438">
        <v>3</v>
      </c>
      <c r="E1438">
        <v>1509</v>
      </c>
      <c r="F1438">
        <f>messy_order_items_csv[[#This Row],[unit_price]]*messy_order_items_csv[[#This Row],[quantity]]</f>
        <v>4527</v>
      </c>
    </row>
    <row r="1439" spans="1:6" x14ac:dyDescent="0.3">
      <c r="A1439">
        <v>1438</v>
      </c>
      <c r="B1439" t="s">
        <v>2147</v>
      </c>
      <c r="C1439" t="s">
        <v>2221</v>
      </c>
      <c r="D1439">
        <v>3</v>
      </c>
      <c r="E1439">
        <v>31497</v>
      </c>
      <c r="F1439">
        <f>messy_order_items_csv[[#This Row],[unit_price]]*messy_order_items_csv[[#This Row],[quantity]]</f>
        <v>94491</v>
      </c>
    </row>
    <row r="1440" spans="1:6" x14ac:dyDescent="0.3">
      <c r="A1440">
        <v>1439</v>
      </c>
      <c r="B1440" t="s">
        <v>2093</v>
      </c>
      <c r="C1440" t="s">
        <v>2256</v>
      </c>
      <c r="D1440">
        <v>1</v>
      </c>
      <c r="E1440">
        <v>82821</v>
      </c>
      <c r="F1440">
        <f>messy_order_items_csv[[#This Row],[unit_price]]*messy_order_items_csv[[#This Row],[quantity]]</f>
        <v>82821</v>
      </c>
    </row>
    <row r="1441" spans="1:6" x14ac:dyDescent="0.3">
      <c r="A1441">
        <v>1440</v>
      </c>
      <c r="B1441" t="s">
        <v>1167</v>
      </c>
      <c r="C1441" t="s">
        <v>2201</v>
      </c>
      <c r="D1441">
        <v>3</v>
      </c>
      <c r="E1441">
        <v>9813</v>
      </c>
      <c r="F1441">
        <f>messy_order_items_csv[[#This Row],[unit_price]]*messy_order_items_csv[[#This Row],[quantity]]</f>
        <v>29439</v>
      </c>
    </row>
    <row r="1442" spans="1:6" x14ac:dyDescent="0.3">
      <c r="A1442">
        <v>1441</v>
      </c>
      <c r="B1442" t="s">
        <v>1537</v>
      </c>
      <c r="C1442" t="s">
        <v>2237</v>
      </c>
      <c r="D1442">
        <v>0</v>
      </c>
      <c r="E1442">
        <v>14029</v>
      </c>
      <c r="F1442">
        <f>messy_order_items_csv[[#This Row],[unit_price]]*messy_order_items_csv[[#This Row],[quantity]]</f>
        <v>0</v>
      </c>
    </row>
    <row r="1443" spans="1:6" x14ac:dyDescent="0.3">
      <c r="A1443">
        <v>1442</v>
      </c>
      <c r="B1443" t="s">
        <v>2151</v>
      </c>
      <c r="C1443" t="s">
        <v>2238</v>
      </c>
      <c r="D1443">
        <v>1</v>
      </c>
      <c r="E1443">
        <v>28431</v>
      </c>
      <c r="F1443">
        <f>messy_order_items_csv[[#This Row],[unit_price]]*messy_order_items_csv[[#This Row],[quantity]]</f>
        <v>28431</v>
      </c>
    </row>
    <row r="1444" spans="1:6" x14ac:dyDescent="0.3">
      <c r="A1444">
        <v>1443</v>
      </c>
      <c r="B1444" t="s">
        <v>1917</v>
      </c>
      <c r="C1444" t="s">
        <v>2244</v>
      </c>
      <c r="D1444">
        <v>3</v>
      </c>
      <c r="E1444">
        <v>57922</v>
      </c>
      <c r="F1444">
        <f>messy_order_items_csv[[#This Row],[unit_price]]*messy_order_items_csv[[#This Row],[quantity]]</f>
        <v>173766</v>
      </c>
    </row>
    <row r="1445" spans="1:6" x14ac:dyDescent="0.3">
      <c r="A1445">
        <v>1444</v>
      </c>
      <c r="B1445" t="s">
        <v>1224</v>
      </c>
      <c r="C1445" t="s">
        <v>2202</v>
      </c>
      <c r="D1445">
        <v>1</v>
      </c>
      <c r="E1445">
        <v>31497</v>
      </c>
      <c r="F1445">
        <f>messy_order_items_csv[[#This Row],[unit_price]]*messy_order_items_csv[[#This Row],[quantity]]</f>
        <v>31497</v>
      </c>
    </row>
    <row r="1446" spans="1:6" x14ac:dyDescent="0.3">
      <c r="A1446">
        <v>1445</v>
      </c>
      <c r="B1446" t="s">
        <v>1499</v>
      </c>
      <c r="C1446" t="s">
        <v>2196</v>
      </c>
      <c r="D1446">
        <v>0</v>
      </c>
      <c r="E1446">
        <v>31497</v>
      </c>
      <c r="F1446">
        <f>messy_order_items_csv[[#This Row],[unit_price]]*messy_order_items_csv[[#This Row],[quantity]]</f>
        <v>0</v>
      </c>
    </row>
    <row r="1447" spans="1:6" x14ac:dyDescent="0.3">
      <c r="A1447">
        <v>1446</v>
      </c>
      <c r="B1447" t="s">
        <v>1621</v>
      </c>
      <c r="C1447" t="s">
        <v>2222</v>
      </c>
      <c r="D1447">
        <v>0</v>
      </c>
      <c r="E1447">
        <v>43685</v>
      </c>
      <c r="F1447">
        <f>messy_order_items_csv[[#This Row],[unit_price]]*messy_order_items_csv[[#This Row],[quantity]]</f>
        <v>0</v>
      </c>
    </row>
    <row r="1448" spans="1:6" x14ac:dyDescent="0.3">
      <c r="A1448">
        <v>1447</v>
      </c>
      <c r="B1448" t="s">
        <v>2159</v>
      </c>
      <c r="C1448" t="s">
        <v>2205</v>
      </c>
      <c r="E1448">
        <v>46204</v>
      </c>
      <c r="F1448">
        <f>messy_order_items_csv[[#This Row],[unit_price]]*messy_order_items_csv[[#This Row],[quantity]]</f>
        <v>0</v>
      </c>
    </row>
    <row r="1449" spans="1:6" x14ac:dyDescent="0.3">
      <c r="A1449">
        <v>1448</v>
      </c>
      <c r="B1449" t="s">
        <v>1308</v>
      </c>
      <c r="C1449" t="s">
        <v>2225</v>
      </c>
      <c r="E1449">
        <v>54725</v>
      </c>
      <c r="F1449">
        <f>messy_order_items_csv[[#This Row],[unit_price]]*messy_order_items_csv[[#This Row],[quantity]]</f>
        <v>0</v>
      </c>
    </row>
    <row r="1450" spans="1:6" x14ac:dyDescent="0.3">
      <c r="A1450">
        <v>1449</v>
      </c>
      <c r="B1450" t="s">
        <v>1889</v>
      </c>
      <c r="C1450" t="s">
        <v>2229</v>
      </c>
      <c r="D1450">
        <v>3</v>
      </c>
      <c r="E1450">
        <v>31760</v>
      </c>
      <c r="F1450">
        <f>messy_order_items_csv[[#This Row],[unit_price]]*messy_order_items_csv[[#This Row],[quantity]]</f>
        <v>95280</v>
      </c>
    </row>
    <row r="1451" spans="1:6" x14ac:dyDescent="0.3">
      <c r="A1451">
        <v>1450</v>
      </c>
      <c r="B1451" t="s">
        <v>1617</v>
      </c>
      <c r="C1451" t="s">
        <v>2235</v>
      </c>
      <c r="D1451">
        <v>2</v>
      </c>
      <c r="E1451">
        <v>62152</v>
      </c>
      <c r="F1451">
        <f>messy_order_items_csv[[#This Row],[unit_price]]*messy_order_items_csv[[#This Row],[quantity]]</f>
        <v>124304</v>
      </c>
    </row>
    <row r="1452" spans="1:6" x14ac:dyDescent="0.3">
      <c r="A1452">
        <v>1451</v>
      </c>
      <c r="B1452" t="s">
        <v>1706</v>
      </c>
      <c r="C1452" t="s">
        <v>2214</v>
      </c>
      <c r="D1452">
        <v>0</v>
      </c>
      <c r="E1452">
        <v>31497</v>
      </c>
      <c r="F1452">
        <f>messy_order_items_csv[[#This Row],[unit_price]]*messy_order_items_csv[[#This Row],[quantity]]</f>
        <v>0</v>
      </c>
    </row>
    <row r="1453" spans="1:6" x14ac:dyDescent="0.3">
      <c r="A1453">
        <v>1452</v>
      </c>
      <c r="B1453" t="s">
        <v>998</v>
      </c>
      <c r="C1453" t="s">
        <v>2264</v>
      </c>
      <c r="E1453">
        <v>59375</v>
      </c>
      <c r="F1453">
        <f>messy_order_items_csv[[#This Row],[unit_price]]*messy_order_items_csv[[#This Row],[quantity]]</f>
        <v>0</v>
      </c>
    </row>
    <row r="1454" spans="1:6" x14ac:dyDescent="0.3">
      <c r="A1454">
        <v>1453</v>
      </c>
      <c r="B1454" t="s">
        <v>1682</v>
      </c>
      <c r="C1454" t="s">
        <v>2216</v>
      </c>
      <c r="E1454">
        <v>22627</v>
      </c>
      <c r="F1454">
        <f>messy_order_items_csv[[#This Row],[unit_price]]*messy_order_items_csv[[#This Row],[quantity]]</f>
        <v>0</v>
      </c>
    </row>
    <row r="1455" spans="1:6" x14ac:dyDescent="0.3">
      <c r="A1455">
        <v>1454</v>
      </c>
      <c r="B1455" t="s">
        <v>1874</v>
      </c>
      <c r="C1455" t="s">
        <v>2209</v>
      </c>
      <c r="D1455">
        <v>2</v>
      </c>
      <c r="E1455">
        <v>13294</v>
      </c>
      <c r="F1455">
        <f>messy_order_items_csv[[#This Row],[unit_price]]*messy_order_items_csv[[#This Row],[quantity]]</f>
        <v>26588</v>
      </c>
    </row>
    <row r="1456" spans="1:6" x14ac:dyDescent="0.3">
      <c r="A1456">
        <v>1455</v>
      </c>
      <c r="B1456" t="s">
        <v>1365</v>
      </c>
      <c r="C1456" t="s">
        <v>2242</v>
      </c>
      <c r="D1456">
        <v>2</v>
      </c>
      <c r="E1456">
        <v>30185</v>
      </c>
      <c r="F1456">
        <f>messy_order_items_csv[[#This Row],[unit_price]]*messy_order_items_csv[[#This Row],[quantity]]</f>
        <v>60370</v>
      </c>
    </row>
    <row r="1457" spans="1:6" x14ac:dyDescent="0.3">
      <c r="A1457">
        <v>1456</v>
      </c>
      <c r="B1457" t="s">
        <v>1366</v>
      </c>
      <c r="C1457" t="s">
        <v>2211</v>
      </c>
      <c r="D1457">
        <v>2</v>
      </c>
      <c r="E1457">
        <v>82478</v>
      </c>
      <c r="F1457">
        <f>messy_order_items_csv[[#This Row],[unit_price]]*messy_order_items_csv[[#This Row],[quantity]]</f>
        <v>164956</v>
      </c>
    </row>
    <row r="1458" spans="1:6" x14ac:dyDescent="0.3">
      <c r="A1458">
        <v>1457</v>
      </c>
      <c r="B1458" t="s">
        <v>1416</v>
      </c>
      <c r="C1458" t="s">
        <v>2207</v>
      </c>
      <c r="D1458">
        <v>0</v>
      </c>
      <c r="E1458">
        <v>31497</v>
      </c>
      <c r="F1458">
        <f>messy_order_items_csv[[#This Row],[unit_price]]*messy_order_items_csv[[#This Row],[quantity]]</f>
        <v>0</v>
      </c>
    </row>
    <row r="1459" spans="1:6" x14ac:dyDescent="0.3">
      <c r="A1459">
        <v>1458</v>
      </c>
      <c r="B1459" t="s">
        <v>1769</v>
      </c>
      <c r="C1459" t="s">
        <v>2253</v>
      </c>
      <c r="D1459">
        <v>4</v>
      </c>
      <c r="E1459">
        <v>31556</v>
      </c>
      <c r="F1459">
        <f>messy_order_items_csv[[#This Row],[unit_price]]*messy_order_items_csv[[#This Row],[quantity]]</f>
        <v>126224</v>
      </c>
    </row>
    <row r="1460" spans="1:6" x14ac:dyDescent="0.3">
      <c r="A1460">
        <v>1459</v>
      </c>
      <c r="B1460" t="s">
        <v>1449</v>
      </c>
      <c r="C1460" t="s">
        <v>2229</v>
      </c>
      <c r="E1460">
        <v>47676</v>
      </c>
      <c r="F1460">
        <f>messy_order_items_csv[[#This Row],[unit_price]]*messy_order_items_csv[[#This Row],[quantity]]</f>
        <v>0</v>
      </c>
    </row>
    <row r="1461" spans="1:6" x14ac:dyDescent="0.3">
      <c r="A1461">
        <v>1460</v>
      </c>
      <c r="B1461" t="s">
        <v>2140</v>
      </c>
      <c r="C1461" t="s">
        <v>2195</v>
      </c>
      <c r="D1461">
        <v>1</v>
      </c>
      <c r="E1461">
        <v>51419</v>
      </c>
      <c r="F1461">
        <f>messy_order_items_csv[[#This Row],[unit_price]]*messy_order_items_csv[[#This Row],[quantity]]</f>
        <v>51419</v>
      </c>
    </row>
    <row r="1462" spans="1:6" x14ac:dyDescent="0.3">
      <c r="A1462">
        <v>1461</v>
      </c>
      <c r="B1462" t="s">
        <v>1390</v>
      </c>
      <c r="C1462" t="s">
        <v>2239</v>
      </c>
      <c r="D1462">
        <v>4</v>
      </c>
      <c r="E1462">
        <v>88990</v>
      </c>
      <c r="F1462">
        <f>messy_order_items_csv[[#This Row],[unit_price]]*messy_order_items_csv[[#This Row],[quantity]]</f>
        <v>355960</v>
      </c>
    </row>
    <row r="1463" spans="1:6" x14ac:dyDescent="0.3">
      <c r="A1463">
        <v>1462</v>
      </c>
      <c r="B1463" t="s">
        <v>1081</v>
      </c>
      <c r="C1463" t="s">
        <v>2227</v>
      </c>
      <c r="E1463">
        <v>31497</v>
      </c>
      <c r="F1463">
        <f>messy_order_items_csv[[#This Row],[unit_price]]*messy_order_items_csv[[#This Row],[quantity]]</f>
        <v>0</v>
      </c>
    </row>
    <row r="1464" spans="1:6" x14ac:dyDescent="0.3">
      <c r="A1464">
        <v>1463</v>
      </c>
      <c r="B1464" t="s">
        <v>1853</v>
      </c>
      <c r="C1464" t="s">
        <v>2229</v>
      </c>
      <c r="D1464">
        <v>2</v>
      </c>
      <c r="E1464">
        <v>46431</v>
      </c>
      <c r="F1464">
        <f>messy_order_items_csv[[#This Row],[unit_price]]*messy_order_items_csv[[#This Row],[quantity]]</f>
        <v>92862</v>
      </c>
    </row>
    <row r="1465" spans="1:6" x14ac:dyDescent="0.3">
      <c r="A1465">
        <v>1464</v>
      </c>
      <c r="B1465" t="s">
        <v>2131</v>
      </c>
      <c r="C1465" t="s">
        <v>2264</v>
      </c>
      <c r="D1465">
        <v>2</v>
      </c>
      <c r="E1465">
        <v>3792</v>
      </c>
      <c r="F1465">
        <f>messy_order_items_csv[[#This Row],[unit_price]]*messy_order_items_csv[[#This Row],[quantity]]</f>
        <v>7584</v>
      </c>
    </row>
    <row r="1466" spans="1:6" x14ac:dyDescent="0.3">
      <c r="A1466">
        <v>1465</v>
      </c>
      <c r="B1466" t="s">
        <v>2156</v>
      </c>
      <c r="C1466" t="s">
        <v>2225</v>
      </c>
      <c r="D1466">
        <v>3</v>
      </c>
      <c r="E1466">
        <v>57691</v>
      </c>
      <c r="F1466">
        <f>messy_order_items_csv[[#This Row],[unit_price]]*messy_order_items_csv[[#This Row],[quantity]]</f>
        <v>173073</v>
      </c>
    </row>
    <row r="1467" spans="1:6" x14ac:dyDescent="0.3">
      <c r="A1467">
        <v>1466</v>
      </c>
      <c r="B1467" t="s">
        <v>2123</v>
      </c>
      <c r="C1467" t="s">
        <v>2232</v>
      </c>
      <c r="E1467">
        <v>89418</v>
      </c>
      <c r="F1467">
        <f>messy_order_items_csv[[#This Row],[unit_price]]*messy_order_items_csv[[#This Row],[quantity]]</f>
        <v>0</v>
      </c>
    </row>
    <row r="1468" spans="1:6" x14ac:dyDescent="0.3">
      <c r="A1468">
        <v>1467</v>
      </c>
      <c r="B1468" t="s">
        <v>1621</v>
      </c>
      <c r="C1468" t="s">
        <v>2219</v>
      </c>
      <c r="D1468">
        <v>1</v>
      </c>
      <c r="E1468">
        <v>31497</v>
      </c>
      <c r="F1468">
        <f>messy_order_items_csv[[#This Row],[unit_price]]*messy_order_items_csv[[#This Row],[quantity]]</f>
        <v>31497</v>
      </c>
    </row>
    <row r="1469" spans="1:6" x14ac:dyDescent="0.3">
      <c r="A1469">
        <v>1468</v>
      </c>
      <c r="B1469" t="s">
        <v>1305</v>
      </c>
      <c r="C1469" t="s">
        <v>2239</v>
      </c>
      <c r="D1469">
        <v>4</v>
      </c>
      <c r="E1469">
        <v>63506</v>
      </c>
      <c r="F1469">
        <f>messy_order_items_csv[[#This Row],[unit_price]]*messy_order_items_csv[[#This Row],[quantity]]</f>
        <v>254024</v>
      </c>
    </row>
    <row r="1470" spans="1:6" x14ac:dyDescent="0.3">
      <c r="A1470">
        <v>1469</v>
      </c>
      <c r="B1470" t="s">
        <v>1492</v>
      </c>
      <c r="C1470" t="s">
        <v>2206</v>
      </c>
      <c r="D1470">
        <v>4</v>
      </c>
      <c r="E1470">
        <v>15249</v>
      </c>
      <c r="F1470">
        <f>messy_order_items_csv[[#This Row],[unit_price]]*messy_order_items_csv[[#This Row],[quantity]]</f>
        <v>60996</v>
      </c>
    </row>
    <row r="1471" spans="1:6" x14ac:dyDescent="0.3">
      <c r="A1471">
        <v>1470</v>
      </c>
      <c r="B1471" t="s">
        <v>1107</v>
      </c>
      <c r="C1471" t="s">
        <v>2220</v>
      </c>
      <c r="D1471">
        <v>0</v>
      </c>
      <c r="E1471">
        <v>1079</v>
      </c>
      <c r="F1471">
        <f>messy_order_items_csv[[#This Row],[unit_price]]*messy_order_items_csv[[#This Row],[quantity]]</f>
        <v>0</v>
      </c>
    </row>
    <row r="1472" spans="1:6" x14ac:dyDescent="0.3">
      <c r="A1472">
        <v>1471</v>
      </c>
      <c r="B1472" t="s">
        <v>1345</v>
      </c>
      <c r="C1472" t="s">
        <v>2197</v>
      </c>
      <c r="D1472">
        <v>4</v>
      </c>
      <c r="E1472">
        <v>43173</v>
      </c>
      <c r="F1472">
        <f>messy_order_items_csv[[#This Row],[unit_price]]*messy_order_items_csv[[#This Row],[quantity]]</f>
        <v>172692</v>
      </c>
    </row>
    <row r="1473" spans="1:6" x14ac:dyDescent="0.3">
      <c r="A1473">
        <v>1472</v>
      </c>
      <c r="B1473" t="s">
        <v>1088</v>
      </c>
      <c r="C1473" t="s">
        <v>2250</v>
      </c>
      <c r="E1473">
        <v>31497</v>
      </c>
      <c r="F1473">
        <f>messy_order_items_csv[[#This Row],[unit_price]]*messy_order_items_csv[[#This Row],[quantity]]</f>
        <v>0</v>
      </c>
    </row>
    <row r="1474" spans="1:6" x14ac:dyDescent="0.3">
      <c r="A1474">
        <v>1473</v>
      </c>
      <c r="B1474" t="s">
        <v>1862</v>
      </c>
      <c r="C1474" t="s">
        <v>2207</v>
      </c>
      <c r="D1474">
        <v>3</v>
      </c>
      <c r="E1474">
        <v>31497</v>
      </c>
      <c r="F1474">
        <f>messy_order_items_csv[[#This Row],[unit_price]]*messy_order_items_csv[[#This Row],[quantity]]</f>
        <v>94491</v>
      </c>
    </row>
    <row r="1475" spans="1:6" x14ac:dyDescent="0.3">
      <c r="A1475">
        <v>1474</v>
      </c>
      <c r="B1475" t="s">
        <v>1274</v>
      </c>
      <c r="C1475" t="s">
        <v>2243</v>
      </c>
      <c r="D1475">
        <v>1</v>
      </c>
      <c r="E1475">
        <v>31497</v>
      </c>
      <c r="F1475">
        <f>messy_order_items_csv[[#This Row],[unit_price]]*messy_order_items_csv[[#This Row],[quantity]]</f>
        <v>31497</v>
      </c>
    </row>
    <row r="1476" spans="1:6" x14ac:dyDescent="0.3">
      <c r="A1476">
        <v>1475</v>
      </c>
      <c r="B1476" t="s">
        <v>1409</v>
      </c>
      <c r="C1476" t="s">
        <v>2243</v>
      </c>
      <c r="D1476">
        <v>3</v>
      </c>
      <c r="E1476">
        <v>31497</v>
      </c>
      <c r="F1476">
        <f>messy_order_items_csv[[#This Row],[unit_price]]*messy_order_items_csv[[#This Row],[quantity]]</f>
        <v>94491</v>
      </c>
    </row>
    <row r="1477" spans="1:6" x14ac:dyDescent="0.3">
      <c r="A1477">
        <v>1476</v>
      </c>
      <c r="B1477" t="s">
        <v>1360</v>
      </c>
      <c r="C1477" t="s">
        <v>2271</v>
      </c>
      <c r="D1477">
        <v>0</v>
      </c>
      <c r="E1477">
        <v>37797</v>
      </c>
      <c r="F1477">
        <f>messy_order_items_csv[[#This Row],[unit_price]]*messy_order_items_csv[[#This Row],[quantity]]</f>
        <v>0</v>
      </c>
    </row>
    <row r="1478" spans="1:6" x14ac:dyDescent="0.3">
      <c r="A1478">
        <v>1477</v>
      </c>
      <c r="B1478" t="s">
        <v>1121</v>
      </c>
      <c r="C1478" t="s">
        <v>2267</v>
      </c>
      <c r="D1478">
        <v>2</v>
      </c>
      <c r="E1478">
        <v>31497</v>
      </c>
      <c r="F1478">
        <f>messy_order_items_csv[[#This Row],[unit_price]]*messy_order_items_csv[[#This Row],[quantity]]</f>
        <v>62994</v>
      </c>
    </row>
    <row r="1479" spans="1:6" x14ac:dyDescent="0.3">
      <c r="A1479">
        <v>1478</v>
      </c>
      <c r="B1479" t="s">
        <v>1603</v>
      </c>
      <c r="C1479" t="s">
        <v>2240</v>
      </c>
      <c r="D1479">
        <v>0</v>
      </c>
      <c r="E1479">
        <v>80163</v>
      </c>
      <c r="F1479">
        <f>messy_order_items_csv[[#This Row],[unit_price]]*messy_order_items_csv[[#This Row],[quantity]]</f>
        <v>0</v>
      </c>
    </row>
    <row r="1480" spans="1:6" x14ac:dyDescent="0.3">
      <c r="A1480">
        <v>1479</v>
      </c>
      <c r="B1480" t="s">
        <v>2031</v>
      </c>
      <c r="C1480" t="s">
        <v>2220</v>
      </c>
      <c r="D1480">
        <v>1</v>
      </c>
      <c r="E1480">
        <v>5475</v>
      </c>
      <c r="F1480">
        <f>messy_order_items_csv[[#This Row],[unit_price]]*messy_order_items_csv[[#This Row],[quantity]]</f>
        <v>5475</v>
      </c>
    </row>
    <row r="1481" spans="1:6" x14ac:dyDescent="0.3">
      <c r="A1481">
        <v>1480</v>
      </c>
      <c r="B1481" t="s">
        <v>1137</v>
      </c>
      <c r="C1481" t="s">
        <v>2274</v>
      </c>
      <c r="D1481">
        <v>3</v>
      </c>
      <c r="E1481">
        <v>65993</v>
      </c>
      <c r="F1481">
        <f>messy_order_items_csv[[#This Row],[unit_price]]*messy_order_items_csv[[#This Row],[quantity]]</f>
        <v>197979</v>
      </c>
    </row>
    <row r="1482" spans="1:6" x14ac:dyDescent="0.3">
      <c r="A1482">
        <v>1481</v>
      </c>
      <c r="B1482" t="s">
        <v>1154</v>
      </c>
      <c r="C1482" t="s">
        <v>2227</v>
      </c>
      <c r="D1482">
        <v>2</v>
      </c>
      <c r="E1482">
        <v>31497</v>
      </c>
      <c r="F1482">
        <f>messy_order_items_csv[[#This Row],[unit_price]]*messy_order_items_csv[[#This Row],[quantity]]</f>
        <v>62994</v>
      </c>
    </row>
    <row r="1483" spans="1:6" x14ac:dyDescent="0.3">
      <c r="A1483">
        <v>1482</v>
      </c>
      <c r="B1483" t="s">
        <v>1853</v>
      </c>
      <c r="C1483" t="s">
        <v>2240</v>
      </c>
      <c r="D1483">
        <v>0</v>
      </c>
      <c r="E1483">
        <v>31497</v>
      </c>
      <c r="F1483">
        <f>messy_order_items_csv[[#This Row],[unit_price]]*messy_order_items_csv[[#This Row],[quantity]]</f>
        <v>0</v>
      </c>
    </row>
    <row r="1484" spans="1:6" x14ac:dyDescent="0.3">
      <c r="A1484">
        <v>1483</v>
      </c>
      <c r="B1484" t="s">
        <v>1196</v>
      </c>
      <c r="C1484" t="s">
        <v>2200</v>
      </c>
      <c r="D1484">
        <v>4</v>
      </c>
      <c r="E1484">
        <v>55038</v>
      </c>
      <c r="F1484">
        <f>messy_order_items_csv[[#This Row],[unit_price]]*messy_order_items_csv[[#This Row],[quantity]]</f>
        <v>220152</v>
      </c>
    </row>
    <row r="1485" spans="1:6" x14ac:dyDescent="0.3">
      <c r="A1485">
        <v>1484</v>
      </c>
      <c r="B1485" t="s">
        <v>1583</v>
      </c>
      <c r="C1485" t="s">
        <v>2230</v>
      </c>
      <c r="E1485">
        <v>61500</v>
      </c>
      <c r="F1485">
        <f>messy_order_items_csv[[#This Row],[unit_price]]*messy_order_items_csv[[#This Row],[quantity]]</f>
        <v>0</v>
      </c>
    </row>
    <row r="1486" spans="1:6" x14ac:dyDescent="0.3">
      <c r="A1486">
        <v>1485</v>
      </c>
      <c r="B1486" t="s">
        <v>1367</v>
      </c>
      <c r="C1486" t="s">
        <v>2235</v>
      </c>
      <c r="D1486">
        <v>2</v>
      </c>
      <c r="E1486">
        <v>31497</v>
      </c>
      <c r="F1486">
        <f>messy_order_items_csv[[#This Row],[unit_price]]*messy_order_items_csv[[#This Row],[quantity]]</f>
        <v>62994</v>
      </c>
    </row>
    <row r="1487" spans="1:6" x14ac:dyDescent="0.3">
      <c r="A1487">
        <v>1486</v>
      </c>
      <c r="B1487" t="s">
        <v>2041</v>
      </c>
      <c r="C1487" t="s">
        <v>2204</v>
      </c>
      <c r="E1487">
        <v>6565</v>
      </c>
      <c r="F1487">
        <f>messy_order_items_csv[[#This Row],[unit_price]]*messy_order_items_csv[[#This Row],[quantity]]</f>
        <v>0</v>
      </c>
    </row>
    <row r="1488" spans="1:6" x14ac:dyDescent="0.3">
      <c r="A1488">
        <v>1487</v>
      </c>
      <c r="B1488" t="s">
        <v>1031</v>
      </c>
      <c r="C1488" t="s">
        <v>2206</v>
      </c>
      <c r="D1488">
        <v>1</v>
      </c>
      <c r="E1488">
        <v>15249</v>
      </c>
      <c r="F1488">
        <f>messy_order_items_csv[[#This Row],[unit_price]]*messy_order_items_csv[[#This Row],[quantity]]</f>
        <v>15249</v>
      </c>
    </row>
    <row r="1489" spans="1:6" x14ac:dyDescent="0.3">
      <c r="A1489">
        <v>1488</v>
      </c>
      <c r="B1489" t="s">
        <v>1479</v>
      </c>
      <c r="C1489" t="s">
        <v>2235</v>
      </c>
      <c r="D1489">
        <v>2</v>
      </c>
      <c r="E1489">
        <v>72197</v>
      </c>
      <c r="F1489">
        <f>messy_order_items_csv[[#This Row],[unit_price]]*messy_order_items_csv[[#This Row],[quantity]]</f>
        <v>144394</v>
      </c>
    </row>
    <row r="1490" spans="1:6" x14ac:dyDescent="0.3">
      <c r="A1490">
        <v>1489</v>
      </c>
      <c r="B1490" t="s">
        <v>1812</v>
      </c>
      <c r="C1490" t="s">
        <v>2204</v>
      </c>
      <c r="D1490">
        <v>0</v>
      </c>
      <c r="E1490">
        <v>31497</v>
      </c>
      <c r="F1490">
        <f>messy_order_items_csv[[#This Row],[unit_price]]*messy_order_items_csv[[#This Row],[quantity]]</f>
        <v>0</v>
      </c>
    </row>
    <row r="1491" spans="1:6" x14ac:dyDescent="0.3">
      <c r="A1491">
        <v>1490</v>
      </c>
      <c r="B1491" t="s">
        <v>1390</v>
      </c>
      <c r="C1491" t="s">
        <v>2219</v>
      </c>
      <c r="D1491">
        <v>4</v>
      </c>
      <c r="E1491">
        <v>16242</v>
      </c>
      <c r="F1491">
        <f>messy_order_items_csv[[#This Row],[unit_price]]*messy_order_items_csv[[#This Row],[quantity]]</f>
        <v>64968</v>
      </c>
    </row>
    <row r="1492" spans="1:6" x14ac:dyDescent="0.3">
      <c r="A1492">
        <v>1491</v>
      </c>
      <c r="B1492" t="s">
        <v>1961</v>
      </c>
      <c r="C1492" t="s">
        <v>2220</v>
      </c>
      <c r="D1492">
        <v>0</v>
      </c>
      <c r="E1492">
        <v>20844</v>
      </c>
      <c r="F1492">
        <f>messy_order_items_csv[[#This Row],[unit_price]]*messy_order_items_csv[[#This Row],[quantity]]</f>
        <v>0</v>
      </c>
    </row>
    <row r="1493" spans="1:6" x14ac:dyDescent="0.3">
      <c r="A1493">
        <v>1492</v>
      </c>
      <c r="B1493" t="s">
        <v>1768</v>
      </c>
      <c r="C1493" t="s">
        <v>2235</v>
      </c>
      <c r="D1493">
        <v>0</v>
      </c>
      <c r="E1493">
        <v>31497</v>
      </c>
      <c r="F1493">
        <f>messy_order_items_csv[[#This Row],[unit_price]]*messy_order_items_csv[[#This Row],[quantity]]</f>
        <v>0</v>
      </c>
    </row>
    <row r="1494" spans="1:6" x14ac:dyDescent="0.3">
      <c r="A1494">
        <v>1493</v>
      </c>
      <c r="B1494" t="s">
        <v>1852</v>
      </c>
      <c r="C1494" t="s">
        <v>2263</v>
      </c>
      <c r="D1494">
        <v>1</v>
      </c>
      <c r="E1494">
        <v>78401</v>
      </c>
      <c r="F1494">
        <f>messy_order_items_csv[[#This Row],[unit_price]]*messy_order_items_csv[[#This Row],[quantity]]</f>
        <v>78401</v>
      </c>
    </row>
    <row r="1495" spans="1:6" x14ac:dyDescent="0.3">
      <c r="A1495">
        <v>1494</v>
      </c>
      <c r="B1495" t="s">
        <v>1705</v>
      </c>
      <c r="C1495" t="s">
        <v>2273</v>
      </c>
      <c r="D1495">
        <v>2</v>
      </c>
      <c r="E1495">
        <v>31497</v>
      </c>
      <c r="F1495">
        <f>messy_order_items_csv[[#This Row],[unit_price]]*messy_order_items_csv[[#This Row],[quantity]]</f>
        <v>62994</v>
      </c>
    </row>
    <row r="1496" spans="1:6" x14ac:dyDescent="0.3">
      <c r="A1496">
        <v>1495</v>
      </c>
      <c r="B1496" t="s">
        <v>1975</v>
      </c>
      <c r="C1496" t="s">
        <v>2248</v>
      </c>
      <c r="D1496">
        <v>0</v>
      </c>
      <c r="E1496">
        <v>31497</v>
      </c>
      <c r="F1496">
        <f>messy_order_items_csv[[#This Row],[unit_price]]*messy_order_items_csv[[#This Row],[quantity]]</f>
        <v>0</v>
      </c>
    </row>
    <row r="1497" spans="1:6" x14ac:dyDescent="0.3">
      <c r="A1497">
        <v>1496</v>
      </c>
      <c r="B1497" t="s">
        <v>2143</v>
      </c>
      <c r="C1497" t="s">
        <v>2244</v>
      </c>
      <c r="D1497">
        <v>1</v>
      </c>
      <c r="E1497">
        <v>31497</v>
      </c>
      <c r="F1497">
        <f>messy_order_items_csv[[#This Row],[unit_price]]*messy_order_items_csv[[#This Row],[quantity]]</f>
        <v>31497</v>
      </c>
    </row>
    <row r="1498" spans="1:6" x14ac:dyDescent="0.3">
      <c r="A1498">
        <v>1497</v>
      </c>
      <c r="B1498" t="s">
        <v>1939</v>
      </c>
      <c r="C1498" t="s">
        <v>2247</v>
      </c>
      <c r="D1498">
        <v>0</v>
      </c>
      <c r="E1498">
        <v>36001</v>
      </c>
      <c r="F1498">
        <f>messy_order_items_csv[[#This Row],[unit_price]]*messy_order_items_csv[[#This Row],[quantity]]</f>
        <v>0</v>
      </c>
    </row>
    <row r="1499" spans="1:6" x14ac:dyDescent="0.3">
      <c r="A1499">
        <v>1498</v>
      </c>
      <c r="B1499" t="s">
        <v>1861</v>
      </c>
      <c r="C1499" t="s">
        <v>2250</v>
      </c>
      <c r="D1499">
        <v>4</v>
      </c>
      <c r="E1499">
        <v>31497</v>
      </c>
      <c r="F1499">
        <f>messy_order_items_csv[[#This Row],[unit_price]]*messy_order_items_csv[[#This Row],[quantity]]</f>
        <v>125988</v>
      </c>
    </row>
    <row r="1500" spans="1:6" x14ac:dyDescent="0.3">
      <c r="A1500">
        <v>1499</v>
      </c>
      <c r="B1500" t="s">
        <v>1960</v>
      </c>
      <c r="C1500" t="s">
        <v>2232</v>
      </c>
      <c r="E1500">
        <v>9035</v>
      </c>
      <c r="F1500">
        <f>messy_order_items_csv[[#This Row],[unit_price]]*messy_order_items_csv[[#This Row],[quantity]]</f>
        <v>0</v>
      </c>
    </row>
    <row r="1501" spans="1:6" x14ac:dyDescent="0.3">
      <c r="A1501">
        <v>1500</v>
      </c>
      <c r="B1501" t="s">
        <v>1101</v>
      </c>
      <c r="C1501" t="s">
        <v>2204</v>
      </c>
      <c r="D1501">
        <v>0</v>
      </c>
      <c r="E1501">
        <v>31497</v>
      </c>
      <c r="F1501">
        <f>messy_order_items_csv[[#This Row],[unit_price]]*messy_order_items_csv[[#This Row],[quantity]]</f>
        <v>0</v>
      </c>
    </row>
    <row r="1502" spans="1:6" x14ac:dyDescent="0.3">
      <c r="A1502">
        <v>1501</v>
      </c>
      <c r="B1502" t="s">
        <v>2123</v>
      </c>
      <c r="C1502" t="s">
        <v>2242</v>
      </c>
      <c r="D1502">
        <v>3</v>
      </c>
      <c r="E1502">
        <v>31497</v>
      </c>
      <c r="F1502">
        <f>messy_order_items_csv[[#This Row],[unit_price]]*messy_order_items_csv[[#This Row],[quantity]]</f>
        <v>94491</v>
      </c>
    </row>
    <row r="1503" spans="1:6" x14ac:dyDescent="0.3">
      <c r="A1503">
        <v>1502</v>
      </c>
      <c r="B1503" t="s">
        <v>1423</v>
      </c>
      <c r="C1503" t="s">
        <v>2247</v>
      </c>
      <c r="D1503">
        <v>0</v>
      </c>
      <c r="E1503">
        <v>40538</v>
      </c>
      <c r="F1503">
        <f>messy_order_items_csv[[#This Row],[unit_price]]*messy_order_items_csv[[#This Row],[quantity]]</f>
        <v>0</v>
      </c>
    </row>
    <row r="1504" spans="1:6" x14ac:dyDescent="0.3">
      <c r="A1504">
        <v>1503</v>
      </c>
      <c r="B1504" t="s">
        <v>1549</v>
      </c>
      <c r="C1504" t="s">
        <v>2214</v>
      </c>
      <c r="D1504">
        <v>2</v>
      </c>
      <c r="E1504">
        <v>85858</v>
      </c>
      <c r="F1504">
        <f>messy_order_items_csv[[#This Row],[unit_price]]*messy_order_items_csv[[#This Row],[quantity]]</f>
        <v>171716</v>
      </c>
    </row>
    <row r="1505" spans="1:6" x14ac:dyDescent="0.3">
      <c r="A1505">
        <v>1504</v>
      </c>
      <c r="B1505" t="s">
        <v>1269</v>
      </c>
      <c r="C1505" t="s">
        <v>2200</v>
      </c>
      <c r="D1505">
        <v>4</v>
      </c>
      <c r="E1505">
        <v>51782</v>
      </c>
      <c r="F1505">
        <f>messy_order_items_csv[[#This Row],[unit_price]]*messy_order_items_csv[[#This Row],[quantity]]</f>
        <v>207128</v>
      </c>
    </row>
    <row r="1506" spans="1:6" x14ac:dyDescent="0.3">
      <c r="A1506">
        <v>1505</v>
      </c>
      <c r="B1506" t="s">
        <v>1431</v>
      </c>
      <c r="C1506" t="s">
        <v>2195</v>
      </c>
      <c r="D1506">
        <v>4</v>
      </c>
      <c r="E1506">
        <v>47453</v>
      </c>
      <c r="F1506">
        <f>messy_order_items_csv[[#This Row],[unit_price]]*messy_order_items_csv[[#This Row],[quantity]]</f>
        <v>189812</v>
      </c>
    </row>
    <row r="1507" spans="1:6" x14ac:dyDescent="0.3">
      <c r="A1507">
        <v>1506</v>
      </c>
      <c r="B1507" t="s">
        <v>1911</v>
      </c>
      <c r="C1507" t="s">
        <v>2246</v>
      </c>
      <c r="D1507">
        <v>4</v>
      </c>
      <c r="E1507">
        <v>2571</v>
      </c>
      <c r="F1507">
        <f>messy_order_items_csv[[#This Row],[unit_price]]*messy_order_items_csv[[#This Row],[quantity]]</f>
        <v>10284</v>
      </c>
    </row>
    <row r="1508" spans="1:6" x14ac:dyDescent="0.3">
      <c r="A1508">
        <v>1507</v>
      </c>
      <c r="B1508" t="s">
        <v>1497</v>
      </c>
      <c r="C1508" t="s">
        <v>2208</v>
      </c>
      <c r="D1508">
        <v>0</v>
      </c>
      <c r="E1508">
        <v>36892</v>
      </c>
      <c r="F1508">
        <f>messy_order_items_csv[[#This Row],[unit_price]]*messy_order_items_csv[[#This Row],[quantity]]</f>
        <v>0</v>
      </c>
    </row>
    <row r="1509" spans="1:6" x14ac:dyDescent="0.3">
      <c r="A1509">
        <v>1508</v>
      </c>
      <c r="B1509" t="s">
        <v>1330</v>
      </c>
      <c r="C1509" t="s">
        <v>2274</v>
      </c>
      <c r="D1509">
        <v>4</v>
      </c>
      <c r="E1509">
        <v>33313</v>
      </c>
      <c r="F1509">
        <f>messy_order_items_csv[[#This Row],[unit_price]]*messy_order_items_csv[[#This Row],[quantity]]</f>
        <v>133252</v>
      </c>
    </row>
    <row r="1510" spans="1:6" x14ac:dyDescent="0.3">
      <c r="A1510">
        <v>1509</v>
      </c>
      <c r="B1510" t="s">
        <v>1763</v>
      </c>
      <c r="C1510" t="s">
        <v>2242</v>
      </c>
      <c r="D1510">
        <v>3</v>
      </c>
      <c r="E1510">
        <v>31497</v>
      </c>
      <c r="F1510">
        <f>messy_order_items_csv[[#This Row],[unit_price]]*messy_order_items_csv[[#This Row],[quantity]]</f>
        <v>94491</v>
      </c>
    </row>
    <row r="1511" spans="1:6" x14ac:dyDescent="0.3">
      <c r="A1511">
        <v>1510</v>
      </c>
      <c r="B1511" t="s">
        <v>1445</v>
      </c>
      <c r="C1511" t="s">
        <v>2254</v>
      </c>
      <c r="D1511">
        <v>1</v>
      </c>
      <c r="E1511">
        <v>88505</v>
      </c>
      <c r="F1511">
        <f>messy_order_items_csv[[#This Row],[unit_price]]*messy_order_items_csv[[#This Row],[quantity]]</f>
        <v>88505</v>
      </c>
    </row>
    <row r="1512" spans="1:6" x14ac:dyDescent="0.3">
      <c r="A1512">
        <v>1511</v>
      </c>
      <c r="B1512" t="s">
        <v>1191</v>
      </c>
      <c r="C1512" t="s">
        <v>2272</v>
      </c>
      <c r="D1512">
        <v>0</v>
      </c>
      <c r="E1512">
        <v>43027</v>
      </c>
      <c r="F1512">
        <f>messy_order_items_csv[[#This Row],[unit_price]]*messy_order_items_csv[[#This Row],[quantity]]</f>
        <v>0</v>
      </c>
    </row>
    <row r="1513" spans="1:6" x14ac:dyDescent="0.3">
      <c r="A1513">
        <v>1512</v>
      </c>
      <c r="B1513" t="s">
        <v>1666</v>
      </c>
      <c r="C1513" t="s">
        <v>2196</v>
      </c>
      <c r="D1513">
        <v>3</v>
      </c>
      <c r="E1513">
        <v>71689</v>
      </c>
      <c r="F1513">
        <f>messy_order_items_csv[[#This Row],[unit_price]]*messy_order_items_csv[[#This Row],[quantity]]</f>
        <v>215067</v>
      </c>
    </row>
    <row r="1514" spans="1:6" x14ac:dyDescent="0.3">
      <c r="A1514">
        <v>1513</v>
      </c>
      <c r="B1514" t="s">
        <v>1520</v>
      </c>
      <c r="C1514" t="s">
        <v>2273</v>
      </c>
      <c r="D1514">
        <v>1</v>
      </c>
      <c r="E1514">
        <v>52620</v>
      </c>
      <c r="F1514">
        <f>messy_order_items_csv[[#This Row],[unit_price]]*messy_order_items_csv[[#This Row],[quantity]]</f>
        <v>52620</v>
      </c>
    </row>
    <row r="1515" spans="1:6" x14ac:dyDescent="0.3">
      <c r="A1515">
        <v>1514</v>
      </c>
      <c r="B1515" t="s">
        <v>1176</v>
      </c>
      <c r="C1515" t="s">
        <v>2198</v>
      </c>
      <c r="D1515">
        <v>3</v>
      </c>
      <c r="E1515">
        <v>25258</v>
      </c>
      <c r="F1515">
        <f>messy_order_items_csv[[#This Row],[unit_price]]*messy_order_items_csv[[#This Row],[quantity]]</f>
        <v>75774</v>
      </c>
    </row>
    <row r="1516" spans="1:6" x14ac:dyDescent="0.3">
      <c r="A1516">
        <v>1515</v>
      </c>
      <c r="B1516" t="s">
        <v>1795</v>
      </c>
      <c r="C1516" t="s">
        <v>2207</v>
      </c>
      <c r="D1516">
        <v>1</v>
      </c>
      <c r="E1516">
        <v>80267</v>
      </c>
      <c r="F1516">
        <f>messy_order_items_csv[[#This Row],[unit_price]]*messy_order_items_csv[[#This Row],[quantity]]</f>
        <v>80267</v>
      </c>
    </row>
    <row r="1517" spans="1:6" x14ac:dyDescent="0.3">
      <c r="A1517">
        <v>1516</v>
      </c>
      <c r="B1517" t="s">
        <v>2106</v>
      </c>
      <c r="C1517" t="s">
        <v>2238</v>
      </c>
      <c r="D1517">
        <v>2</v>
      </c>
      <c r="E1517">
        <v>21321</v>
      </c>
      <c r="F1517">
        <f>messy_order_items_csv[[#This Row],[unit_price]]*messy_order_items_csv[[#This Row],[quantity]]</f>
        <v>42642</v>
      </c>
    </row>
    <row r="1518" spans="1:6" x14ac:dyDescent="0.3">
      <c r="A1518">
        <v>1517</v>
      </c>
      <c r="B1518" t="s">
        <v>1132</v>
      </c>
      <c r="C1518" t="s">
        <v>2214</v>
      </c>
      <c r="D1518">
        <v>4</v>
      </c>
      <c r="E1518">
        <v>18177</v>
      </c>
      <c r="F1518">
        <f>messy_order_items_csv[[#This Row],[unit_price]]*messy_order_items_csv[[#This Row],[quantity]]</f>
        <v>72708</v>
      </c>
    </row>
    <row r="1519" spans="1:6" x14ac:dyDescent="0.3">
      <c r="A1519">
        <v>1518</v>
      </c>
      <c r="B1519" t="s">
        <v>1588</v>
      </c>
      <c r="C1519" t="s">
        <v>2269</v>
      </c>
      <c r="D1519">
        <v>1</v>
      </c>
      <c r="E1519">
        <v>41597</v>
      </c>
      <c r="F1519">
        <f>messy_order_items_csv[[#This Row],[unit_price]]*messy_order_items_csv[[#This Row],[quantity]]</f>
        <v>41597</v>
      </c>
    </row>
    <row r="1520" spans="1:6" x14ac:dyDescent="0.3">
      <c r="A1520">
        <v>1519</v>
      </c>
      <c r="B1520" t="s">
        <v>1158</v>
      </c>
      <c r="C1520" t="s">
        <v>2207</v>
      </c>
      <c r="D1520">
        <v>0</v>
      </c>
      <c r="E1520">
        <v>31497</v>
      </c>
      <c r="F1520">
        <f>messy_order_items_csv[[#This Row],[unit_price]]*messy_order_items_csv[[#This Row],[quantity]]</f>
        <v>0</v>
      </c>
    </row>
    <row r="1521" spans="1:6" x14ac:dyDescent="0.3">
      <c r="A1521">
        <v>1520</v>
      </c>
      <c r="B1521" t="s">
        <v>2114</v>
      </c>
      <c r="C1521" t="s">
        <v>2206</v>
      </c>
      <c r="D1521">
        <v>3</v>
      </c>
      <c r="E1521">
        <v>56239</v>
      </c>
      <c r="F1521">
        <f>messy_order_items_csv[[#This Row],[unit_price]]*messy_order_items_csv[[#This Row],[quantity]]</f>
        <v>168717</v>
      </c>
    </row>
    <row r="1522" spans="1:6" x14ac:dyDescent="0.3">
      <c r="A1522">
        <v>1521</v>
      </c>
      <c r="B1522" t="s">
        <v>1736</v>
      </c>
      <c r="C1522" t="s">
        <v>2207</v>
      </c>
      <c r="D1522">
        <v>4</v>
      </c>
      <c r="E1522">
        <v>76123</v>
      </c>
      <c r="F1522">
        <f>messy_order_items_csv[[#This Row],[unit_price]]*messy_order_items_csv[[#This Row],[quantity]]</f>
        <v>304492</v>
      </c>
    </row>
    <row r="1523" spans="1:6" x14ac:dyDescent="0.3">
      <c r="A1523">
        <v>1522</v>
      </c>
      <c r="B1523" t="s">
        <v>1243</v>
      </c>
      <c r="C1523" t="s">
        <v>2226</v>
      </c>
      <c r="D1523">
        <v>2</v>
      </c>
      <c r="E1523">
        <v>42362</v>
      </c>
      <c r="F1523">
        <f>messy_order_items_csv[[#This Row],[unit_price]]*messy_order_items_csv[[#This Row],[quantity]]</f>
        <v>84724</v>
      </c>
    </row>
    <row r="1524" spans="1:6" x14ac:dyDescent="0.3">
      <c r="A1524">
        <v>1523</v>
      </c>
      <c r="B1524" t="s">
        <v>1801</v>
      </c>
      <c r="C1524" t="s">
        <v>2269</v>
      </c>
      <c r="D1524">
        <v>3</v>
      </c>
      <c r="E1524">
        <v>2885</v>
      </c>
      <c r="F1524">
        <f>messy_order_items_csv[[#This Row],[unit_price]]*messy_order_items_csv[[#This Row],[quantity]]</f>
        <v>8655</v>
      </c>
    </row>
    <row r="1525" spans="1:6" x14ac:dyDescent="0.3">
      <c r="A1525">
        <v>1524</v>
      </c>
      <c r="B1525" t="s">
        <v>1953</v>
      </c>
      <c r="C1525" t="s">
        <v>2240</v>
      </c>
      <c r="E1525">
        <v>31497</v>
      </c>
      <c r="F1525">
        <f>messy_order_items_csv[[#This Row],[unit_price]]*messy_order_items_csv[[#This Row],[quantity]]</f>
        <v>0</v>
      </c>
    </row>
    <row r="1526" spans="1:6" x14ac:dyDescent="0.3">
      <c r="A1526">
        <v>1525</v>
      </c>
      <c r="B1526" t="s">
        <v>1468</v>
      </c>
      <c r="C1526" t="s">
        <v>2251</v>
      </c>
      <c r="D1526">
        <v>1</v>
      </c>
      <c r="E1526">
        <v>31497</v>
      </c>
      <c r="F1526">
        <f>messy_order_items_csv[[#This Row],[unit_price]]*messy_order_items_csv[[#This Row],[quantity]]</f>
        <v>31497</v>
      </c>
    </row>
    <row r="1527" spans="1:6" x14ac:dyDescent="0.3">
      <c r="A1527">
        <v>1526</v>
      </c>
      <c r="B1527" t="s">
        <v>2057</v>
      </c>
      <c r="C1527" t="s">
        <v>2266</v>
      </c>
      <c r="D1527">
        <v>0</v>
      </c>
      <c r="E1527">
        <v>3393</v>
      </c>
      <c r="F1527">
        <f>messy_order_items_csv[[#This Row],[unit_price]]*messy_order_items_csv[[#This Row],[quantity]]</f>
        <v>0</v>
      </c>
    </row>
    <row r="1528" spans="1:6" x14ac:dyDescent="0.3">
      <c r="A1528">
        <v>1527</v>
      </c>
      <c r="B1528" t="s">
        <v>2012</v>
      </c>
      <c r="C1528" t="s">
        <v>2269</v>
      </c>
      <c r="E1528">
        <v>57209</v>
      </c>
      <c r="F1528">
        <f>messy_order_items_csv[[#This Row],[unit_price]]*messy_order_items_csv[[#This Row],[quantity]]</f>
        <v>0</v>
      </c>
    </row>
    <row r="1529" spans="1:6" x14ac:dyDescent="0.3">
      <c r="A1529">
        <v>1528</v>
      </c>
      <c r="B1529" t="s">
        <v>1623</v>
      </c>
      <c r="C1529" t="s">
        <v>2226</v>
      </c>
      <c r="D1529">
        <v>4</v>
      </c>
      <c r="E1529">
        <v>56143</v>
      </c>
      <c r="F1529">
        <f>messy_order_items_csv[[#This Row],[unit_price]]*messy_order_items_csv[[#This Row],[quantity]]</f>
        <v>224572</v>
      </c>
    </row>
    <row r="1530" spans="1:6" x14ac:dyDescent="0.3">
      <c r="A1530">
        <v>1529</v>
      </c>
      <c r="B1530" t="s">
        <v>1630</v>
      </c>
      <c r="C1530" t="s">
        <v>2272</v>
      </c>
      <c r="D1530">
        <v>4</v>
      </c>
      <c r="E1530">
        <v>43027</v>
      </c>
      <c r="F1530">
        <f>messy_order_items_csv[[#This Row],[unit_price]]*messy_order_items_csv[[#This Row],[quantity]]</f>
        <v>172108</v>
      </c>
    </row>
    <row r="1531" spans="1:6" x14ac:dyDescent="0.3">
      <c r="A1531">
        <v>1530</v>
      </c>
      <c r="B1531" t="s">
        <v>2178</v>
      </c>
      <c r="C1531" t="s">
        <v>2240</v>
      </c>
      <c r="D1531">
        <v>0</v>
      </c>
      <c r="E1531">
        <v>31497</v>
      </c>
      <c r="F1531">
        <f>messy_order_items_csv[[#This Row],[unit_price]]*messy_order_items_csv[[#This Row],[quantity]]</f>
        <v>0</v>
      </c>
    </row>
    <row r="1532" spans="1:6" x14ac:dyDescent="0.3">
      <c r="A1532">
        <v>1531</v>
      </c>
      <c r="B1532" t="s">
        <v>1818</v>
      </c>
      <c r="C1532" t="s">
        <v>2216</v>
      </c>
      <c r="E1532">
        <v>47827</v>
      </c>
      <c r="F1532">
        <f>messy_order_items_csv[[#This Row],[unit_price]]*messy_order_items_csv[[#This Row],[quantity]]</f>
        <v>0</v>
      </c>
    </row>
    <row r="1533" spans="1:6" x14ac:dyDescent="0.3">
      <c r="A1533">
        <v>1532</v>
      </c>
      <c r="B1533" t="s">
        <v>1004</v>
      </c>
      <c r="C1533" t="s">
        <v>2259</v>
      </c>
      <c r="D1533">
        <v>2</v>
      </c>
      <c r="E1533">
        <v>56095</v>
      </c>
      <c r="F1533">
        <f>messy_order_items_csv[[#This Row],[unit_price]]*messy_order_items_csv[[#This Row],[quantity]]</f>
        <v>112190</v>
      </c>
    </row>
    <row r="1534" spans="1:6" x14ac:dyDescent="0.3">
      <c r="A1534">
        <v>1533</v>
      </c>
      <c r="B1534" t="s">
        <v>1675</v>
      </c>
      <c r="C1534" t="s">
        <v>2266</v>
      </c>
      <c r="D1534">
        <v>0</v>
      </c>
      <c r="E1534">
        <v>3393</v>
      </c>
      <c r="F1534">
        <f>messy_order_items_csv[[#This Row],[unit_price]]*messy_order_items_csv[[#This Row],[quantity]]</f>
        <v>0</v>
      </c>
    </row>
    <row r="1535" spans="1:6" x14ac:dyDescent="0.3">
      <c r="A1535">
        <v>1534</v>
      </c>
      <c r="B1535" t="s">
        <v>1717</v>
      </c>
      <c r="C1535" t="s">
        <v>2266</v>
      </c>
      <c r="D1535">
        <v>0</v>
      </c>
      <c r="E1535">
        <v>3393</v>
      </c>
      <c r="F1535">
        <f>messy_order_items_csv[[#This Row],[unit_price]]*messy_order_items_csv[[#This Row],[quantity]]</f>
        <v>0</v>
      </c>
    </row>
    <row r="1536" spans="1:6" x14ac:dyDescent="0.3">
      <c r="A1536">
        <v>1535</v>
      </c>
      <c r="B1536" t="s">
        <v>1419</v>
      </c>
      <c r="C1536" t="s">
        <v>2195</v>
      </c>
      <c r="D1536">
        <v>0</v>
      </c>
      <c r="E1536">
        <v>37976</v>
      </c>
      <c r="F1536">
        <f>messy_order_items_csv[[#This Row],[unit_price]]*messy_order_items_csv[[#This Row],[quantity]]</f>
        <v>0</v>
      </c>
    </row>
    <row r="1537" spans="1:6" x14ac:dyDescent="0.3">
      <c r="A1537">
        <v>1536</v>
      </c>
      <c r="B1537" t="s">
        <v>2031</v>
      </c>
      <c r="C1537" t="s">
        <v>2227</v>
      </c>
      <c r="E1537">
        <v>31497</v>
      </c>
      <c r="F1537">
        <f>messy_order_items_csv[[#This Row],[unit_price]]*messy_order_items_csv[[#This Row],[quantity]]</f>
        <v>0</v>
      </c>
    </row>
    <row r="1538" spans="1:6" x14ac:dyDescent="0.3">
      <c r="A1538">
        <v>1537</v>
      </c>
      <c r="B1538" t="s">
        <v>1283</v>
      </c>
      <c r="C1538" t="s">
        <v>2236</v>
      </c>
      <c r="E1538">
        <v>6095</v>
      </c>
      <c r="F1538">
        <f>messy_order_items_csv[[#This Row],[unit_price]]*messy_order_items_csv[[#This Row],[quantity]]</f>
        <v>0</v>
      </c>
    </row>
    <row r="1539" spans="1:6" x14ac:dyDescent="0.3">
      <c r="A1539">
        <v>1538</v>
      </c>
      <c r="B1539" t="s">
        <v>1215</v>
      </c>
      <c r="C1539" t="s">
        <v>2208</v>
      </c>
      <c r="D1539">
        <v>3</v>
      </c>
      <c r="E1539">
        <v>31497</v>
      </c>
      <c r="F1539">
        <f>messy_order_items_csv[[#This Row],[unit_price]]*messy_order_items_csv[[#This Row],[quantity]]</f>
        <v>94491</v>
      </c>
    </row>
    <row r="1540" spans="1:6" x14ac:dyDescent="0.3">
      <c r="A1540">
        <v>1539</v>
      </c>
      <c r="B1540" t="s">
        <v>2174</v>
      </c>
      <c r="C1540" t="s">
        <v>2212</v>
      </c>
      <c r="D1540">
        <v>2</v>
      </c>
      <c r="E1540">
        <v>58364</v>
      </c>
      <c r="F1540">
        <f>messy_order_items_csv[[#This Row],[unit_price]]*messy_order_items_csv[[#This Row],[quantity]]</f>
        <v>116728</v>
      </c>
    </row>
    <row r="1541" spans="1:6" x14ac:dyDescent="0.3">
      <c r="A1541">
        <v>1540</v>
      </c>
      <c r="B1541" t="s">
        <v>1671</v>
      </c>
      <c r="C1541" t="s">
        <v>2200</v>
      </c>
      <c r="D1541">
        <v>2</v>
      </c>
      <c r="E1541">
        <v>84153</v>
      </c>
      <c r="F1541">
        <f>messy_order_items_csv[[#This Row],[unit_price]]*messy_order_items_csv[[#This Row],[quantity]]</f>
        <v>168306</v>
      </c>
    </row>
    <row r="1542" spans="1:6" x14ac:dyDescent="0.3">
      <c r="A1542">
        <v>1541</v>
      </c>
      <c r="B1542" t="s">
        <v>2085</v>
      </c>
      <c r="C1542" t="s">
        <v>2225</v>
      </c>
      <c r="D1542">
        <v>1</v>
      </c>
      <c r="E1542">
        <v>39657</v>
      </c>
      <c r="F1542">
        <f>messy_order_items_csv[[#This Row],[unit_price]]*messy_order_items_csv[[#This Row],[quantity]]</f>
        <v>39657</v>
      </c>
    </row>
    <row r="1543" spans="1:6" x14ac:dyDescent="0.3">
      <c r="A1543">
        <v>1542</v>
      </c>
      <c r="B1543" t="s">
        <v>1664</v>
      </c>
      <c r="C1543" t="s">
        <v>2242</v>
      </c>
      <c r="E1543">
        <v>31497</v>
      </c>
      <c r="F1543">
        <f>messy_order_items_csv[[#This Row],[unit_price]]*messy_order_items_csv[[#This Row],[quantity]]</f>
        <v>0</v>
      </c>
    </row>
    <row r="1544" spans="1:6" x14ac:dyDescent="0.3">
      <c r="A1544">
        <v>1543</v>
      </c>
      <c r="B1544" t="s">
        <v>1432</v>
      </c>
      <c r="C1544" t="s">
        <v>2264</v>
      </c>
      <c r="E1544">
        <v>31189</v>
      </c>
      <c r="F1544">
        <f>messy_order_items_csv[[#This Row],[unit_price]]*messy_order_items_csv[[#This Row],[quantity]]</f>
        <v>0</v>
      </c>
    </row>
    <row r="1545" spans="1:6" x14ac:dyDescent="0.3">
      <c r="A1545">
        <v>1544</v>
      </c>
      <c r="B1545" t="s">
        <v>1924</v>
      </c>
      <c r="C1545" t="s">
        <v>2273</v>
      </c>
      <c r="D1545">
        <v>0</v>
      </c>
      <c r="E1545">
        <v>31497</v>
      </c>
      <c r="F1545">
        <f>messy_order_items_csv[[#This Row],[unit_price]]*messy_order_items_csv[[#This Row],[quantity]]</f>
        <v>0</v>
      </c>
    </row>
    <row r="1546" spans="1:6" x14ac:dyDescent="0.3">
      <c r="A1546">
        <v>1545</v>
      </c>
      <c r="B1546" t="s">
        <v>1115</v>
      </c>
      <c r="C1546" t="s">
        <v>2239</v>
      </c>
      <c r="E1546">
        <v>68660</v>
      </c>
      <c r="F1546">
        <f>messy_order_items_csv[[#This Row],[unit_price]]*messy_order_items_csv[[#This Row],[quantity]]</f>
        <v>0</v>
      </c>
    </row>
    <row r="1547" spans="1:6" x14ac:dyDescent="0.3">
      <c r="A1547">
        <v>1546</v>
      </c>
      <c r="B1547" t="s">
        <v>1549</v>
      </c>
      <c r="C1547" t="s">
        <v>2212</v>
      </c>
      <c r="D1547">
        <v>0</v>
      </c>
      <c r="E1547">
        <v>58364</v>
      </c>
      <c r="F1547">
        <f>messy_order_items_csv[[#This Row],[unit_price]]*messy_order_items_csv[[#This Row],[quantity]]</f>
        <v>0</v>
      </c>
    </row>
    <row r="1548" spans="1:6" x14ac:dyDescent="0.3">
      <c r="A1548">
        <v>1547</v>
      </c>
      <c r="B1548" t="s">
        <v>1494</v>
      </c>
      <c r="C1548" t="s">
        <v>2217</v>
      </c>
      <c r="D1548">
        <v>0</v>
      </c>
      <c r="E1548">
        <v>28606</v>
      </c>
      <c r="F1548">
        <f>messy_order_items_csv[[#This Row],[unit_price]]*messy_order_items_csv[[#This Row],[quantity]]</f>
        <v>0</v>
      </c>
    </row>
    <row r="1549" spans="1:6" x14ac:dyDescent="0.3">
      <c r="A1549">
        <v>1548</v>
      </c>
      <c r="B1549" t="s">
        <v>1484</v>
      </c>
      <c r="C1549" t="s">
        <v>2220</v>
      </c>
      <c r="D1549">
        <v>0</v>
      </c>
      <c r="E1549">
        <v>5475</v>
      </c>
      <c r="F1549">
        <f>messy_order_items_csv[[#This Row],[unit_price]]*messy_order_items_csv[[#This Row],[quantity]]</f>
        <v>0</v>
      </c>
    </row>
    <row r="1550" spans="1:6" x14ac:dyDescent="0.3">
      <c r="A1550">
        <v>1549</v>
      </c>
      <c r="B1550" t="s">
        <v>1901</v>
      </c>
      <c r="C1550" t="s">
        <v>2270</v>
      </c>
      <c r="D1550">
        <v>4</v>
      </c>
      <c r="E1550">
        <v>31497</v>
      </c>
      <c r="F1550">
        <f>messy_order_items_csv[[#This Row],[unit_price]]*messy_order_items_csv[[#This Row],[quantity]]</f>
        <v>125988</v>
      </c>
    </row>
    <row r="1551" spans="1:6" x14ac:dyDescent="0.3">
      <c r="A1551">
        <v>1550</v>
      </c>
      <c r="B1551" t="s">
        <v>1485</v>
      </c>
      <c r="C1551" t="s">
        <v>2214</v>
      </c>
      <c r="D1551">
        <v>3</v>
      </c>
      <c r="E1551">
        <v>31497</v>
      </c>
      <c r="F1551">
        <f>messy_order_items_csv[[#This Row],[unit_price]]*messy_order_items_csv[[#This Row],[quantity]]</f>
        <v>94491</v>
      </c>
    </row>
    <row r="1552" spans="1:6" x14ac:dyDescent="0.3">
      <c r="A1552">
        <v>1551</v>
      </c>
      <c r="B1552" t="s">
        <v>1515</v>
      </c>
      <c r="C1552" t="s">
        <v>2213</v>
      </c>
      <c r="D1552">
        <v>2</v>
      </c>
      <c r="E1552">
        <v>24661</v>
      </c>
      <c r="F1552">
        <f>messy_order_items_csv[[#This Row],[unit_price]]*messy_order_items_csv[[#This Row],[quantity]]</f>
        <v>49322</v>
      </c>
    </row>
    <row r="1553" spans="1:6" x14ac:dyDescent="0.3">
      <c r="A1553">
        <v>1552</v>
      </c>
      <c r="B1553" t="s">
        <v>1480</v>
      </c>
      <c r="C1553" t="s">
        <v>2254</v>
      </c>
      <c r="D1553">
        <v>2</v>
      </c>
      <c r="E1553">
        <v>27615</v>
      </c>
      <c r="F1553">
        <f>messy_order_items_csv[[#This Row],[unit_price]]*messy_order_items_csv[[#This Row],[quantity]]</f>
        <v>55230</v>
      </c>
    </row>
    <row r="1554" spans="1:6" x14ac:dyDescent="0.3">
      <c r="A1554">
        <v>1553</v>
      </c>
      <c r="B1554" t="s">
        <v>1885</v>
      </c>
      <c r="C1554" t="s">
        <v>2271</v>
      </c>
      <c r="D1554">
        <v>0</v>
      </c>
      <c r="E1554">
        <v>3445</v>
      </c>
      <c r="F1554">
        <f>messy_order_items_csv[[#This Row],[unit_price]]*messy_order_items_csv[[#This Row],[quantity]]</f>
        <v>0</v>
      </c>
    </row>
    <row r="1555" spans="1:6" x14ac:dyDescent="0.3">
      <c r="A1555">
        <v>1554</v>
      </c>
      <c r="B1555" t="s">
        <v>2130</v>
      </c>
      <c r="C1555" t="s">
        <v>2249</v>
      </c>
      <c r="D1555">
        <v>2</v>
      </c>
      <c r="E1555">
        <v>54464</v>
      </c>
      <c r="F1555">
        <f>messy_order_items_csv[[#This Row],[unit_price]]*messy_order_items_csv[[#This Row],[quantity]]</f>
        <v>108928</v>
      </c>
    </row>
    <row r="1556" spans="1:6" x14ac:dyDescent="0.3">
      <c r="A1556">
        <v>1555</v>
      </c>
      <c r="B1556" t="s">
        <v>1693</v>
      </c>
      <c r="C1556" t="s">
        <v>2263</v>
      </c>
      <c r="D1556">
        <v>4</v>
      </c>
      <c r="E1556">
        <v>63714</v>
      </c>
      <c r="F1556">
        <f>messy_order_items_csv[[#This Row],[unit_price]]*messy_order_items_csv[[#This Row],[quantity]]</f>
        <v>254856</v>
      </c>
    </row>
    <row r="1557" spans="1:6" x14ac:dyDescent="0.3">
      <c r="A1557">
        <v>1556</v>
      </c>
      <c r="B1557" t="s">
        <v>1343</v>
      </c>
      <c r="C1557" t="s">
        <v>2234</v>
      </c>
      <c r="D1557">
        <v>2</v>
      </c>
      <c r="E1557">
        <v>31497</v>
      </c>
      <c r="F1557">
        <f>messy_order_items_csv[[#This Row],[unit_price]]*messy_order_items_csv[[#This Row],[quantity]]</f>
        <v>62994</v>
      </c>
    </row>
    <row r="1558" spans="1:6" x14ac:dyDescent="0.3">
      <c r="A1558">
        <v>1557</v>
      </c>
      <c r="B1558" t="s">
        <v>1125</v>
      </c>
      <c r="C1558" t="s">
        <v>2270</v>
      </c>
      <c r="D1558">
        <v>3</v>
      </c>
      <c r="E1558">
        <v>39688</v>
      </c>
      <c r="F1558">
        <f>messy_order_items_csv[[#This Row],[unit_price]]*messy_order_items_csv[[#This Row],[quantity]]</f>
        <v>119064</v>
      </c>
    </row>
    <row r="1559" spans="1:6" x14ac:dyDescent="0.3">
      <c r="A1559">
        <v>1558</v>
      </c>
      <c r="B1559" t="s">
        <v>1634</v>
      </c>
      <c r="C1559" t="s">
        <v>2229</v>
      </c>
      <c r="D1559">
        <v>4</v>
      </c>
      <c r="E1559">
        <v>47676</v>
      </c>
      <c r="F1559">
        <f>messy_order_items_csv[[#This Row],[unit_price]]*messy_order_items_csv[[#This Row],[quantity]]</f>
        <v>190704</v>
      </c>
    </row>
    <row r="1560" spans="1:6" x14ac:dyDescent="0.3">
      <c r="A1560">
        <v>1559</v>
      </c>
      <c r="B1560" t="s">
        <v>1261</v>
      </c>
      <c r="C1560" t="s">
        <v>2247</v>
      </c>
      <c r="D1560">
        <v>1</v>
      </c>
      <c r="E1560">
        <v>54965</v>
      </c>
      <c r="F1560">
        <f>messy_order_items_csv[[#This Row],[unit_price]]*messy_order_items_csv[[#This Row],[quantity]]</f>
        <v>54965</v>
      </c>
    </row>
    <row r="1561" spans="1:6" x14ac:dyDescent="0.3">
      <c r="A1561">
        <v>1560</v>
      </c>
      <c r="B1561" t="s">
        <v>994</v>
      </c>
      <c r="C1561" t="s">
        <v>2222</v>
      </c>
      <c r="D1561">
        <v>2</v>
      </c>
      <c r="E1561">
        <v>34450</v>
      </c>
      <c r="F1561">
        <f>messy_order_items_csv[[#This Row],[unit_price]]*messy_order_items_csv[[#This Row],[quantity]]</f>
        <v>68900</v>
      </c>
    </row>
    <row r="1562" spans="1:6" x14ac:dyDescent="0.3">
      <c r="A1562">
        <v>1561</v>
      </c>
      <c r="B1562" t="s">
        <v>1518</v>
      </c>
      <c r="C1562" t="s">
        <v>2244</v>
      </c>
      <c r="D1562">
        <v>2</v>
      </c>
      <c r="E1562">
        <v>53433</v>
      </c>
      <c r="F1562">
        <f>messy_order_items_csv[[#This Row],[unit_price]]*messy_order_items_csv[[#This Row],[quantity]]</f>
        <v>106866</v>
      </c>
    </row>
    <row r="1563" spans="1:6" x14ac:dyDescent="0.3">
      <c r="A1563">
        <v>1562</v>
      </c>
      <c r="B1563" t="s">
        <v>2146</v>
      </c>
      <c r="C1563" t="s">
        <v>2217</v>
      </c>
      <c r="D1563">
        <v>0</v>
      </c>
      <c r="E1563">
        <v>44051</v>
      </c>
      <c r="F1563">
        <f>messy_order_items_csv[[#This Row],[unit_price]]*messy_order_items_csv[[#This Row],[quantity]]</f>
        <v>0</v>
      </c>
    </row>
    <row r="1564" spans="1:6" x14ac:dyDescent="0.3">
      <c r="A1564">
        <v>1563</v>
      </c>
      <c r="B1564" t="s">
        <v>1832</v>
      </c>
      <c r="C1564" t="s">
        <v>2213</v>
      </c>
      <c r="E1564">
        <v>60021</v>
      </c>
      <c r="F1564">
        <f>messy_order_items_csv[[#This Row],[unit_price]]*messy_order_items_csv[[#This Row],[quantity]]</f>
        <v>0</v>
      </c>
    </row>
    <row r="1565" spans="1:6" x14ac:dyDescent="0.3">
      <c r="A1565">
        <v>1564</v>
      </c>
      <c r="B1565" t="s">
        <v>1969</v>
      </c>
      <c r="C1565" t="s">
        <v>2197</v>
      </c>
      <c r="D1565">
        <v>2</v>
      </c>
      <c r="E1565">
        <v>31497</v>
      </c>
      <c r="F1565">
        <f>messy_order_items_csv[[#This Row],[unit_price]]*messy_order_items_csv[[#This Row],[quantity]]</f>
        <v>62994</v>
      </c>
    </row>
    <row r="1566" spans="1:6" x14ac:dyDescent="0.3">
      <c r="A1566">
        <v>1565</v>
      </c>
      <c r="B1566" t="s">
        <v>1878</v>
      </c>
      <c r="C1566" t="s">
        <v>2252</v>
      </c>
      <c r="D1566">
        <v>0</v>
      </c>
      <c r="E1566">
        <v>23386</v>
      </c>
      <c r="F1566">
        <f>messy_order_items_csv[[#This Row],[unit_price]]*messy_order_items_csv[[#This Row],[quantity]]</f>
        <v>0</v>
      </c>
    </row>
    <row r="1567" spans="1:6" x14ac:dyDescent="0.3">
      <c r="A1567">
        <v>1566</v>
      </c>
      <c r="B1567" t="s">
        <v>1350</v>
      </c>
      <c r="C1567" t="s">
        <v>2242</v>
      </c>
      <c r="D1567">
        <v>1</v>
      </c>
      <c r="E1567">
        <v>31497</v>
      </c>
      <c r="F1567">
        <f>messy_order_items_csv[[#This Row],[unit_price]]*messy_order_items_csv[[#This Row],[quantity]]</f>
        <v>31497</v>
      </c>
    </row>
    <row r="1568" spans="1:6" x14ac:dyDescent="0.3">
      <c r="A1568">
        <v>1567</v>
      </c>
      <c r="B1568" t="s">
        <v>2079</v>
      </c>
      <c r="C1568" t="s">
        <v>2257</v>
      </c>
      <c r="D1568">
        <v>0</v>
      </c>
      <c r="E1568">
        <v>60933</v>
      </c>
      <c r="F1568">
        <f>messy_order_items_csv[[#This Row],[unit_price]]*messy_order_items_csv[[#This Row],[quantity]]</f>
        <v>0</v>
      </c>
    </row>
    <row r="1569" spans="1:6" x14ac:dyDescent="0.3">
      <c r="A1569">
        <v>1568</v>
      </c>
      <c r="B1569" t="s">
        <v>2075</v>
      </c>
      <c r="C1569" t="s">
        <v>2271</v>
      </c>
      <c r="E1569">
        <v>6621</v>
      </c>
      <c r="F1569">
        <f>messy_order_items_csv[[#This Row],[unit_price]]*messy_order_items_csv[[#This Row],[quantity]]</f>
        <v>0</v>
      </c>
    </row>
    <row r="1570" spans="1:6" x14ac:dyDescent="0.3">
      <c r="A1570">
        <v>1569</v>
      </c>
      <c r="B1570" t="s">
        <v>1708</v>
      </c>
      <c r="C1570" t="s">
        <v>2238</v>
      </c>
      <c r="D1570">
        <v>4</v>
      </c>
      <c r="E1570">
        <v>77306</v>
      </c>
      <c r="F1570">
        <f>messy_order_items_csv[[#This Row],[unit_price]]*messy_order_items_csv[[#This Row],[quantity]]</f>
        <v>309224</v>
      </c>
    </row>
    <row r="1571" spans="1:6" x14ac:dyDescent="0.3">
      <c r="A1571">
        <v>1570</v>
      </c>
      <c r="B1571" t="s">
        <v>1817</v>
      </c>
      <c r="C1571" t="s">
        <v>2222</v>
      </c>
      <c r="D1571">
        <v>4</v>
      </c>
      <c r="E1571">
        <v>34450</v>
      </c>
      <c r="F1571">
        <f>messy_order_items_csv[[#This Row],[unit_price]]*messy_order_items_csv[[#This Row],[quantity]]</f>
        <v>137800</v>
      </c>
    </row>
    <row r="1572" spans="1:6" x14ac:dyDescent="0.3">
      <c r="A1572">
        <v>1571</v>
      </c>
      <c r="B1572" t="s">
        <v>1031</v>
      </c>
      <c r="C1572" t="s">
        <v>2271</v>
      </c>
      <c r="D1572">
        <v>2</v>
      </c>
      <c r="E1572">
        <v>31497</v>
      </c>
      <c r="F1572">
        <f>messy_order_items_csv[[#This Row],[unit_price]]*messy_order_items_csv[[#This Row],[quantity]]</f>
        <v>62994</v>
      </c>
    </row>
    <row r="1573" spans="1:6" x14ac:dyDescent="0.3">
      <c r="A1573">
        <v>1572</v>
      </c>
      <c r="B1573" t="s">
        <v>1605</v>
      </c>
      <c r="C1573" t="s">
        <v>2236</v>
      </c>
      <c r="D1573">
        <v>2</v>
      </c>
      <c r="E1573">
        <v>74348</v>
      </c>
      <c r="F1573">
        <f>messy_order_items_csv[[#This Row],[unit_price]]*messy_order_items_csv[[#This Row],[quantity]]</f>
        <v>148696</v>
      </c>
    </row>
    <row r="1574" spans="1:6" x14ac:dyDescent="0.3">
      <c r="A1574">
        <v>1573</v>
      </c>
      <c r="B1574" t="s">
        <v>1989</v>
      </c>
      <c r="C1574" t="s">
        <v>2230</v>
      </c>
      <c r="D1574">
        <v>1</v>
      </c>
      <c r="E1574">
        <v>25381</v>
      </c>
      <c r="F1574">
        <f>messy_order_items_csv[[#This Row],[unit_price]]*messy_order_items_csv[[#This Row],[quantity]]</f>
        <v>25381</v>
      </c>
    </row>
    <row r="1575" spans="1:6" x14ac:dyDescent="0.3">
      <c r="A1575">
        <v>1574</v>
      </c>
      <c r="B1575" t="s">
        <v>1451</v>
      </c>
      <c r="C1575" t="s">
        <v>2222</v>
      </c>
      <c r="D1575">
        <v>0</v>
      </c>
      <c r="E1575">
        <v>58260</v>
      </c>
      <c r="F1575">
        <f>messy_order_items_csv[[#This Row],[unit_price]]*messy_order_items_csv[[#This Row],[quantity]]</f>
        <v>0</v>
      </c>
    </row>
    <row r="1576" spans="1:6" x14ac:dyDescent="0.3">
      <c r="A1576">
        <v>1575</v>
      </c>
      <c r="B1576" t="s">
        <v>1978</v>
      </c>
      <c r="C1576" t="s">
        <v>2258</v>
      </c>
      <c r="D1576">
        <v>2</v>
      </c>
      <c r="E1576">
        <v>51735</v>
      </c>
      <c r="F1576">
        <f>messy_order_items_csv[[#This Row],[unit_price]]*messy_order_items_csv[[#This Row],[quantity]]</f>
        <v>103470</v>
      </c>
    </row>
    <row r="1577" spans="1:6" x14ac:dyDescent="0.3">
      <c r="A1577">
        <v>1576</v>
      </c>
      <c r="B1577" t="s">
        <v>1634</v>
      </c>
      <c r="C1577" t="s">
        <v>2246</v>
      </c>
      <c r="D1577">
        <v>3</v>
      </c>
      <c r="E1577">
        <v>2571</v>
      </c>
      <c r="F1577">
        <f>messy_order_items_csv[[#This Row],[unit_price]]*messy_order_items_csv[[#This Row],[quantity]]</f>
        <v>7713</v>
      </c>
    </row>
    <row r="1578" spans="1:6" x14ac:dyDescent="0.3">
      <c r="A1578">
        <v>1577</v>
      </c>
      <c r="B1578" t="s">
        <v>1781</v>
      </c>
      <c r="C1578" t="s">
        <v>2264</v>
      </c>
      <c r="D1578">
        <v>2</v>
      </c>
      <c r="E1578">
        <v>41807</v>
      </c>
      <c r="F1578">
        <f>messy_order_items_csv[[#This Row],[unit_price]]*messy_order_items_csv[[#This Row],[quantity]]</f>
        <v>83614</v>
      </c>
    </row>
    <row r="1579" spans="1:6" x14ac:dyDescent="0.3">
      <c r="A1579">
        <v>1578</v>
      </c>
      <c r="B1579" t="s">
        <v>1133</v>
      </c>
      <c r="C1579" t="s">
        <v>2236</v>
      </c>
      <c r="E1579">
        <v>6095</v>
      </c>
      <c r="F1579">
        <f>messy_order_items_csv[[#This Row],[unit_price]]*messy_order_items_csv[[#This Row],[quantity]]</f>
        <v>0</v>
      </c>
    </row>
    <row r="1580" spans="1:6" x14ac:dyDescent="0.3">
      <c r="A1580">
        <v>1579</v>
      </c>
      <c r="B1580" t="s">
        <v>2013</v>
      </c>
      <c r="C1580" t="s">
        <v>2234</v>
      </c>
      <c r="D1580">
        <v>4</v>
      </c>
      <c r="E1580">
        <v>34950</v>
      </c>
      <c r="F1580">
        <f>messy_order_items_csv[[#This Row],[unit_price]]*messy_order_items_csv[[#This Row],[quantity]]</f>
        <v>139800</v>
      </c>
    </row>
    <row r="1581" spans="1:6" x14ac:dyDescent="0.3">
      <c r="A1581">
        <v>1580</v>
      </c>
      <c r="B1581" t="s">
        <v>1301</v>
      </c>
      <c r="C1581" t="s">
        <v>2200</v>
      </c>
      <c r="D1581">
        <v>1</v>
      </c>
      <c r="E1581">
        <v>62580</v>
      </c>
      <c r="F1581">
        <f>messy_order_items_csv[[#This Row],[unit_price]]*messy_order_items_csv[[#This Row],[quantity]]</f>
        <v>62580</v>
      </c>
    </row>
    <row r="1582" spans="1:6" x14ac:dyDescent="0.3">
      <c r="A1582">
        <v>1581</v>
      </c>
      <c r="B1582" t="s">
        <v>1084</v>
      </c>
      <c r="C1582" t="s">
        <v>2222</v>
      </c>
      <c r="D1582">
        <v>2</v>
      </c>
      <c r="E1582">
        <v>65125</v>
      </c>
      <c r="F1582">
        <f>messy_order_items_csv[[#This Row],[unit_price]]*messy_order_items_csv[[#This Row],[quantity]]</f>
        <v>130250</v>
      </c>
    </row>
    <row r="1583" spans="1:6" x14ac:dyDescent="0.3">
      <c r="A1583">
        <v>1582</v>
      </c>
      <c r="B1583" t="s">
        <v>2032</v>
      </c>
      <c r="C1583" t="s">
        <v>2242</v>
      </c>
      <c r="D1583">
        <v>1</v>
      </c>
      <c r="E1583">
        <v>11925</v>
      </c>
      <c r="F1583">
        <f>messy_order_items_csv[[#This Row],[unit_price]]*messy_order_items_csv[[#This Row],[quantity]]</f>
        <v>11925</v>
      </c>
    </row>
    <row r="1584" spans="1:6" x14ac:dyDescent="0.3">
      <c r="A1584">
        <v>1583</v>
      </c>
      <c r="B1584" t="s">
        <v>1503</v>
      </c>
      <c r="C1584" t="s">
        <v>2238</v>
      </c>
      <c r="D1584">
        <v>4</v>
      </c>
      <c r="E1584">
        <v>33402</v>
      </c>
      <c r="F1584">
        <f>messy_order_items_csv[[#This Row],[unit_price]]*messy_order_items_csv[[#This Row],[quantity]]</f>
        <v>133608</v>
      </c>
    </row>
    <row r="1585" spans="1:6" x14ac:dyDescent="0.3">
      <c r="A1585">
        <v>1584</v>
      </c>
      <c r="B1585" t="s">
        <v>1566</v>
      </c>
      <c r="C1585" t="s">
        <v>2196</v>
      </c>
      <c r="D1585">
        <v>3</v>
      </c>
      <c r="E1585">
        <v>31497</v>
      </c>
      <c r="F1585">
        <f>messy_order_items_csv[[#This Row],[unit_price]]*messy_order_items_csv[[#This Row],[quantity]]</f>
        <v>94491</v>
      </c>
    </row>
    <row r="1586" spans="1:6" x14ac:dyDescent="0.3">
      <c r="A1586">
        <v>1585</v>
      </c>
      <c r="B1586" t="s">
        <v>1610</v>
      </c>
      <c r="C1586" t="s">
        <v>2240</v>
      </c>
      <c r="E1586">
        <v>6238</v>
      </c>
      <c r="F1586">
        <f>messy_order_items_csv[[#This Row],[unit_price]]*messy_order_items_csv[[#This Row],[quantity]]</f>
        <v>0</v>
      </c>
    </row>
    <row r="1587" spans="1:6" x14ac:dyDescent="0.3">
      <c r="A1587">
        <v>1586</v>
      </c>
      <c r="B1587" t="s">
        <v>1270</v>
      </c>
      <c r="C1587" t="s">
        <v>2196</v>
      </c>
      <c r="E1587">
        <v>31497</v>
      </c>
      <c r="F1587">
        <f>messy_order_items_csv[[#This Row],[unit_price]]*messy_order_items_csv[[#This Row],[quantity]]</f>
        <v>0</v>
      </c>
    </row>
    <row r="1588" spans="1:6" x14ac:dyDescent="0.3">
      <c r="A1588">
        <v>1587</v>
      </c>
      <c r="B1588" t="s">
        <v>1169</v>
      </c>
      <c r="C1588" t="s">
        <v>2233</v>
      </c>
      <c r="D1588">
        <v>4</v>
      </c>
      <c r="E1588">
        <v>31497</v>
      </c>
      <c r="F1588">
        <f>messy_order_items_csv[[#This Row],[unit_price]]*messy_order_items_csv[[#This Row],[quantity]]</f>
        <v>125988</v>
      </c>
    </row>
    <row r="1589" spans="1:6" x14ac:dyDescent="0.3">
      <c r="A1589">
        <v>1588</v>
      </c>
      <c r="B1589" t="s">
        <v>1090</v>
      </c>
      <c r="C1589" t="s">
        <v>2201</v>
      </c>
      <c r="D1589">
        <v>4</v>
      </c>
      <c r="E1589">
        <v>78750</v>
      </c>
      <c r="F1589">
        <f>messy_order_items_csv[[#This Row],[unit_price]]*messy_order_items_csv[[#This Row],[quantity]]</f>
        <v>315000</v>
      </c>
    </row>
    <row r="1590" spans="1:6" x14ac:dyDescent="0.3">
      <c r="A1590">
        <v>1589</v>
      </c>
      <c r="B1590" t="s">
        <v>2112</v>
      </c>
      <c r="C1590" t="s">
        <v>2270</v>
      </c>
      <c r="E1590">
        <v>31497</v>
      </c>
      <c r="F1590">
        <f>messy_order_items_csv[[#This Row],[unit_price]]*messy_order_items_csv[[#This Row],[quantity]]</f>
        <v>0</v>
      </c>
    </row>
    <row r="1591" spans="1:6" x14ac:dyDescent="0.3">
      <c r="A1591">
        <v>1590</v>
      </c>
      <c r="B1591" t="s">
        <v>1062</v>
      </c>
      <c r="C1591" t="s">
        <v>2233</v>
      </c>
      <c r="E1591">
        <v>80099</v>
      </c>
      <c r="F1591">
        <f>messy_order_items_csv[[#This Row],[unit_price]]*messy_order_items_csv[[#This Row],[quantity]]</f>
        <v>0</v>
      </c>
    </row>
    <row r="1592" spans="1:6" x14ac:dyDescent="0.3">
      <c r="A1592">
        <v>1591</v>
      </c>
      <c r="B1592" t="s">
        <v>1820</v>
      </c>
      <c r="C1592" t="s">
        <v>2263</v>
      </c>
      <c r="E1592">
        <v>40941</v>
      </c>
      <c r="F1592">
        <f>messy_order_items_csv[[#This Row],[unit_price]]*messy_order_items_csv[[#This Row],[quantity]]</f>
        <v>0</v>
      </c>
    </row>
    <row r="1593" spans="1:6" x14ac:dyDescent="0.3">
      <c r="A1593">
        <v>1592</v>
      </c>
      <c r="B1593" t="s">
        <v>1340</v>
      </c>
      <c r="C1593" t="s">
        <v>2224</v>
      </c>
      <c r="E1593">
        <v>31497</v>
      </c>
      <c r="F1593">
        <f>messy_order_items_csv[[#This Row],[unit_price]]*messy_order_items_csv[[#This Row],[quantity]]</f>
        <v>0</v>
      </c>
    </row>
    <row r="1594" spans="1:6" x14ac:dyDescent="0.3">
      <c r="A1594">
        <v>1593</v>
      </c>
      <c r="B1594" t="s">
        <v>1258</v>
      </c>
      <c r="C1594" t="s">
        <v>2222</v>
      </c>
      <c r="E1594">
        <v>68910</v>
      </c>
      <c r="F1594">
        <f>messy_order_items_csv[[#This Row],[unit_price]]*messy_order_items_csv[[#This Row],[quantity]]</f>
        <v>0</v>
      </c>
    </row>
    <row r="1595" spans="1:6" x14ac:dyDescent="0.3">
      <c r="A1595">
        <v>1594</v>
      </c>
      <c r="B1595" t="s">
        <v>1605</v>
      </c>
      <c r="C1595" t="s">
        <v>2229</v>
      </c>
      <c r="D1595">
        <v>0</v>
      </c>
      <c r="E1595">
        <v>3449</v>
      </c>
      <c r="F1595">
        <f>messy_order_items_csv[[#This Row],[unit_price]]*messy_order_items_csv[[#This Row],[quantity]]</f>
        <v>0</v>
      </c>
    </row>
    <row r="1596" spans="1:6" x14ac:dyDescent="0.3">
      <c r="A1596">
        <v>1595</v>
      </c>
      <c r="B1596" t="s">
        <v>1395</v>
      </c>
      <c r="C1596" t="s">
        <v>2211</v>
      </c>
      <c r="E1596">
        <v>82478</v>
      </c>
      <c r="F1596">
        <f>messy_order_items_csv[[#This Row],[unit_price]]*messy_order_items_csv[[#This Row],[quantity]]</f>
        <v>0</v>
      </c>
    </row>
    <row r="1597" spans="1:6" x14ac:dyDescent="0.3">
      <c r="A1597">
        <v>1596</v>
      </c>
      <c r="B1597" t="s">
        <v>1166</v>
      </c>
      <c r="C1597" t="s">
        <v>2212</v>
      </c>
      <c r="D1597">
        <v>1</v>
      </c>
      <c r="E1597">
        <v>58364</v>
      </c>
      <c r="F1597">
        <f>messy_order_items_csv[[#This Row],[unit_price]]*messy_order_items_csv[[#This Row],[quantity]]</f>
        <v>58364</v>
      </c>
    </row>
    <row r="1598" spans="1:6" x14ac:dyDescent="0.3">
      <c r="A1598">
        <v>1597</v>
      </c>
      <c r="B1598" t="s">
        <v>1786</v>
      </c>
      <c r="C1598" t="s">
        <v>2196</v>
      </c>
      <c r="D1598">
        <v>2</v>
      </c>
      <c r="E1598">
        <v>75192</v>
      </c>
      <c r="F1598">
        <f>messy_order_items_csv[[#This Row],[unit_price]]*messy_order_items_csv[[#This Row],[quantity]]</f>
        <v>150384</v>
      </c>
    </row>
    <row r="1599" spans="1:6" x14ac:dyDescent="0.3">
      <c r="A1599">
        <v>1598</v>
      </c>
      <c r="B1599" t="s">
        <v>1711</v>
      </c>
      <c r="C1599" t="s">
        <v>2247</v>
      </c>
      <c r="D1599">
        <v>3</v>
      </c>
      <c r="E1599">
        <v>31497</v>
      </c>
      <c r="F1599">
        <f>messy_order_items_csv[[#This Row],[unit_price]]*messy_order_items_csv[[#This Row],[quantity]]</f>
        <v>94491</v>
      </c>
    </row>
    <row r="1600" spans="1:6" x14ac:dyDescent="0.3">
      <c r="A1600">
        <v>1599</v>
      </c>
      <c r="B1600" t="s">
        <v>1421</v>
      </c>
      <c r="C1600" t="s">
        <v>2219</v>
      </c>
      <c r="D1600">
        <v>1</v>
      </c>
      <c r="E1600">
        <v>31497</v>
      </c>
      <c r="F1600">
        <f>messy_order_items_csv[[#This Row],[unit_price]]*messy_order_items_csv[[#This Row],[quantity]]</f>
        <v>31497</v>
      </c>
    </row>
    <row r="1601" spans="1:6" x14ac:dyDescent="0.3">
      <c r="A1601">
        <v>1600</v>
      </c>
      <c r="B1601" t="s">
        <v>1627</v>
      </c>
      <c r="C1601" t="s">
        <v>2236</v>
      </c>
      <c r="E1601">
        <v>89672</v>
      </c>
      <c r="F1601">
        <f>messy_order_items_csv[[#This Row],[unit_price]]*messy_order_items_csv[[#This Row],[quantity]]</f>
        <v>0</v>
      </c>
    </row>
    <row r="1602" spans="1:6" x14ac:dyDescent="0.3">
      <c r="A1602">
        <v>1601</v>
      </c>
      <c r="B1602" t="s">
        <v>1833</v>
      </c>
      <c r="C1602" t="s">
        <v>2245</v>
      </c>
      <c r="D1602">
        <v>2</v>
      </c>
      <c r="E1602">
        <v>70378</v>
      </c>
      <c r="F1602">
        <f>messy_order_items_csv[[#This Row],[unit_price]]*messy_order_items_csv[[#This Row],[quantity]]</f>
        <v>140756</v>
      </c>
    </row>
    <row r="1603" spans="1:6" x14ac:dyDescent="0.3">
      <c r="A1603">
        <v>1602</v>
      </c>
      <c r="B1603" t="s">
        <v>1014</v>
      </c>
      <c r="C1603" t="s">
        <v>2198</v>
      </c>
      <c r="E1603">
        <v>47069</v>
      </c>
      <c r="F1603">
        <f>messy_order_items_csv[[#This Row],[unit_price]]*messy_order_items_csv[[#This Row],[quantity]]</f>
        <v>0</v>
      </c>
    </row>
    <row r="1604" spans="1:6" x14ac:dyDescent="0.3">
      <c r="A1604">
        <v>1603</v>
      </c>
      <c r="B1604" t="s">
        <v>1249</v>
      </c>
      <c r="C1604" t="s">
        <v>2206</v>
      </c>
      <c r="D1604">
        <v>4</v>
      </c>
      <c r="E1604">
        <v>47864</v>
      </c>
      <c r="F1604">
        <f>messy_order_items_csv[[#This Row],[unit_price]]*messy_order_items_csv[[#This Row],[quantity]]</f>
        <v>191456</v>
      </c>
    </row>
    <row r="1605" spans="1:6" x14ac:dyDescent="0.3">
      <c r="A1605">
        <v>1604</v>
      </c>
      <c r="B1605" t="s">
        <v>1399</v>
      </c>
      <c r="C1605" t="s">
        <v>2259</v>
      </c>
      <c r="D1605">
        <v>0</v>
      </c>
      <c r="E1605">
        <v>78121</v>
      </c>
      <c r="F1605">
        <f>messy_order_items_csv[[#This Row],[unit_price]]*messy_order_items_csv[[#This Row],[quantity]]</f>
        <v>0</v>
      </c>
    </row>
    <row r="1606" spans="1:6" x14ac:dyDescent="0.3">
      <c r="A1606">
        <v>1605</v>
      </c>
      <c r="B1606" t="s">
        <v>1217</v>
      </c>
      <c r="C1606" t="s">
        <v>2246</v>
      </c>
      <c r="D1606">
        <v>4</v>
      </c>
      <c r="E1606">
        <v>34495</v>
      </c>
      <c r="F1606">
        <f>messy_order_items_csv[[#This Row],[unit_price]]*messy_order_items_csv[[#This Row],[quantity]]</f>
        <v>137980</v>
      </c>
    </row>
    <row r="1607" spans="1:6" x14ac:dyDescent="0.3">
      <c r="A1607">
        <v>1606</v>
      </c>
      <c r="B1607" t="s">
        <v>1617</v>
      </c>
      <c r="C1607" t="s">
        <v>2253</v>
      </c>
      <c r="D1607">
        <v>1</v>
      </c>
      <c r="E1607">
        <v>26246</v>
      </c>
      <c r="F1607">
        <f>messy_order_items_csv[[#This Row],[unit_price]]*messy_order_items_csv[[#This Row],[quantity]]</f>
        <v>26246</v>
      </c>
    </row>
    <row r="1608" spans="1:6" x14ac:dyDescent="0.3">
      <c r="A1608">
        <v>1607</v>
      </c>
      <c r="B1608" t="s">
        <v>1707</v>
      </c>
      <c r="C1608" t="s">
        <v>2195</v>
      </c>
      <c r="D1608">
        <v>0</v>
      </c>
      <c r="E1608">
        <v>3008</v>
      </c>
      <c r="F1608">
        <f>messy_order_items_csv[[#This Row],[unit_price]]*messy_order_items_csv[[#This Row],[quantity]]</f>
        <v>0</v>
      </c>
    </row>
    <row r="1609" spans="1:6" x14ac:dyDescent="0.3">
      <c r="A1609">
        <v>1608</v>
      </c>
      <c r="B1609" t="s">
        <v>1015</v>
      </c>
      <c r="C1609" t="s">
        <v>2202</v>
      </c>
      <c r="D1609">
        <v>1</v>
      </c>
      <c r="E1609">
        <v>13145</v>
      </c>
      <c r="F1609">
        <f>messy_order_items_csv[[#This Row],[unit_price]]*messy_order_items_csv[[#This Row],[quantity]]</f>
        <v>13145</v>
      </c>
    </row>
    <row r="1610" spans="1:6" x14ac:dyDescent="0.3">
      <c r="A1610">
        <v>1609</v>
      </c>
      <c r="B1610" t="s">
        <v>1183</v>
      </c>
      <c r="C1610" t="s">
        <v>2218</v>
      </c>
      <c r="D1610">
        <v>1</v>
      </c>
      <c r="E1610">
        <v>65274</v>
      </c>
      <c r="F1610">
        <f>messy_order_items_csv[[#This Row],[unit_price]]*messy_order_items_csv[[#This Row],[quantity]]</f>
        <v>65274</v>
      </c>
    </row>
    <row r="1611" spans="1:6" x14ac:dyDescent="0.3">
      <c r="A1611">
        <v>1610</v>
      </c>
      <c r="B1611" t="s">
        <v>1449</v>
      </c>
      <c r="C1611" t="s">
        <v>2203</v>
      </c>
      <c r="D1611">
        <v>1</v>
      </c>
      <c r="E1611">
        <v>45033</v>
      </c>
      <c r="F1611">
        <f>messy_order_items_csv[[#This Row],[unit_price]]*messy_order_items_csv[[#This Row],[quantity]]</f>
        <v>45033</v>
      </c>
    </row>
    <row r="1612" spans="1:6" x14ac:dyDescent="0.3">
      <c r="A1612">
        <v>1611</v>
      </c>
      <c r="B1612" t="s">
        <v>1328</v>
      </c>
      <c r="C1612" t="s">
        <v>2212</v>
      </c>
      <c r="D1612">
        <v>1</v>
      </c>
      <c r="E1612">
        <v>30235</v>
      </c>
      <c r="F1612">
        <f>messy_order_items_csv[[#This Row],[unit_price]]*messy_order_items_csv[[#This Row],[quantity]]</f>
        <v>30235</v>
      </c>
    </row>
    <row r="1613" spans="1:6" x14ac:dyDescent="0.3">
      <c r="A1613">
        <v>1612</v>
      </c>
      <c r="B1613" t="s">
        <v>1004</v>
      </c>
      <c r="C1613" t="s">
        <v>2267</v>
      </c>
      <c r="D1613">
        <v>1</v>
      </c>
      <c r="E1613">
        <v>41497</v>
      </c>
      <c r="F1613">
        <f>messy_order_items_csv[[#This Row],[unit_price]]*messy_order_items_csv[[#This Row],[quantity]]</f>
        <v>41497</v>
      </c>
    </row>
    <row r="1614" spans="1:6" x14ac:dyDescent="0.3">
      <c r="A1614">
        <v>1613</v>
      </c>
      <c r="B1614" t="s">
        <v>1121</v>
      </c>
      <c r="C1614" t="s">
        <v>2241</v>
      </c>
      <c r="D1614">
        <v>1</v>
      </c>
      <c r="E1614">
        <v>8460</v>
      </c>
      <c r="F1614">
        <f>messy_order_items_csv[[#This Row],[unit_price]]*messy_order_items_csv[[#This Row],[quantity]]</f>
        <v>8460</v>
      </c>
    </row>
    <row r="1615" spans="1:6" x14ac:dyDescent="0.3">
      <c r="A1615">
        <v>1614</v>
      </c>
      <c r="B1615" t="s">
        <v>1596</v>
      </c>
      <c r="C1615" t="s">
        <v>2272</v>
      </c>
      <c r="D1615">
        <v>3</v>
      </c>
      <c r="E1615">
        <v>43027</v>
      </c>
      <c r="F1615">
        <f>messy_order_items_csv[[#This Row],[unit_price]]*messy_order_items_csv[[#This Row],[quantity]]</f>
        <v>129081</v>
      </c>
    </row>
    <row r="1616" spans="1:6" x14ac:dyDescent="0.3">
      <c r="A1616">
        <v>1615</v>
      </c>
      <c r="B1616" t="s">
        <v>1806</v>
      </c>
      <c r="C1616" t="s">
        <v>2206</v>
      </c>
      <c r="D1616">
        <v>1</v>
      </c>
      <c r="E1616">
        <v>15249</v>
      </c>
      <c r="F1616">
        <f>messy_order_items_csv[[#This Row],[unit_price]]*messy_order_items_csv[[#This Row],[quantity]]</f>
        <v>15249</v>
      </c>
    </row>
    <row r="1617" spans="1:6" x14ac:dyDescent="0.3">
      <c r="A1617">
        <v>1616</v>
      </c>
      <c r="B1617" t="s">
        <v>1187</v>
      </c>
      <c r="C1617" t="s">
        <v>2249</v>
      </c>
      <c r="D1617">
        <v>2</v>
      </c>
      <c r="E1617">
        <v>52318</v>
      </c>
      <c r="F1617">
        <f>messy_order_items_csv[[#This Row],[unit_price]]*messy_order_items_csv[[#This Row],[quantity]]</f>
        <v>104636</v>
      </c>
    </row>
    <row r="1618" spans="1:6" x14ac:dyDescent="0.3">
      <c r="A1618">
        <v>1617</v>
      </c>
      <c r="B1618" t="s">
        <v>1996</v>
      </c>
      <c r="C1618" t="s">
        <v>2256</v>
      </c>
      <c r="D1618">
        <v>3</v>
      </c>
      <c r="E1618">
        <v>57819</v>
      </c>
      <c r="F1618">
        <f>messy_order_items_csv[[#This Row],[unit_price]]*messy_order_items_csv[[#This Row],[quantity]]</f>
        <v>173457</v>
      </c>
    </row>
    <row r="1619" spans="1:6" x14ac:dyDescent="0.3">
      <c r="A1619">
        <v>1618</v>
      </c>
      <c r="B1619" t="s">
        <v>1262</v>
      </c>
      <c r="C1619" t="s">
        <v>2269</v>
      </c>
      <c r="D1619">
        <v>3</v>
      </c>
      <c r="E1619">
        <v>22941</v>
      </c>
      <c r="F1619">
        <f>messy_order_items_csv[[#This Row],[unit_price]]*messy_order_items_csv[[#This Row],[quantity]]</f>
        <v>68823</v>
      </c>
    </row>
    <row r="1620" spans="1:6" x14ac:dyDescent="0.3">
      <c r="A1620">
        <v>1619</v>
      </c>
      <c r="B1620" t="s">
        <v>1813</v>
      </c>
      <c r="C1620" t="s">
        <v>2199</v>
      </c>
      <c r="E1620">
        <v>37288</v>
      </c>
      <c r="F1620">
        <f>messy_order_items_csv[[#This Row],[unit_price]]*messy_order_items_csv[[#This Row],[quantity]]</f>
        <v>0</v>
      </c>
    </row>
    <row r="1621" spans="1:6" x14ac:dyDescent="0.3">
      <c r="A1621">
        <v>1620</v>
      </c>
      <c r="B1621" t="s">
        <v>1918</v>
      </c>
      <c r="C1621" t="s">
        <v>2200</v>
      </c>
      <c r="D1621">
        <v>1</v>
      </c>
      <c r="E1621">
        <v>75748</v>
      </c>
      <c r="F1621">
        <f>messy_order_items_csv[[#This Row],[unit_price]]*messy_order_items_csv[[#This Row],[quantity]]</f>
        <v>75748</v>
      </c>
    </row>
    <row r="1622" spans="1:6" x14ac:dyDescent="0.3">
      <c r="A1622">
        <v>1621</v>
      </c>
      <c r="B1622" t="s">
        <v>1507</v>
      </c>
      <c r="C1622" t="s">
        <v>2253</v>
      </c>
      <c r="D1622">
        <v>3</v>
      </c>
      <c r="E1622">
        <v>69520</v>
      </c>
      <c r="F1622">
        <f>messy_order_items_csv[[#This Row],[unit_price]]*messy_order_items_csv[[#This Row],[quantity]]</f>
        <v>208560</v>
      </c>
    </row>
    <row r="1623" spans="1:6" x14ac:dyDescent="0.3">
      <c r="A1623">
        <v>1622</v>
      </c>
      <c r="B1623" t="s">
        <v>1718</v>
      </c>
      <c r="C1623" t="s">
        <v>2227</v>
      </c>
      <c r="D1623">
        <v>4</v>
      </c>
      <c r="E1623">
        <v>31497</v>
      </c>
      <c r="F1623">
        <f>messy_order_items_csv[[#This Row],[unit_price]]*messy_order_items_csv[[#This Row],[quantity]]</f>
        <v>125988</v>
      </c>
    </row>
    <row r="1624" spans="1:6" x14ac:dyDescent="0.3">
      <c r="A1624">
        <v>1623</v>
      </c>
      <c r="B1624" t="s">
        <v>1096</v>
      </c>
      <c r="C1624" t="s">
        <v>2199</v>
      </c>
      <c r="E1624">
        <v>58708</v>
      </c>
      <c r="F1624">
        <f>messy_order_items_csv[[#This Row],[unit_price]]*messy_order_items_csv[[#This Row],[quantity]]</f>
        <v>0</v>
      </c>
    </row>
    <row r="1625" spans="1:6" x14ac:dyDescent="0.3">
      <c r="A1625">
        <v>1624</v>
      </c>
      <c r="B1625" t="s">
        <v>1452</v>
      </c>
      <c r="C1625" t="s">
        <v>2225</v>
      </c>
      <c r="D1625">
        <v>3</v>
      </c>
      <c r="E1625">
        <v>89941</v>
      </c>
      <c r="F1625">
        <f>messy_order_items_csv[[#This Row],[unit_price]]*messy_order_items_csv[[#This Row],[quantity]]</f>
        <v>269823</v>
      </c>
    </row>
    <row r="1626" spans="1:6" x14ac:dyDescent="0.3">
      <c r="A1626">
        <v>1625</v>
      </c>
      <c r="B1626" t="s">
        <v>1282</v>
      </c>
      <c r="C1626" t="s">
        <v>2246</v>
      </c>
      <c r="D1626">
        <v>0</v>
      </c>
      <c r="E1626">
        <v>15033</v>
      </c>
      <c r="F1626">
        <f>messy_order_items_csv[[#This Row],[unit_price]]*messy_order_items_csv[[#This Row],[quantity]]</f>
        <v>0</v>
      </c>
    </row>
    <row r="1627" spans="1:6" x14ac:dyDescent="0.3">
      <c r="A1627">
        <v>1626</v>
      </c>
      <c r="B1627" t="s">
        <v>1917</v>
      </c>
      <c r="C1627" t="s">
        <v>2252</v>
      </c>
      <c r="D1627">
        <v>1</v>
      </c>
      <c r="E1627">
        <v>31497</v>
      </c>
      <c r="F1627">
        <f>messy_order_items_csv[[#This Row],[unit_price]]*messy_order_items_csv[[#This Row],[quantity]]</f>
        <v>31497</v>
      </c>
    </row>
    <row r="1628" spans="1:6" x14ac:dyDescent="0.3">
      <c r="A1628">
        <v>1627</v>
      </c>
      <c r="B1628" t="s">
        <v>1446</v>
      </c>
      <c r="C1628" t="s">
        <v>2256</v>
      </c>
      <c r="D1628">
        <v>4</v>
      </c>
      <c r="E1628">
        <v>31497</v>
      </c>
      <c r="F1628">
        <f>messy_order_items_csv[[#This Row],[unit_price]]*messy_order_items_csv[[#This Row],[quantity]]</f>
        <v>125988</v>
      </c>
    </row>
    <row r="1629" spans="1:6" x14ac:dyDescent="0.3">
      <c r="A1629">
        <v>1628</v>
      </c>
      <c r="B1629" t="s">
        <v>2149</v>
      </c>
      <c r="C1629" t="s">
        <v>2229</v>
      </c>
      <c r="E1629">
        <v>47676</v>
      </c>
      <c r="F1629">
        <f>messy_order_items_csv[[#This Row],[unit_price]]*messy_order_items_csv[[#This Row],[quantity]]</f>
        <v>0</v>
      </c>
    </row>
    <row r="1630" spans="1:6" x14ac:dyDescent="0.3">
      <c r="A1630">
        <v>1629</v>
      </c>
      <c r="B1630" t="s">
        <v>1940</v>
      </c>
      <c r="C1630" t="s">
        <v>2249</v>
      </c>
      <c r="E1630">
        <v>31497</v>
      </c>
      <c r="F1630">
        <f>messy_order_items_csv[[#This Row],[unit_price]]*messy_order_items_csv[[#This Row],[quantity]]</f>
        <v>0</v>
      </c>
    </row>
    <row r="1631" spans="1:6" x14ac:dyDescent="0.3">
      <c r="A1631">
        <v>1630</v>
      </c>
      <c r="B1631" t="s">
        <v>1231</v>
      </c>
      <c r="C1631" t="s">
        <v>2207</v>
      </c>
      <c r="D1631">
        <v>4</v>
      </c>
      <c r="E1631">
        <v>31497</v>
      </c>
      <c r="F1631">
        <f>messy_order_items_csv[[#This Row],[unit_price]]*messy_order_items_csv[[#This Row],[quantity]]</f>
        <v>125988</v>
      </c>
    </row>
    <row r="1632" spans="1:6" x14ac:dyDescent="0.3">
      <c r="A1632">
        <v>1631</v>
      </c>
      <c r="B1632" t="s">
        <v>1921</v>
      </c>
      <c r="C1632" t="s">
        <v>2267</v>
      </c>
      <c r="D1632">
        <v>3</v>
      </c>
      <c r="E1632">
        <v>31497</v>
      </c>
      <c r="F1632">
        <f>messy_order_items_csv[[#This Row],[unit_price]]*messy_order_items_csv[[#This Row],[quantity]]</f>
        <v>94491</v>
      </c>
    </row>
    <row r="1633" spans="1:6" x14ac:dyDescent="0.3">
      <c r="A1633">
        <v>1632</v>
      </c>
      <c r="B1633" t="s">
        <v>1985</v>
      </c>
      <c r="C1633" t="s">
        <v>2201</v>
      </c>
      <c r="D1633">
        <v>4</v>
      </c>
      <c r="E1633">
        <v>29335</v>
      </c>
      <c r="F1633">
        <f>messy_order_items_csv[[#This Row],[unit_price]]*messy_order_items_csv[[#This Row],[quantity]]</f>
        <v>117340</v>
      </c>
    </row>
    <row r="1634" spans="1:6" x14ac:dyDescent="0.3">
      <c r="A1634">
        <v>1633</v>
      </c>
      <c r="B1634" t="s">
        <v>1475</v>
      </c>
      <c r="C1634" t="s">
        <v>2242</v>
      </c>
      <c r="D1634">
        <v>2</v>
      </c>
      <c r="E1634">
        <v>6466</v>
      </c>
      <c r="F1634">
        <f>messy_order_items_csv[[#This Row],[unit_price]]*messy_order_items_csv[[#This Row],[quantity]]</f>
        <v>12932</v>
      </c>
    </row>
    <row r="1635" spans="1:6" x14ac:dyDescent="0.3">
      <c r="A1635">
        <v>1634</v>
      </c>
      <c r="B1635" t="s">
        <v>2107</v>
      </c>
      <c r="C1635" t="s">
        <v>2229</v>
      </c>
      <c r="D1635">
        <v>1</v>
      </c>
      <c r="E1635">
        <v>47676</v>
      </c>
      <c r="F1635">
        <f>messy_order_items_csv[[#This Row],[unit_price]]*messy_order_items_csv[[#This Row],[quantity]]</f>
        <v>47676</v>
      </c>
    </row>
    <row r="1636" spans="1:6" x14ac:dyDescent="0.3">
      <c r="A1636">
        <v>1635</v>
      </c>
      <c r="B1636" t="s">
        <v>1289</v>
      </c>
      <c r="C1636" t="s">
        <v>2219</v>
      </c>
      <c r="D1636">
        <v>1</v>
      </c>
      <c r="E1636">
        <v>31497</v>
      </c>
      <c r="F1636">
        <f>messy_order_items_csv[[#This Row],[unit_price]]*messy_order_items_csv[[#This Row],[quantity]]</f>
        <v>31497</v>
      </c>
    </row>
    <row r="1637" spans="1:6" x14ac:dyDescent="0.3">
      <c r="A1637">
        <v>1636</v>
      </c>
      <c r="B1637" t="s">
        <v>1370</v>
      </c>
      <c r="C1637" t="s">
        <v>2257</v>
      </c>
      <c r="D1637">
        <v>4</v>
      </c>
      <c r="E1637">
        <v>31497</v>
      </c>
      <c r="F1637">
        <f>messy_order_items_csv[[#This Row],[unit_price]]*messy_order_items_csv[[#This Row],[quantity]]</f>
        <v>125988</v>
      </c>
    </row>
    <row r="1638" spans="1:6" x14ac:dyDescent="0.3">
      <c r="A1638">
        <v>1637</v>
      </c>
      <c r="B1638" t="s">
        <v>1659</v>
      </c>
      <c r="C1638" t="s">
        <v>2235</v>
      </c>
      <c r="D1638">
        <v>3</v>
      </c>
      <c r="E1638">
        <v>1512</v>
      </c>
      <c r="F1638">
        <f>messy_order_items_csv[[#This Row],[unit_price]]*messy_order_items_csv[[#This Row],[quantity]]</f>
        <v>4536</v>
      </c>
    </row>
    <row r="1639" spans="1:6" x14ac:dyDescent="0.3">
      <c r="A1639">
        <v>1638</v>
      </c>
      <c r="B1639" t="s">
        <v>1695</v>
      </c>
      <c r="C1639" t="s">
        <v>2195</v>
      </c>
      <c r="D1639">
        <v>1</v>
      </c>
      <c r="E1639">
        <v>47453</v>
      </c>
      <c r="F1639">
        <f>messy_order_items_csv[[#This Row],[unit_price]]*messy_order_items_csv[[#This Row],[quantity]]</f>
        <v>47453</v>
      </c>
    </row>
    <row r="1640" spans="1:6" x14ac:dyDescent="0.3">
      <c r="A1640">
        <v>1639</v>
      </c>
      <c r="B1640" t="s">
        <v>1853</v>
      </c>
      <c r="C1640" t="s">
        <v>2227</v>
      </c>
      <c r="D1640">
        <v>3</v>
      </c>
      <c r="E1640">
        <v>43889</v>
      </c>
      <c r="F1640">
        <f>messy_order_items_csv[[#This Row],[unit_price]]*messy_order_items_csv[[#This Row],[quantity]]</f>
        <v>131667</v>
      </c>
    </row>
    <row r="1641" spans="1:6" x14ac:dyDescent="0.3">
      <c r="A1641">
        <v>1640</v>
      </c>
      <c r="B1641" t="s">
        <v>2041</v>
      </c>
      <c r="C1641" t="s">
        <v>2261</v>
      </c>
      <c r="E1641">
        <v>55473</v>
      </c>
      <c r="F1641">
        <f>messy_order_items_csv[[#This Row],[unit_price]]*messy_order_items_csv[[#This Row],[quantity]]</f>
        <v>0</v>
      </c>
    </row>
    <row r="1642" spans="1:6" x14ac:dyDescent="0.3">
      <c r="A1642">
        <v>1641</v>
      </c>
      <c r="B1642" t="s">
        <v>1228</v>
      </c>
      <c r="C1642" t="s">
        <v>2230</v>
      </c>
      <c r="D1642">
        <v>3</v>
      </c>
      <c r="E1642">
        <v>48128</v>
      </c>
      <c r="F1642">
        <f>messy_order_items_csv[[#This Row],[unit_price]]*messy_order_items_csv[[#This Row],[quantity]]</f>
        <v>144384</v>
      </c>
    </row>
    <row r="1643" spans="1:6" x14ac:dyDescent="0.3">
      <c r="A1643">
        <v>1642</v>
      </c>
      <c r="B1643" t="s">
        <v>1602</v>
      </c>
      <c r="C1643" t="s">
        <v>2225</v>
      </c>
      <c r="D1643">
        <v>2</v>
      </c>
      <c r="E1643">
        <v>31497</v>
      </c>
      <c r="F1643">
        <f>messy_order_items_csv[[#This Row],[unit_price]]*messy_order_items_csv[[#This Row],[quantity]]</f>
        <v>62994</v>
      </c>
    </row>
    <row r="1644" spans="1:6" x14ac:dyDescent="0.3">
      <c r="A1644">
        <v>1643</v>
      </c>
      <c r="B1644" t="s">
        <v>1719</v>
      </c>
      <c r="C1644" t="s">
        <v>2264</v>
      </c>
      <c r="D1644">
        <v>3</v>
      </c>
      <c r="E1644">
        <v>31497</v>
      </c>
      <c r="F1644">
        <f>messy_order_items_csv[[#This Row],[unit_price]]*messy_order_items_csv[[#This Row],[quantity]]</f>
        <v>94491</v>
      </c>
    </row>
    <row r="1645" spans="1:6" x14ac:dyDescent="0.3">
      <c r="A1645">
        <v>1644</v>
      </c>
      <c r="B1645" t="s">
        <v>1739</v>
      </c>
      <c r="C1645" t="s">
        <v>2214</v>
      </c>
      <c r="D1645">
        <v>1</v>
      </c>
      <c r="E1645">
        <v>31497</v>
      </c>
      <c r="F1645">
        <f>messy_order_items_csv[[#This Row],[unit_price]]*messy_order_items_csv[[#This Row],[quantity]]</f>
        <v>31497</v>
      </c>
    </row>
    <row r="1646" spans="1:6" x14ac:dyDescent="0.3">
      <c r="A1646">
        <v>1645</v>
      </c>
      <c r="B1646" t="s">
        <v>2104</v>
      </c>
      <c r="C1646" t="s">
        <v>2204</v>
      </c>
      <c r="D1646">
        <v>3</v>
      </c>
      <c r="E1646">
        <v>37979</v>
      </c>
      <c r="F1646">
        <f>messy_order_items_csv[[#This Row],[unit_price]]*messy_order_items_csv[[#This Row],[quantity]]</f>
        <v>113937</v>
      </c>
    </row>
    <row r="1647" spans="1:6" x14ac:dyDescent="0.3">
      <c r="A1647">
        <v>1646</v>
      </c>
      <c r="B1647" t="s">
        <v>1218</v>
      </c>
      <c r="C1647" t="s">
        <v>2253</v>
      </c>
      <c r="D1647">
        <v>1</v>
      </c>
      <c r="E1647">
        <v>49745</v>
      </c>
      <c r="F1647">
        <f>messy_order_items_csv[[#This Row],[unit_price]]*messy_order_items_csv[[#This Row],[quantity]]</f>
        <v>49745</v>
      </c>
    </row>
    <row r="1648" spans="1:6" x14ac:dyDescent="0.3">
      <c r="A1648">
        <v>1647</v>
      </c>
      <c r="B1648" t="s">
        <v>1862</v>
      </c>
      <c r="C1648" t="s">
        <v>2255</v>
      </c>
      <c r="E1648">
        <v>72978</v>
      </c>
      <c r="F1648">
        <f>messy_order_items_csv[[#This Row],[unit_price]]*messy_order_items_csv[[#This Row],[quantity]]</f>
        <v>0</v>
      </c>
    </row>
    <row r="1649" spans="1:6" x14ac:dyDescent="0.3">
      <c r="A1649">
        <v>1648</v>
      </c>
      <c r="B1649" t="s">
        <v>1817</v>
      </c>
      <c r="C1649" t="s">
        <v>2239</v>
      </c>
      <c r="E1649">
        <v>64082</v>
      </c>
      <c r="F1649">
        <f>messy_order_items_csv[[#This Row],[unit_price]]*messy_order_items_csv[[#This Row],[quantity]]</f>
        <v>0</v>
      </c>
    </row>
    <row r="1650" spans="1:6" x14ac:dyDescent="0.3">
      <c r="A1650">
        <v>1649</v>
      </c>
      <c r="B1650" t="s">
        <v>1685</v>
      </c>
      <c r="C1650" t="s">
        <v>2258</v>
      </c>
      <c r="D1650">
        <v>2</v>
      </c>
      <c r="E1650">
        <v>51735</v>
      </c>
      <c r="F1650">
        <f>messy_order_items_csv[[#This Row],[unit_price]]*messy_order_items_csv[[#This Row],[quantity]]</f>
        <v>103470</v>
      </c>
    </row>
    <row r="1651" spans="1:6" x14ac:dyDescent="0.3">
      <c r="A1651">
        <v>1650</v>
      </c>
      <c r="B1651" t="s">
        <v>1705</v>
      </c>
      <c r="C1651" t="s">
        <v>2241</v>
      </c>
      <c r="D1651">
        <v>1</v>
      </c>
      <c r="E1651">
        <v>27157</v>
      </c>
      <c r="F1651">
        <f>messy_order_items_csv[[#This Row],[unit_price]]*messy_order_items_csv[[#This Row],[quantity]]</f>
        <v>27157</v>
      </c>
    </row>
    <row r="1652" spans="1:6" x14ac:dyDescent="0.3">
      <c r="A1652">
        <v>1651</v>
      </c>
      <c r="B1652" t="s">
        <v>1555</v>
      </c>
      <c r="C1652" t="s">
        <v>2205</v>
      </c>
      <c r="E1652">
        <v>31497</v>
      </c>
      <c r="F1652">
        <f>messy_order_items_csv[[#This Row],[unit_price]]*messy_order_items_csv[[#This Row],[quantity]]</f>
        <v>0</v>
      </c>
    </row>
    <row r="1653" spans="1:6" x14ac:dyDescent="0.3">
      <c r="A1653">
        <v>1652</v>
      </c>
      <c r="B1653" t="s">
        <v>2147</v>
      </c>
      <c r="C1653" t="s">
        <v>2256</v>
      </c>
      <c r="D1653">
        <v>1</v>
      </c>
      <c r="E1653">
        <v>32639</v>
      </c>
      <c r="F1653">
        <f>messy_order_items_csv[[#This Row],[unit_price]]*messy_order_items_csv[[#This Row],[quantity]]</f>
        <v>32639</v>
      </c>
    </row>
    <row r="1654" spans="1:6" x14ac:dyDescent="0.3">
      <c r="A1654">
        <v>1653</v>
      </c>
      <c r="B1654" t="s">
        <v>1778</v>
      </c>
      <c r="C1654" t="s">
        <v>2232</v>
      </c>
      <c r="E1654">
        <v>3939</v>
      </c>
      <c r="F1654">
        <f>messy_order_items_csv[[#This Row],[unit_price]]*messy_order_items_csv[[#This Row],[quantity]]</f>
        <v>0</v>
      </c>
    </row>
    <row r="1655" spans="1:6" x14ac:dyDescent="0.3">
      <c r="A1655">
        <v>1654</v>
      </c>
      <c r="B1655" t="s">
        <v>1092</v>
      </c>
      <c r="C1655" t="s">
        <v>2208</v>
      </c>
      <c r="D1655">
        <v>0</v>
      </c>
      <c r="E1655">
        <v>31497</v>
      </c>
      <c r="F1655">
        <f>messy_order_items_csv[[#This Row],[unit_price]]*messy_order_items_csv[[#This Row],[quantity]]</f>
        <v>0</v>
      </c>
    </row>
    <row r="1656" spans="1:6" x14ac:dyDescent="0.3">
      <c r="A1656">
        <v>1655</v>
      </c>
      <c r="B1656" t="s">
        <v>1538</v>
      </c>
      <c r="C1656" t="s">
        <v>2218</v>
      </c>
      <c r="D1656">
        <v>3</v>
      </c>
      <c r="E1656">
        <v>19203</v>
      </c>
      <c r="F1656">
        <f>messy_order_items_csv[[#This Row],[unit_price]]*messy_order_items_csv[[#This Row],[quantity]]</f>
        <v>57609</v>
      </c>
    </row>
    <row r="1657" spans="1:6" x14ac:dyDescent="0.3">
      <c r="A1657">
        <v>1656</v>
      </c>
      <c r="B1657" t="s">
        <v>1005</v>
      </c>
      <c r="C1657" t="s">
        <v>2229</v>
      </c>
      <c r="D1657">
        <v>2</v>
      </c>
      <c r="E1657">
        <v>47676</v>
      </c>
      <c r="F1657">
        <f>messy_order_items_csv[[#This Row],[unit_price]]*messy_order_items_csv[[#This Row],[quantity]]</f>
        <v>95352</v>
      </c>
    </row>
    <row r="1658" spans="1:6" x14ac:dyDescent="0.3">
      <c r="A1658">
        <v>1657</v>
      </c>
      <c r="B1658" t="s">
        <v>1189</v>
      </c>
      <c r="C1658" t="s">
        <v>2204</v>
      </c>
      <c r="D1658">
        <v>4</v>
      </c>
      <c r="E1658">
        <v>16612</v>
      </c>
      <c r="F1658">
        <f>messy_order_items_csv[[#This Row],[unit_price]]*messy_order_items_csv[[#This Row],[quantity]]</f>
        <v>66448</v>
      </c>
    </row>
    <row r="1659" spans="1:6" x14ac:dyDescent="0.3">
      <c r="A1659">
        <v>1658</v>
      </c>
      <c r="B1659" t="s">
        <v>1816</v>
      </c>
      <c r="C1659" t="s">
        <v>2204</v>
      </c>
      <c r="D1659">
        <v>4</v>
      </c>
      <c r="E1659">
        <v>7671</v>
      </c>
      <c r="F1659">
        <f>messy_order_items_csv[[#This Row],[unit_price]]*messy_order_items_csv[[#This Row],[quantity]]</f>
        <v>30684</v>
      </c>
    </row>
    <row r="1660" spans="1:6" x14ac:dyDescent="0.3">
      <c r="A1660">
        <v>1659</v>
      </c>
      <c r="B1660" t="s">
        <v>2108</v>
      </c>
      <c r="C1660" t="s">
        <v>2253</v>
      </c>
      <c r="D1660">
        <v>4</v>
      </c>
      <c r="E1660">
        <v>69520</v>
      </c>
      <c r="F1660">
        <f>messy_order_items_csv[[#This Row],[unit_price]]*messy_order_items_csv[[#This Row],[quantity]]</f>
        <v>278080</v>
      </c>
    </row>
    <row r="1661" spans="1:6" x14ac:dyDescent="0.3">
      <c r="A1661">
        <v>1660</v>
      </c>
      <c r="B1661" t="s">
        <v>1103</v>
      </c>
      <c r="C1661" t="s">
        <v>2202</v>
      </c>
      <c r="D1661">
        <v>3</v>
      </c>
      <c r="E1661">
        <v>31497</v>
      </c>
      <c r="F1661">
        <f>messy_order_items_csv[[#This Row],[unit_price]]*messy_order_items_csv[[#This Row],[quantity]]</f>
        <v>94491</v>
      </c>
    </row>
    <row r="1662" spans="1:6" x14ac:dyDescent="0.3">
      <c r="A1662">
        <v>1661</v>
      </c>
      <c r="B1662" t="s">
        <v>1024</v>
      </c>
      <c r="C1662" t="s">
        <v>2234</v>
      </c>
      <c r="D1662">
        <v>3</v>
      </c>
      <c r="E1662">
        <v>1648</v>
      </c>
      <c r="F1662">
        <f>messy_order_items_csv[[#This Row],[unit_price]]*messy_order_items_csv[[#This Row],[quantity]]</f>
        <v>4944</v>
      </c>
    </row>
    <row r="1663" spans="1:6" x14ac:dyDescent="0.3">
      <c r="A1663">
        <v>1662</v>
      </c>
      <c r="B1663" t="s">
        <v>2112</v>
      </c>
      <c r="C1663" t="s">
        <v>2211</v>
      </c>
      <c r="E1663">
        <v>82478</v>
      </c>
      <c r="F1663">
        <f>messy_order_items_csv[[#This Row],[unit_price]]*messy_order_items_csv[[#This Row],[quantity]]</f>
        <v>0</v>
      </c>
    </row>
    <row r="1664" spans="1:6" x14ac:dyDescent="0.3">
      <c r="A1664">
        <v>1663</v>
      </c>
      <c r="B1664" t="s">
        <v>1225</v>
      </c>
      <c r="C1664" t="s">
        <v>2258</v>
      </c>
      <c r="D1664">
        <v>2</v>
      </c>
      <c r="E1664">
        <v>36135</v>
      </c>
      <c r="F1664">
        <f>messy_order_items_csv[[#This Row],[unit_price]]*messy_order_items_csv[[#This Row],[quantity]]</f>
        <v>72270</v>
      </c>
    </row>
    <row r="1665" spans="1:6" x14ac:dyDescent="0.3">
      <c r="A1665">
        <v>1664</v>
      </c>
      <c r="B1665" t="s">
        <v>1720</v>
      </c>
      <c r="C1665" t="s">
        <v>2206</v>
      </c>
      <c r="D1665">
        <v>4</v>
      </c>
      <c r="E1665">
        <v>15249</v>
      </c>
      <c r="F1665">
        <f>messy_order_items_csv[[#This Row],[unit_price]]*messy_order_items_csv[[#This Row],[quantity]]</f>
        <v>60996</v>
      </c>
    </row>
    <row r="1666" spans="1:6" x14ac:dyDescent="0.3">
      <c r="A1666">
        <v>1665</v>
      </c>
      <c r="B1666" t="s">
        <v>1675</v>
      </c>
      <c r="C1666" t="s">
        <v>2204</v>
      </c>
      <c r="D1666">
        <v>1</v>
      </c>
      <c r="E1666">
        <v>31497</v>
      </c>
      <c r="F1666">
        <f>messy_order_items_csv[[#This Row],[unit_price]]*messy_order_items_csv[[#This Row],[quantity]]</f>
        <v>31497</v>
      </c>
    </row>
    <row r="1667" spans="1:6" x14ac:dyDescent="0.3">
      <c r="A1667">
        <v>1666</v>
      </c>
      <c r="B1667" t="s">
        <v>1886</v>
      </c>
      <c r="C1667" t="s">
        <v>2212</v>
      </c>
      <c r="E1667">
        <v>58364</v>
      </c>
      <c r="F1667">
        <f>messy_order_items_csv[[#This Row],[unit_price]]*messy_order_items_csv[[#This Row],[quantity]]</f>
        <v>0</v>
      </c>
    </row>
    <row r="1668" spans="1:6" x14ac:dyDescent="0.3">
      <c r="A1668">
        <v>1667</v>
      </c>
      <c r="B1668" t="s">
        <v>1449</v>
      </c>
      <c r="C1668" t="s">
        <v>2246</v>
      </c>
      <c r="D1668">
        <v>3</v>
      </c>
      <c r="E1668">
        <v>4233</v>
      </c>
      <c r="F1668">
        <f>messy_order_items_csv[[#This Row],[unit_price]]*messy_order_items_csv[[#This Row],[quantity]]</f>
        <v>12699</v>
      </c>
    </row>
    <row r="1669" spans="1:6" x14ac:dyDescent="0.3">
      <c r="A1669">
        <v>1668</v>
      </c>
      <c r="B1669" t="s">
        <v>1988</v>
      </c>
      <c r="C1669" t="s">
        <v>2206</v>
      </c>
      <c r="E1669">
        <v>45890</v>
      </c>
      <c r="F1669">
        <f>messy_order_items_csv[[#This Row],[unit_price]]*messy_order_items_csv[[#This Row],[quantity]]</f>
        <v>0</v>
      </c>
    </row>
    <row r="1670" spans="1:6" x14ac:dyDescent="0.3">
      <c r="A1670">
        <v>1669</v>
      </c>
      <c r="B1670" t="s">
        <v>1102</v>
      </c>
      <c r="C1670" t="s">
        <v>2243</v>
      </c>
      <c r="D1670">
        <v>2</v>
      </c>
      <c r="E1670">
        <v>31497</v>
      </c>
      <c r="F1670">
        <f>messy_order_items_csv[[#This Row],[unit_price]]*messy_order_items_csv[[#This Row],[quantity]]</f>
        <v>62994</v>
      </c>
    </row>
    <row r="1671" spans="1:6" x14ac:dyDescent="0.3">
      <c r="A1671">
        <v>1670</v>
      </c>
      <c r="B1671" t="s">
        <v>2022</v>
      </c>
      <c r="C1671" t="s">
        <v>2206</v>
      </c>
      <c r="D1671">
        <v>3</v>
      </c>
      <c r="E1671">
        <v>15249</v>
      </c>
      <c r="F1671">
        <f>messy_order_items_csv[[#This Row],[unit_price]]*messy_order_items_csv[[#This Row],[quantity]]</f>
        <v>45747</v>
      </c>
    </row>
    <row r="1672" spans="1:6" x14ac:dyDescent="0.3">
      <c r="A1672">
        <v>1671</v>
      </c>
      <c r="B1672" t="s">
        <v>1161</v>
      </c>
      <c r="C1672" t="s">
        <v>2259</v>
      </c>
      <c r="D1672">
        <v>4</v>
      </c>
      <c r="E1672">
        <v>88284</v>
      </c>
      <c r="F1672">
        <f>messy_order_items_csv[[#This Row],[unit_price]]*messy_order_items_csv[[#This Row],[quantity]]</f>
        <v>353136</v>
      </c>
    </row>
    <row r="1673" spans="1:6" x14ac:dyDescent="0.3">
      <c r="A1673">
        <v>1672</v>
      </c>
      <c r="B1673" t="s">
        <v>2016</v>
      </c>
      <c r="C1673" t="s">
        <v>2202</v>
      </c>
      <c r="D1673">
        <v>4</v>
      </c>
      <c r="E1673">
        <v>31497</v>
      </c>
      <c r="F1673">
        <f>messy_order_items_csv[[#This Row],[unit_price]]*messy_order_items_csv[[#This Row],[quantity]]</f>
        <v>125988</v>
      </c>
    </row>
    <row r="1674" spans="1:6" x14ac:dyDescent="0.3">
      <c r="A1674">
        <v>1673</v>
      </c>
      <c r="B1674" t="s">
        <v>1998</v>
      </c>
      <c r="C1674" t="s">
        <v>2208</v>
      </c>
      <c r="D1674">
        <v>3</v>
      </c>
      <c r="E1674">
        <v>31497</v>
      </c>
      <c r="F1674">
        <f>messy_order_items_csv[[#This Row],[unit_price]]*messy_order_items_csv[[#This Row],[quantity]]</f>
        <v>94491</v>
      </c>
    </row>
    <row r="1675" spans="1:6" x14ac:dyDescent="0.3">
      <c r="A1675">
        <v>1674</v>
      </c>
      <c r="B1675" t="s">
        <v>1421</v>
      </c>
      <c r="C1675" t="s">
        <v>2218</v>
      </c>
      <c r="D1675">
        <v>3</v>
      </c>
      <c r="E1675">
        <v>65274</v>
      </c>
      <c r="F1675">
        <f>messy_order_items_csv[[#This Row],[unit_price]]*messy_order_items_csv[[#This Row],[quantity]]</f>
        <v>195822</v>
      </c>
    </row>
    <row r="1676" spans="1:6" x14ac:dyDescent="0.3">
      <c r="A1676">
        <v>1675</v>
      </c>
      <c r="B1676" t="s">
        <v>1488</v>
      </c>
      <c r="C1676" t="s">
        <v>2207</v>
      </c>
      <c r="D1676">
        <v>4</v>
      </c>
      <c r="E1676">
        <v>31497</v>
      </c>
      <c r="F1676">
        <f>messy_order_items_csv[[#This Row],[unit_price]]*messy_order_items_csv[[#This Row],[quantity]]</f>
        <v>125988</v>
      </c>
    </row>
    <row r="1677" spans="1:6" x14ac:dyDescent="0.3">
      <c r="A1677">
        <v>1676</v>
      </c>
      <c r="B1677" t="s">
        <v>1172</v>
      </c>
      <c r="C1677" t="s">
        <v>2243</v>
      </c>
      <c r="D1677">
        <v>2</v>
      </c>
      <c r="E1677">
        <v>34557</v>
      </c>
      <c r="F1677">
        <f>messy_order_items_csv[[#This Row],[unit_price]]*messy_order_items_csv[[#This Row],[quantity]]</f>
        <v>69114</v>
      </c>
    </row>
    <row r="1678" spans="1:6" x14ac:dyDescent="0.3">
      <c r="A1678">
        <v>1677</v>
      </c>
      <c r="B1678" t="s">
        <v>1780</v>
      </c>
      <c r="C1678" t="s">
        <v>2207</v>
      </c>
      <c r="E1678">
        <v>31497</v>
      </c>
      <c r="F1678">
        <f>messy_order_items_csv[[#This Row],[unit_price]]*messy_order_items_csv[[#This Row],[quantity]]</f>
        <v>0</v>
      </c>
    </row>
    <row r="1679" spans="1:6" x14ac:dyDescent="0.3">
      <c r="A1679">
        <v>1678</v>
      </c>
      <c r="B1679" t="s">
        <v>1112</v>
      </c>
      <c r="C1679" t="s">
        <v>2223</v>
      </c>
      <c r="D1679">
        <v>0</v>
      </c>
      <c r="E1679">
        <v>31497</v>
      </c>
      <c r="F1679">
        <f>messy_order_items_csv[[#This Row],[unit_price]]*messy_order_items_csv[[#This Row],[quantity]]</f>
        <v>0</v>
      </c>
    </row>
    <row r="1680" spans="1:6" x14ac:dyDescent="0.3">
      <c r="A1680">
        <v>1679</v>
      </c>
      <c r="B1680" t="s">
        <v>2149</v>
      </c>
      <c r="C1680" t="s">
        <v>2250</v>
      </c>
      <c r="D1680">
        <v>1</v>
      </c>
      <c r="E1680">
        <v>23334</v>
      </c>
      <c r="F1680">
        <f>messy_order_items_csv[[#This Row],[unit_price]]*messy_order_items_csv[[#This Row],[quantity]]</f>
        <v>23334</v>
      </c>
    </row>
    <row r="1681" spans="1:6" x14ac:dyDescent="0.3">
      <c r="A1681">
        <v>1680</v>
      </c>
      <c r="B1681" t="s">
        <v>1567</v>
      </c>
      <c r="C1681" t="s">
        <v>2215</v>
      </c>
      <c r="D1681">
        <v>0</v>
      </c>
      <c r="E1681">
        <v>66857</v>
      </c>
      <c r="F1681">
        <f>messy_order_items_csv[[#This Row],[unit_price]]*messy_order_items_csv[[#This Row],[quantity]]</f>
        <v>0</v>
      </c>
    </row>
    <row r="1682" spans="1:6" x14ac:dyDescent="0.3">
      <c r="A1682">
        <v>1681</v>
      </c>
      <c r="B1682" t="s">
        <v>1602</v>
      </c>
      <c r="C1682" t="s">
        <v>2251</v>
      </c>
      <c r="E1682">
        <v>31497</v>
      </c>
      <c r="F1682">
        <f>messy_order_items_csv[[#This Row],[unit_price]]*messy_order_items_csv[[#This Row],[quantity]]</f>
        <v>0</v>
      </c>
    </row>
    <row r="1683" spans="1:6" x14ac:dyDescent="0.3">
      <c r="A1683">
        <v>1682</v>
      </c>
      <c r="B1683" t="s">
        <v>1081</v>
      </c>
      <c r="C1683" t="s">
        <v>2247</v>
      </c>
      <c r="D1683">
        <v>1</v>
      </c>
      <c r="E1683">
        <v>67465</v>
      </c>
      <c r="F1683">
        <f>messy_order_items_csv[[#This Row],[unit_price]]*messy_order_items_csv[[#This Row],[quantity]]</f>
        <v>67465</v>
      </c>
    </row>
    <row r="1684" spans="1:6" x14ac:dyDescent="0.3">
      <c r="A1684">
        <v>1683</v>
      </c>
      <c r="B1684" t="s">
        <v>1456</v>
      </c>
      <c r="C1684" t="s">
        <v>2256</v>
      </c>
      <c r="D1684">
        <v>4</v>
      </c>
      <c r="E1684">
        <v>35034</v>
      </c>
      <c r="F1684">
        <f>messy_order_items_csv[[#This Row],[unit_price]]*messy_order_items_csv[[#This Row],[quantity]]</f>
        <v>140136</v>
      </c>
    </row>
    <row r="1685" spans="1:6" x14ac:dyDescent="0.3">
      <c r="A1685">
        <v>1684</v>
      </c>
      <c r="B1685" t="s">
        <v>1251</v>
      </c>
      <c r="C1685" t="s">
        <v>2230</v>
      </c>
      <c r="E1685">
        <v>85695</v>
      </c>
      <c r="F1685">
        <f>messy_order_items_csv[[#This Row],[unit_price]]*messy_order_items_csv[[#This Row],[quantity]]</f>
        <v>0</v>
      </c>
    </row>
    <row r="1686" spans="1:6" x14ac:dyDescent="0.3">
      <c r="A1686">
        <v>1685</v>
      </c>
      <c r="B1686" t="s">
        <v>1239</v>
      </c>
      <c r="C1686" t="s">
        <v>2235</v>
      </c>
      <c r="D1686">
        <v>1</v>
      </c>
      <c r="E1686">
        <v>44514</v>
      </c>
      <c r="F1686">
        <f>messy_order_items_csv[[#This Row],[unit_price]]*messy_order_items_csv[[#This Row],[quantity]]</f>
        <v>44514</v>
      </c>
    </row>
    <row r="1687" spans="1:6" x14ac:dyDescent="0.3">
      <c r="A1687">
        <v>1686</v>
      </c>
      <c r="B1687" t="s">
        <v>1285</v>
      </c>
      <c r="C1687" t="s">
        <v>2244</v>
      </c>
      <c r="D1687">
        <v>0</v>
      </c>
      <c r="E1687">
        <v>31497</v>
      </c>
      <c r="F1687">
        <f>messy_order_items_csv[[#This Row],[unit_price]]*messy_order_items_csv[[#This Row],[quantity]]</f>
        <v>0</v>
      </c>
    </row>
    <row r="1688" spans="1:6" x14ac:dyDescent="0.3">
      <c r="A1688">
        <v>1687</v>
      </c>
      <c r="B1688" t="s">
        <v>2121</v>
      </c>
      <c r="C1688" t="s">
        <v>2225</v>
      </c>
      <c r="D1688">
        <v>2</v>
      </c>
      <c r="E1688">
        <v>35419</v>
      </c>
      <c r="F1688">
        <f>messy_order_items_csv[[#This Row],[unit_price]]*messy_order_items_csv[[#This Row],[quantity]]</f>
        <v>70838</v>
      </c>
    </row>
    <row r="1689" spans="1:6" x14ac:dyDescent="0.3">
      <c r="A1689">
        <v>1688</v>
      </c>
      <c r="B1689" t="s">
        <v>2067</v>
      </c>
      <c r="C1689" t="s">
        <v>2204</v>
      </c>
      <c r="D1689">
        <v>1</v>
      </c>
      <c r="E1689">
        <v>31497</v>
      </c>
      <c r="F1689">
        <f>messy_order_items_csv[[#This Row],[unit_price]]*messy_order_items_csv[[#This Row],[quantity]]</f>
        <v>31497</v>
      </c>
    </row>
    <row r="1690" spans="1:6" x14ac:dyDescent="0.3">
      <c r="A1690">
        <v>1689</v>
      </c>
      <c r="B1690" t="s">
        <v>2142</v>
      </c>
      <c r="C1690" t="s">
        <v>2228</v>
      </c>
      <c r="E1690">
        <v>59514</v>
      </c>
      <c r="F1690">
        <f>messy_order_items_csv[[#This Row],[unit_price]]*messy_order_items_csv[[#This Row],[quantity]]</f>
        <v>0</v>
      </c>
    </row>
    <row r="1691" spans="1:6" x14ac:dyDescent="0.3">
      <c r="A1691">
        <v>1690</v>
      </c>
      <c r="B1691" t="s">
        <v>1253</v>
      </c>
      <c r="C1691" t="s">
        <v>2225</v>
      </c>
      <c r="D1691">
        <v>3</v>
      </c>
      <c r="E1691">
        <v>52743</v>
      </c>
      <c r="F1691">
        <f>messy_order_items_csv[[#This Row],[unit_price]]*messy_order_items_csv[[#This Row],[quantity]]</f>
        <v>158229</v>
      </c>
    </row>
    <row r="1692" spans="1:6" x14ac:dyDescent="0.3">
      <c r="A1692">
        <v>1691</v>
      </c>
      <c r="B1692" t="s">
        <v>1894</v>
      </c>
      <c r="C1692" t="s">
        <v>2209</v>
      </c>
      <c r="D1692">
        <v>1</v>
      </c>
      <c r="E1692">
        <v>13294</v>
      </c>
      <c r="F1692">
        <f>messy_order_items_csv[[#This Row],[unit_price]]*messy_order_items_csv[[#This Row],[quantity]]</f>
        <v>13294</v>
      </c>
    </row>
    <row r="1693" spans="1:6" x14ac:dyDescent="0.3">
      <c r="A1693">
        <v>1692</v>
      </c>
      <c r="B1693" t="s">
        <v>1943</v>
      </c>
      <c r="C1693" t="s">
        <v>2272</v>
      </c>
      <c r="D1693">
        <v>4</v>
      </c>
      <c r="E1693">
        <v>43027</v>
      </c>
      <c r="F1693">
        <f>messy_order_items_csv[[#This Row],[unit_price]]*messy_order_items_csv[[#This Row],[quantity]]</f>
        <v>172108</v>
      </c>
    </row>
    <row r="1694" spans="1:6" x14ac:dyDescent="0.3">
      <c r="A1694">
        <v>1693</v>
      </c>
      <c r="B1694" t="s">
        <v>1542</v>
      </c>
      <c r="C1694" t="s">
        <v>2215</v>
      </c>
      <c r="D1694">
        <v>2</v>
      </c>
      <c r="E1694">
        <v>31497</v>
      </c>
      <c r="F1694">
        <f>messy_order_items_csv[[#This Row],[unit_price]]*messy_order_items_csv[[#This Row],[quantity]]</f>
        <v>62994</v>
      </c>
    </row>
    <row r="1695" spans="1:6" x14ac:dyDescent="0.3">
      <c r="A1695">
        <v>1694</v>
      </c>
      <c r="B1695" t="s">
        <v>1734</v>
      </c>
      <c r="C1695" t="s">
        <v>2200</v>
      </c>
      <c r="D1695">
        <v>3</v>
      </c>
      <c r="E1695">
        <v>31748</v>
      </c>
      <c r="F1695">
        <f>messy_order_items_csv[[#This Row],[unit_price]]*messy_order_items_csv[[#This Row],[quantity]]</f>
        <v>95244</v>
      </c>
    </row>
    <row r="1696" spans="1:6" x14ac:dyDescent="0.3">
      <c r="A1696">
        <v>1695</v>
      </c>
      <c r="B1696" t="s">
        <v>1402</v>
      </c>
      <c r="C1696" t="s">
        <v>2211</v>
      </c>
      <c r="D1696">
        <v>2</v>
      </c>
      <c r="E1696">
        <v>82478</v>
      </c>
      <c r="F1696">
        <f>messy_order_items_csv[[#This Row],[unit_price]]*messy_order_items_csv[[#This Row],[quantity]]</f>
        <v>164956</v>
      </c>
    </row>
    <row r="1697" spans="1:6" x14ac:dyDescent="0.3">
      <c r="A1697">
        <v>1696</v>
      </c>
      <c r="B1697" t="s">
        <v>2164</v>
      </c>
      <c r="C1697" t="s">
        <v>2224</v>
      </c>
      <c r="D1697">
        <v>3</v>
      </c>
      <c r="E1697">
        <v>88435</v>
      </c>
      <c r="F1697">
        <f>messy_order_items_csv[[#This Row],[unit_price]]*messy_order_items_csv[[#This Row],[quantity]]</f>
        <v>265305</v>
      </c>
    </row>
    <row r="1698" spans="1:6" x14ac:dyDescent="0.3">
      <c r="A1698">
        <v>1697</v>
      </c>
      <c r="B1698" t="s">
        <v>1473</v>
      </c>
      <c r="C1698" t="s">
        <v>2195</v>
      </c>
      <c r="D1698">
        <v>4</v>
      </c>
      <c r="E1698">
        <v>47453</v>
      </c>
      <c r="F1698">
        <f>messy_order_items_csv[[#This Row],[unit_price]]*messy_order_items_csv[[#This Row],[quantity]]</f>
        <v>189812</v>
      </c>
    </row>
    <row r="1699" spans="1:6" x14ac:dyDescent="0.3">
      <c r="A1699">
        <v>1698</v>
      </c>
      <c r="B1699" t="s">
        <v>1025</v>
      </c>
      <c r="C1699" t="s">
        <v>2206</v>
      </c>
      <c r="D1699">
        <v>1</v>
      </c>
      <c r="E1699">
        <v>15249</v>
      </c>
      <c r="F1699">
        <f>messy_order_items_csv[[#This Row],[unit_price]]*messy_order_items_csv[[#This Row],[quantity]]</f>
        <v>15249</v>
      </c>
    </row>
    <row r="1700" spans="1:6" x14ac:dyDescent="0.3">
      <c r="A1700">
        <v>1699</v>
      </c>
      <c r="B1700" t="s">
        <v>1617</v>
      </c>
      <c r="C1700" t="s">
        <v>2208</v>
      </c>
      <c r="D1700">
        <v>4</v>
      </c>
      <c r="E1700">
        <v>31497</v>
      </c>
      <c r="F1700">
        <f>messy_order_items_csv[[#This Row],[unit_price]]*messy_order_items_csv[[#This Row],[quantity]]</f>
        <v>125988</v>
      </c>
    </row>
    <row r="1701" spans="1:6" x14ac:dyDescent="0.3">
      <c r="A1701">
        <v>1700</v>
      </c>
      <c r="B1701" t="s">
        <v>1818</v>
      </c>
      <c r="C1701" t="s">
        <v>2270</v>
      </c>
      <c r="D1701">
        <v>4</v>
      </c>
      <c r="E1701">
        <v>47042</v>
      </c>
      <c r="F1701">
        <f>messy_order_items_csv[[#This Row],[unit_price]]*messy_order_items_csv[[#This Row],[quantity]]</f>
        <v>188168</v>
      </c>
    </row>
    <row r="1702" spans="1:6" x14ac:dyDescent="0.3">
      <c r="A1702">
        <v>1701</v>
      </c>
      <c r="B1702" t="s">
        <v>2038</v>
      </c>
      <c r="C1702" t="s">
        <v>2210</v>
      </c>
      <c r="E1702">
        <v>65148</v>
      </c>
      <c r="F1702">
        <f>messy_order_items_csv[[#This Row],[unit_price]]*messy_order_items_csv[[#This Row],[quantity]]</f>
        <v>0</v>
      </c>
    </row>
    <row r="1703" spans="1:6" x14ac:dyDescent="0.3">
      <c r="A1703">
        <v>1702</v>
      </c>
      <c r="B1703" t="s">
        <v>1016</v>
      </c>
      <c r="C1703" t="s">
        <v>2233</v>
      </c>
      <c r="D1703">
        <v>3</v>
      </c>
      <c r="E1703">
        <v>38225</v>
      </c>
      <c r="F1703">
        <f>messy_order_items_csv[[#This Row],[unit_price]]*messy_order_items_csv[[#This Row],[quantity]]</f>
        <v>114675</v>
      </c>
    </row>
    <row r="1704" spans="1:6" x14ac:dyDescent="0.3">
      <c r="A1704">
        <v>1703</v>
      </c>
      <c r="B1704" t="s">
        <v>1825</v>
      </c>
      <c r="C1704" t="s">
        <v>2242</v>
      </c>
      <c r="D1704">
        <v>2</v>
      </c>
      <c r="E1704">
        <v>29358</v>
      </c>
      <c r="F1704">
        <f>messy_order_items_csv[[#This Row],[unit_price]]*messy_order_items_csv[[#This Row],[quantity]]</f>
        <v>58716</v>
      </c>
    </row>
    <row r="1705" spans="1:6" x14ac:dyDescent="0.3">
      <c r="A1705">
        <v>1704</v>
      </c>
      <c r="B1705" t="s">
        <v>1530</v>
      </c>
      <c r="C1705" t="s">
        <v>2226</v>
      </c>
      <c r="D1705">
        <v>1</v>
      </c>
      <c r="E1705">
        <v>14994</v>
      </c>
      <c r="F1705">
        <f>messy_order_items_csv[[#This Row],[unit_price]]*messy_order_items_csv[[#This Row],[quantity]]</f>
        <v>14994</v>
      </c>
    </row>
    <row r="1706" spans="1:6" x14ac:dyDescent="0.3">
      <c r="A1706">
        <v>1705</v>
      </c>
      <c r="B1706" t="s">
        <v>1594</v>
      </c>
      <c r="C1706" t="s">
        <v>2210</v>
      </c>
      <c r="D1706">
        <v>3</v>
      </c>
      <c r="E1706">
        <v>31497</v>
      </c>
      <c r="F1706">
        <f>messy_order_items_csv[[#This Row],[unit_price]]*messy_order_items_csv[[#This Row],[quantity]]</f>
        <v>94491</v>
      </c>
    </row>
    <row r="1707" spans="1:6" x14ac:dyDescent="0.3">
      <c r="A1707">
        <v>1706</v>
      </c>
      <c r="B1707" t="s">
        <v>1330</v>
      </c>
      <c r="C1707" t="s">
        <v>2202</v>
      </c>
      <c r="D1707">
        <v>0</v>
      </c>
      <c r="E1707">
        <v>58845</v>
      </c>
      <c r="F1707">
        <f>messy_order_items_csv[[#This Row],[unit_price]]*messy_order_items_csv[[#This Row],[quantity]]</f>
        <v>0</v>
      </c>
    </row>
    <row r="1708" spans="1:6" x14ac:dyDescent="0.3">
      <c r="A1708">
        <v>1707</v>
      </c>
      <c r="B1708" t="s">
        <v>1817</v>
      </c>
      <c r="C1708" t="s">
        <v>2214</v>
      </c>
      <c r="E1708">
        <v>17737</v>
      </c>
      <c r="F1708">
        <f>messy_order_items_csv[[#This Row],[unit_price]]*messy_order_items_csv[[#This Row],[quantity]]</f>
        <v>0</v>
      </c>
    </row>
    <row r="1709" spans="1:6" x14ac:dyDescent="0.3">
      <c r="A1709">
        <v>1708</v>
      </c>
      <c r="B1709" t="s">
        <v>1982</v>
      </c>
      <c r="C1709" t="s">
        <v>2273</v>
      </c>
      <c r="D1709">
        <v>3</v>
      </c>
      <c r="E1709">
        <v>18396</v>
      </c>
      <c r="F1709">
        <f>messy_order_items_csv[[#This Row],[unit_price]]*messy_order_items_csv[[#This Row],[quantity]]</f>
        <v>55188</v>
      </c>
    </row>
    <row r="1710" spans="1:6" x14ac:dyDescent="0.3">
      <c r="A1710">
        <v>1709</v>
      </c>
      <c r="B1710" t="s">
        <v>1823</v>
      </c>
      <c r="C1710" t="s">
        <v>2223</v>
      </c>
      <c r="D1710">
        <v>3</v>
      </c>
      <c r="E1710">
        <v>31497</v>
      </c>
      <c r="F1710">
        <f>messy_order_items_csv[[#This Row],[unit_price]]*messy_order_items_csv[[#This Row],[quantity]]</f>
        <v>94491</v>
      </c>
    </row>
    <row r="1711" spans="1:6" x14ac:dyDescent="0.3">
      <c r="A1711">
        <v>1710</v>
      </c>
      <c r="B1711" t="s">
        <v>1182</v>
      </c>
      <c r="C1711" t="s">
        <v>2273</v>
      </c>
      <c r="D1711">
        <v>4</v>
      </c>
      <c r="E1711">
        <v>31497</v>
      </c>
      <c r="F1711">
        <f>messy_order_items_csv[[#This Row],[unit_price]]*messy_order_items_csv[[#This Row],[quantity]]</f>
        <v>125988</v>
      </c>
    </row>
    <row r="1712" spans="1:6" x14ac:dyDescent="0.3">
      <c r="A1712">
        <v>1711</v>
      </c>
      <c r="B1712" t="s">
        <v>1415</v>
      </c>
      <c r="C1712" t="s">
        <v>2252</v>
      </c>
      <c r="E1712">
        <v>31497</v>
      </c>
      <c r="F1712">
        <f>messy_order_items_csv[[#This Row],[unit_price]]*messy_order_items_csv[[#This Row],[quantity]]</f>
        <v>0</v>
      </c>
    </row>
    <row r="1713" spans="1:6" x14ac:dyDescent="0.3">
      <c r="A1713">
        <v>1712</v>
      </c>
      <c r="B1713" t="s">
        <v>1223</v>
      </c>
      <c r="C1713" t="s">
        <v>2221</v>
      </c>
      <c r="D1713">
        <v>1</v>
      </c>
      <c r="E1713">
        <v>31497</v>
      </c>
      <c r="F1713">
        <f>messy_order_items_csv[[#This Row],[unit_price]]*messy_order_items_csv[[#This Row],[quantity]]</f>
        <v>31497</v>
      </c>
    </row>
    <row r="1714" spans="1:6" x14ac:dyDescent="0.3">
      <c r="A1714">
        <v>1713</v>
      </c>
      <c r="B1714" t="s">
        <v>1523</v>
      </c>
      <c r="C1714" t="s">
        <v>2202</v>
      </c>
      <c r="D1714">
        <v>0</v>
      </c>
      <c r="E1714">
        <v>31497</v>
      </c>
      <c r="F1714">
        <f>messy_order_items_csv[[#This Row],[unit_price]]*messy_order_items_csv[[#This Row],[quantity]]</f>
        <v>0</v>
      </c>
    </row>
    <row r="1715" spans="1:6" x14ac:dyDescent="0.3">
      <c r="A1715">
        <v>1714</v>
      </c>
      <c r="B1715" t="s">
        <v>1843</v>
      </c>
      <c r="C1715" t="s">
        <v>2210</v>
      </c>
      <c r="D1715">
        <v>2</v>
      </c>
      <c r="E1715">
        <v>53958</v>
      </c>
      <c r="F1715">
        <f>messy_order_items_csv[[#This Row],[unit_price]]*messy_order_items_csv[[#This Row],[quantity]]</f>
        <v>107916</v>
      </c>
    </row>
    <row r="1716" spans="1:6" x14ac:dyDescent="0.3">
      <c r="A1716">
        <v>1715</v>
      </c>
      <c r="B1716" t="s">
        <v>1428</v>
      </c>
      <c r="C1716" t="s">
        <v>2199</v>
      </c>
      <c r="E1716">
        <v>25228</v>
      </c>
      <c r="F1716">
        <f>messy_order_items_csv[[#This Row],[unit_price]]*messy_order_items_csv[[#This Row],[quantity]]</f>
        <v>0</v>
      </c>
    </row>
    <row r="1717" spans="1:6" x14ac:dyDescent="0.3">
      <c r="A1717">
        <v>1716</v>
      </c>
      <c r="B1717" t="s">
        <v>1584</v>
      </c>
      <c r="C1717" t="s">
        <v>2244</v>
      </c>
      <c r="D1717">
        <v>1</v>
      </c>
      <c r="E1717">
        <v>5953</v>
      </c>
      <c r="F1717">
        <f>messy_order_items_csv[[#This Row],[unit_price]]*messy_order_items_csv[[#This Row],[quantity]]</f>
        <v>5953</v>
      </c>
    </row>
    <row r="1718" spans="1:6" x14ac:dyDescent="0.3">
      <c r="A1718">
        <v>1717</v>
      </c>
      <c r="B1718" t="s">
        <v>1792</v>
      </c>
      <c r="C1718" t="s">
        <v>2253</v>
      </c>
      <c r="D1718">
        <v>4</v>
      </c>
      <c r="E1718">
        <v>69520</v>
      </c>
      <c r="F1718">
        <f>messy_order_items_csv[[#This Row],[unit_price]]*messy_order_items_csv[[#This Row],[quantity]]</f>
        <v>278080</v>
      </c>
    </row>
    <row r="1719" spans="1:6" x14ac:dyDescent="0.3">
      <c r="A1719">
        <v>1718</v>
      </c>
      <c r="B1719" t="s">
        <v>1485</v>
      </c>
      <c r="C1719" t="s">
        <v>2267</v>
      </c>
      <c r="D1719">
        <v>0</v>
      </c>
      <c r="E1719">
        <v>31497</v>
      </c>
      <c r="F1719">
        <f>messy_order_items_csv[[#This Row],[unit_price]]*messy_order_items_csv[[#This Row],[quantity]]</f>
        <v>0</v>
      </c>
    </row>
    <row r="1720" spans="1:6" x14ac:dyDescent="0.3">
      <c r="A1720">
        <v>1719</v>
      </c>
      <c r="B1720" t="s">
        <v>1071</v>
      </c>
      <c r="C1720" t="s">
        <v>2205</v>
      </c>
      <c r="D1720">
        <v>2</v>
      </c>
      <c r="E1720">
        <v>31497</v>
      </c>
      <c r="F1720">
        <f>messy_order_items_csv[[#This Row],[unit_price]]*messy_order_items_csv[[#This Row],[quantity]]</f>
        <v>62994</v>
      </c>
    </row>
    <row r="1721" spans="1:6" x14ac:dyDescent="0.3">
      <c r="A1721">
        <v>1720</v>
      </c>
      <c r="B1721" t="s">
        <v>1683</v>
      </c>
      <c r="C1721" t="s">
        <v>2206</v>
      </c>
      <c r="D1721">
        <v>1</v>
      </c>
      <c r="E1721">
        <v>44206</v>
      </c>
      <c r="F1721">
        <f>messy_order_items_csv[[#This Row],[unit_price]]*messy_order_items_csv[[#This Row],[quantity]]</f>
        <v>44206</v>
      </c>
    </row>
    <row r="1722" spans="1:6" x14ac:dyDescent="0.3">
      <c r="A1722">
        <v>1721</v>
      </c>
      <c r="B1722" t="s">
        <v>1868</v>
      </c>
      <c r="C1722" t="s">
        <v>2273</v>
      </c>
      <c r="D1722">
        <v>4</v>
      </c>
      <c r="E1722">
        <v>57731</v>
      </c>
      <c r="F1722">
        <f>messy_order_items_csv[[#This Row],[unit_price]]*messy_order_items_csv[[#This Row],[quantity]]</f>
        <v>230924</v>
      </c>
    </row>
    <row r="1723" spans="1:6" x14ac:dyDescent="0.3">
      <c r="A1723">
        <v>1722</v>
      </c>
      <c r="B1723" t="s">
        <v>1127</v>
      </c>
      <c r="C1723" t="s">
        <v>2196</v>
      </c>
      <c r="D1723">
        <v>0</v>
      </c>
      <c r="E1723">
        <v>47877</v>
      </c>
      <c r="F1723">
        <f>messy_order_items_csv[[#This Row],[unit_price]]*messy_order_items_csv[[#This Row],[quantity]]</f>
        <v>0</v>
      </c>
    </row>
    <row r="1724" spans="1:6" x14ac:dyDescent="0.3">
      <c r="A1724">
        <v>1723</v>
      </c>
      <c r="B1724" t="s">
        <v>1033</v>
      </c>
      <c r="C1724" t="s">
        <v>2264</v>
      </c>
      <c r="D1724">
        <v>0</v>
      </c>
      <c r="E1724">
        <v>31497</v>
      </c>
      <c r="F1724">
        <f>messy_order_items_csv[[#This Row],[unit_price]]*messy_order_items_csv[[#This Row],[quantity]]</f>
        <v>0</v>
      </c>
    </row>
    <row r="1725" spans="1:6" x14ac:dyDescent="0.3">
      <c r="A1725">
        <v>1724</v>
      </c>
      <c r="B1725" t="s">
        <v>1377</v>
      </c>
      <c r="C1725" t="s">
        <v>2253</v>
      </c>
      <c r="E1725">
        <v>37935</v>
      </c>
      <c r="F1725">
        <f>messy_order_items_csv[[#This Row],[unit_price]]*messy_order_items_csv[[#This Row],[quantity]]</f>
        <v>0</v>
      </c>
    </row>
    <row r="1726" spans="1:6" x14ac:dyDescent="0.3">
      <c r="A1726">
        <v>1725</v>
      </c>
      <c r="B1726" t="s">
        <v>1823</v>
      </c>
      <c r="C1726" t="s">
        <v>2242</v>
      </c>
      <c r="E1726">
        <v>61801</v>
      </c>
      <c r="F1726">
        <f>messy_order_items_csv[[#This Row],[unit_price]]*messy_order_items_csv[[#This Row],[quantity]]</f>
        <v>0</v>
      </c>
    </row>
    <row r="1727" spans="1:6" x14ac:dyDescent="0.3">
      <c r="A1727">
        <v>1726</v>
      </c>
      <c r="B1727" t="s">
        <v>1463</v>
      </c>
      <c r="C1727" t="s">
        <v>2206</v>
      </c>
      <c r="E1727">
        <v>15249</v>
      </c>
      <c r="F1727">
        <f>messy_order_items_csv[[#This Row],[unit_price]]*messy_order_items_csv[[#This Row],[quantity]]</f>
        <v>0</v>
      </c>
    </row>
    <row r="1728" spans="1:6" x14ac:dyDescent="0.3">
      <c r="A1728">
        <v>1727</v>
      </c>
      <c r="B1728" t="s">
        <v>2032</v>
      </c>
      <c r="C1728" t="s">
        <v>2208</v>
      </c>
      <c r="D1728">
        <v>0</v>
      </c>
      <c r="E1728">
        <v>31497</v>
      </c>
      <c r="F1728">
        <f>messy_order_items_csv[[#This Row],[unit_price]]*messy_order_items_csv[[#This Row],[quantity]]</f>
        <v>0</v>
      </c>
    </row>
    <row r="1729" spans="1:6" x14ac:dyDescent="0.3">
      <c r="A1729">
        <v>1728</v>
      </c>
      <c r="B1729" t="s">
        <v>1400</v>
      </c>
      <c r="C1729" t="s">
        <v>2246</v>
      </c>
      <c r="D1729">
        <v>0</v>
      </c>
      <c r="E1729">
        <v>70501</v>
      </c>
      <c r="F1729">
        <f>messy_order_items_csv[[#This Row],[unit_price]]*messy_order_items_csv[[#This Row],[quantity]]</f>
        <v>0</v>
      </c>
    </row>
    <row r="1730" spans="1:6" x14ac:dyDescent="0.3">
      <c r="A1730">
        <v>1729</v>
      </c>
      <c r="B1730" t="s">
        <v>1004</v>
      </c>
      <c r="C1730" t="s">
        <v>2262</v>
      </c>
      <c r="D1730">
        <v>0</v>
      </c>
      <c r="E1730">
        <v>18522</v>
      </c>
      <c r="F1730">
        <f>messy_order_items_csv[[#This Row],[unit_price]]*messy_order_items_csv[[#This Row],[quantity]]</f>
        <v>0</v>
      </c>
    </row>
    <row r="1731" spans="1:6" x14ac:dyDescent="0.3">
      <c r="A1731">
        <v>1730</v>
      </c>
      <c r="B1731" t="s">
        <v>1595</v>
      </c>
      <c r="C1731" t="s">
        <v>2268</v>
      </c>
      <c r="D1731">
        <v>0</v>
      </c>
      <c r="E1731">
        <v>37769</v>
      </c>
      <c r="F1731">
        <f>messy_order_items_csv[[#This Row],[unit_price]]*messy_order_items_csv[[#This Row],[quantity]]</f>
        <v>0</v>
      </c>
    </row>
    <row r="1732" spans="1:6" x14ac:dyDescent="0.3">
      <c r="A1732">
        <v>1731</v>
      </c>
      <c r="B1732" t="s">
        <v>2043</v>
      </c>
      <c r="C1732" t="s">
        <v>2206</v>
      </c>
      <c r="D1732">
        <v>3</v>
      </c>
      <c r="E1732">
        <v>6891</v>
      </c>
      <c r="F1732">
        <f>messy_order_items_csv[[#This Row],[unit_price]]*messy_order_items_csv[[#This Row],[quantity]]</f>
        <v>20673</v>
      </c>
    </row>
    <row r="1733" spans="1:6" x14ac:dyDescent="0.3">
      <c r="A1733">
        <v>1732</v>
      </c>
      <c r="B1733" t="s">
        <v>2097</v>
      </c>
      <c r="C1733" t="s">
        <v>2264</v>
      </c>
      <c r="D1733">
        <v>1</v>
      </c>
      <c r="E1733">
        <v>31497</v>
      </c>
      <c r="F1733">
        <f>messy_order_items_csv[[#This Row],[unit_price]]*messy_order_items_csv[[#This Row],[quantity]]</f>
        <v>31497</v>
      </c>
    </row>
    <row r="1734" spans="1:6" x14ac:dyDescent="0.3">
      <c r="A1734">
        <v>1733</v>
      </c>
      <c r="B1734" t="s">
        <v>1421</v>
      </c>
      <c r="C1734" t="s">
        <v>2197</v>
      </c>
      <c r="E1734">
        <v>31497</v>
      </c>
      <c r="F1734">
        <f>messy_order_items_csv[[#This Row],[unit_price]]*messy_order_items_csv[[#This Row],[quantity]]</f>
        <v>0</v>
      </c>
    </row>
    <row r="1735" spans="1:6" x14ac:dyDescent="0.3">
      <c r="A1735">
        <v>1734</v>
      </c>
      <c r="B1735" t="s">
        <v>1743</v>
      </c>
      <c r="C1735" t="s">
        <v>2199</v>
      </c>
      <c r="D1735">
        <v>1</v>
      </c>
      <c r="E1735">
        <v>42028</v>
      </c>
      <c r="F1735">
        <f>messy_order_items_csv[[#This Row],[unit_price]]*messy_order_items_csv[[#This Row],[quantity]]</f>
        <v>42028</v>
      </c>
    </row>
    <row r="1736" spans="1:6" x14ac:dyDescent="0.3">
      <c r="A1736">
        <v>1735</v>
      </c>
      <c r="B1736" t="s">
        <v>1280</v>
      </c>
      <c r="C1736" t="s">
        <v>2227</v>
      </c>
      <c r="D1736">
        <v>2</v>
      </c>
      <c r="E1736">
        <v>31497</v>
      </c>
      <c r="F1736">
        <f>messy_order_items_csv[[#This Row],[unit_price]]*messy_order_items_csv[[#This Row],[quantity]]</f>
        <v>62994</v>
      </c>
    </row>
    <row r="1737" spans="1:6" x14ac:dyDescent="0.3">
      <c r="A1737">
        <v>1736</v>
      </c>
      <c r="B1737" t="s">
        <v>1168</v>
      </c>
      <c r="C1737" t="s">
        <v>2225</v>
      </c>
      <c r="E1737">
        <v>72352</v>
      </c>
      <c r="F1737">
        <f>messy_order_items_csv[[#This Row],[unit_price]]*messy_order_items_csv[[#This Row],[quantity]]</f>
        <v>0</v>
      </c>
    </row>
    <row r="1738" spans="1:6" x14ac:dyDescent="0.3">
      <c r="A1738">
        <v>1737</v>
      </c>
      <c r="B1738" t="s">
        <v>1895</v>
      </c>
      <c r="C1738" t="s">
        <v>2274</v>
      </c>
      <c r="D1738">
        <v>2</v>
      </c>
      <c r="E1738">
        <v>31497</v>
      </c>
      <c r="F1738">
        <f>messy_order_items_csv[[#This Row],[unit_price]]*messy_order_items_csv[[#This Row],[quantity]]</f>
        <v>62994</v>
      </c>
    </row>
    <row r="1739" spans="1:6" x14ac:dyDescent="0.3">
      <c r="A1739">
        <v>1738</v>
      </c>
      <c r="B1739" t="s">
        <v>1447</v>
      </c>
      <c r="C1739" t="s">
        <v>2209</v>
      </c>
      <c r="D1739">
        <v>1</v>
      </c>
      <c r="E1739">
        <v>86168</v>
      </c>
      <c r="F1739">
        <f>messy_order_items_csv[[#This Row],[unit_price]]*messy_order_items_csv[[#This Row],[quantity]]</f>
        <v>86168</v>
      </c>
    </row>
    <row r="1740" spans="1:6" x14ac:dyDescent="0.3">
      <c r="A1740">
        <v>1739</v>
      </c>
      <c r="B1740" t="s">
        <v>1917</v>
      </c>
      <c r="C1740" t="s">
        <v>2223</v>
      </c>
      <c r="D1740">
        <v>1</v>
      </c>
      <c r="E1740">
        <v>25732</v>
      </c>
      <c r="F1740">
        <f>messy_order_items_csv[[#This Row],[unit_price]]*messy_order_items_csv[[#This Row],[quantity]]</f>
        <v>25732</v>
      </c>
    </row>
    <row r="1741" spans="1:6" x14ac:dyDescent="0.3">
      <c r="A1741">
        <v>1740</v>
      </c>
      <c r="B1741" t="s">
        <v>1814</v>
      </c>
      <c r="C1741" t="s">
        <v>2230</v>
      </c>
      <c r="D1741">
        <v>2</v>
      </c>
      <c r="E1741">
        <v>84077</v>
      </c>
      <c r="F1741">
        <f>messy_order_items_csv[[#This Row],[unit_price]]*messy_order_items_csv[[#This Row],[quantity]]</f>
        <v>168154</v>
      </c>
    </row>
    <row r="1742" spans="1:6" x14ac:dyDescent="0.3">
      <c r="A1742">
        <v>1741</v>
      </c>
      <c r="B1742" t="s">
        <v>1082</v>
      </c>
      <c r="C1742" t="s">
        <v>2273</v>
      </c>
      <c r="D1742">
        <v>4</v>
      </c>
      <c r="E1742">
        <v>79272</v>
      </c>
      <c r="F1742">
        <f>messy_order_items_csv[[#This Row],[unit_price]]*messy_order_items_csv[[#This Row],[quantity]]</f>
        <v>317088</v>
      </c>
    </row>
    <row r="1743" spans="1:6" x14ac:dyDescent="0.3">
      <c r="A1743">
        <v>1742</v>
      </c>
      <c r="B1743" t="s">
        <v>1315</v>
      </c>
      <c r="C1743" t="s">
        <v>2230</v>
      </c>
      <c r="D1743">
        <v>4</v>
      </c>
      <c r="E1743">
        <v>31497</v>
      </c>
      <c r="F1743">
        <f>messy_order_items_csv[[#This Row],[unit_price]]*messy_order_items_csv[[#This Row],[quantity]]</f>
        <v>125988</v>
      </c>
    </row>
    <row r="1744" spans="1:6" x14ac:dyDescent="0.3">
      <c r="A1744">
        <v>1743</v>
      </c>
      <c r="B1744" t="s">
        <v>2110</v>
      </c>
      <c r="C1744" t="s">
        <v>2240</v>
      </c>
      <c r="D1744">
        <v>2</v>
      </c>
      <c r="E1744">
        <v>31497</v>
      </c>
      <c r="F1744">
        <f>messy_order_items_csv[[#This Row],[unit_price]]*messy_order_items_csv[[#This Row],[quantity]]</f>
        <v>62994</v>
      </c>
    </row>
    <row r="1745" spans="1:6" x14ac:dyDescent="0.3">
      <c r="A1745">
        <v>1744</v>
      </c>
      <c r="B1745" t="s">
        <v>1373</v>
      </c>
      <c r="C1745" t="s">
        <v>2208</v>
      </c>
      <c r="D1745">
        <v>2</v>
      </c>
      <c r="E1745">
        <v>14696</v>
      </c>
      <c r="F1745">
        <f>messy_order_items_csv[[#This Row],[unit_price]]*messy_order_items_csv[[#This Row],[quantity]]</f>
        <v>29392</v>
      </c>
    </row>
    <row r="1746" spans="1:6" x14ac:dyDescent="0.3">
      <c r="A1746">
        <v>1745</v>
      </c>
      <c r="B1746" t="s">
        <v>1856</v>
      </c>
      <c r="C1746" t="s">
        <v>2196</v>
      </c>
      <c r="D1746">
        <v>4</v>
      </c>
      <c r="E1746">
        <v>34089</v>
      </c>
      <c r="F1746">
        <f>messy_order_items_csv[[#This Row],[unit_price]]*messy_order_items_csv[[#This Row],[quantity]]</f>
        <v>136356</v>
      </c>
    </row>
    <row r="1747" spans="1:6" x14ac:dyDescent="0.3">
      <c r="A1747">
        <v>1746</v>
      </c>
      <c r="B1747" t="s">
        <v>1825</v>
      </c>
      <c r="C1747" t="s">
        <v>2228</v>
      </c>
      <c r="E1747">
        <v>53856</v>
      </c>
      <c r="F1747">
        <f>messy_order_items_csv[[#This Row],[unit_price]]*messy_order_items_csv[[#This Row],[quantity]]</f>
        <v>0</v>
      </c>
    </row>
    <row r="1748" spans="1:6" x14ac:dyDescent="0.3">
      <c r="A1748">
        <v>1747</v>
      </c>
      <c r="B1748" t="s">
        <v>1092</v>
      </c>
      <c r="C1748" t="s">
        <v>2209</v>
      </c>
      <c r="D1748">
        <v>4</v>
      </c>
      <c r="E1748">
        <v>13294</v>
      </c>
      <c r="F1748">
        <f>messy_order_items_csv[[#This Row],[unit_price]]*messy_order_items_csv[[#This Row],[quantity]]</f>
        <v>53176</v>
      </c>
    </row>
    <row r="1749" spans="1:6" x14ac:dyDescent="0.3">
      <c r="A1749">
        <v>1748</v>
      </c>
      <c r="B1749" t="s">
        <v>1441</v>
      </c>
      <c r="C1749" t="s">
        <v>2244</v>
      </c>
      <c r="D1749">
        <v>0</v>
      </c>
      <c r="E1749">
        <v>20997</v>
      </c>
      <c r="F1749">
        <f>messy_order_items_csv[[#This Row],[unit_price]]*messy_order_items_csv[[#This Row],[quantity]]</f>
        <v>0</v>
      </c>
    </row>
    <row r="1750" spans="1:6" x14ac:dyDescent="0.3">
      <c r="A1750">
        <v>1749</v>
      </c>
      <c r="B1750" t="s">
        <v>1853</v>
      </c>
      <c r="C1750" t="s">
        <v>2267</v>
      </c>
      <c r="D1750">
        <v>2</v>
      </c>
      <c r="E1750">
        <v>31497</v>
      </c>
      <c r="F1750">
        <f>messy_order_items_csv[[#This Row],[unit_price]]*messy_order_items_csv[[#This Row],[quantity]]</f>
        <v>62994</v>
      </c>
    </row>
    <row r="1751" spans="1:6" x14ac:dyDescent="0.3">
      <c r="A1751">
        <v>1750</v>
      </c>
      <c r="B1751" t="s">
        <v>1918</v>
      </c>
      <c r="C1751" t="s">
        <v>2267</v>
      </c>
      <c r="D1751">
        <v>1</v>
      </c>
      <c r="E1751">
        <v>23706</v>
      </c>
      <c r="F1751">
        <f>messy_order_items_csv[[#This Row],[unit_price]]*messy_order_items_csv[[#This Row],[quantity]]</f>
        <v>23706</v>
      </c>
    </row>
    <row r="1752" spans="1:6" x14ac:dyDescent="0.3">
      <c r="A1752">
        <v>1751</v>
      </c>
      <c r="B1752" t="s">
        <v>2181</v>
      </c>
      <c r="C1752" t="s">
        <v>2263</v>
      </c>
      <c r="D1752">
        <v>0</v>
      </c>
      <c r="E1752">
        <v>12394</v>
      </c>
      <c r="F1752">
        <f>messy_order_items_csv[[#This Row],[unit_price]]*messy_order_items_csv[[#This Row],[quantity]]</f>
        <v>0</v>
      </c>
    </row>
    <row r="1753" spans="1:6" x14ac:dyDescent="0.3">
      <c r="A1753">
        <v>1752</v>
      </c>
      <c r="B1753" t="s">
        <v>1625</v>
      </c>
      <c r="C1753" t="s">
        <v>2235</v>
      </c>
      <c r="D1753">
        <v>4</v>
      </c>
      <c r="E1753">
        <v>31497</v>
      </c>
      <c r="F1753">
        <f>messy_order_items_csv[[#This Row],[unit_price]]*messy_order_items_csv[[#This Row],[quantity]]</f>
        <v>125988</v>
      </c>
    </row>
    <row r="1754" spans="1:6" x14ac:dyDescent="0.3">
      <c r="A1754">
        <v>1753</v>
      </c>
      <c r="B1754" t="s">
        <v>1836</v>
      </c>
      <c r="C1754" t="s">
        <v>2269</v>
      </c>
      <c r="D1754">
        <v>2</v>
      </c>
      <c r="E1754">
        <v>82476</v>
      </c>
      <c r="F1754">
        <f>messy_order_items_csv[[#This Row],[unit_price]]*messy_order_items_csv[[#This Row],[quantity]]</f>
        <v>164952</v>
      </c>
    </row>
    <row r="1755" spans="1:6" x14ac:dyDescent="0.3">
      <c r="A1755">
        <v>1754</v>
      </c>
      <c r="B1755" t="s">
        <v>1655</v>
      </c>
      <c r="C1755" t="s">
        <v>2206</v>
      </c>
      <c r="D1755">
        <v>2</v>
      </c>
      <c r="E1755">
        <v>78596</v>
      </c>
      <c r="F1755">
        <f>messy_order_items_csv[[#This Row],[unit_price]]*messy_order_items_csv[[#This Row],[quantity]]</f>
        <v>157192</v>
      </c>
    </row>
    <row r="1756" spans="1:6" x14ac:dyDescent="0.3">
      <c r="A1756">
        <v>1755</v>
      </c>
      <c r="B1756" t="s">
        <v>1886</v>
      </c>
      <c r="C1756" t="s">
        <v>2254</v>
      </c>
      <c r="D1756">
        <v>3</v>
      </c>
      <c r="E1756">
        <v>56595</v>
      </c>
      <c r="F1756">
        <f>messy_order_items_csv[[#This Row],[unit_price]]*messy_order_items_csv[[#This Row],[quantity]]</f>
        <v>169785</v>
      </c>
    </row>
    <row r="1757" spans="1:6" x14ac:dyDescent="0.3">
      <c r="A1757">
        <v>1756</v>
      </c>
      <c r="B1757" t="s">
        <v>2151</v>
      </c>
      <c r="C1757" t="s">
        <v>2204</v>
      </c>
      <c r="D1757">
        <v>3</v>
      </c>
      <c r="E1757">
        <v>61496</v>
      </c>
      <c r="F1757">
        <f>messy_order_items_csv[[#This Row],[unit_price]]*messy_order_items_csv[[#This Row],[quantity]]</f>
        <v>184488</v>
      </c>
    </row>
    <row r="1758" spans="1:6" x14ac:dyDescent="0.3">
      <c r="A1758">
        <v>1757</v>
      </c>
      <c r="B1758" t="s">
        <v>1570</v>
      </c>
      <c r="C1758" t="s">
        <v>2249</v>
      </c>
      <c r="D1758">
        <v>4</v>
      </c>
      <c r="E1758">
        <v>54019</v>
      </c>
      <c r="F1758">
        <f>messy_order_items_csv[[#This Row],[unit_price]]*messy_order_items_csv[[#This Row],[quantity]]</f>
        <v>216076</v>
      </c>
    </row>
    <row r="1759" spans="1:6" x14ac:dyDescent="0.3">
      <c r="A1759">
        <v>1758</v>
      </c>
      <c r="B1759" t="s">
        <v>1929</v>
      </c>
      <c r="C1759" t="s">
        <v>2203</v>
      </c>
      <c r="D1759">
        <v>1</v>
      </c>
      <c r="E1759">
        <v>62680</v>
      </c>
      <c r="F1759">
        <f>messy_order_items_csv[[#This Row],[unit_price]]*messy_order_items_csv[[#This Row],[quantity]]</f>
        <v>62680</v>
      </c>
    </row>
    <row r="1760" spans="1:6" x14ac:dyDescent="0.3">
      <c r="A1760">
        <v>1759</v>
      </c>
      <c r="B1760" t="s">
        <v>1021</v>
      </c>
      <c r="C1760" t="s">
        <v>2232</v>
      </c>
      <c r="E1760">
        <v>31497</v>
      </c>
      <c r="F1760">
        <f>messy_order_items_csv[[#This Row],[unit_price]]*messy_order_items_csv[[#This Row],[quantity]]</f>
        <v>0</v>
      </c>
    </row>
    <row r="1761" spans="1:6" x14ac:dyDescent="0.3">
      <c r="A1761">
        <v>1760</v>
      </c>
      <c r="B1761" t="s">
        <v>1299</v>
      </c>
      <c r="C1761" t="s">
        <v>2272</v>
      </c>
      <c r="D1761">
        <v>0</v>
      </c>
      <c r="E1761">
        <v>68387</v>
      </c>
      <c r="F1761">
        <f>messy_order_items_csv[[#This Row],[unit_price]]*messy_order_items_csv[[#This Row],[quantity]]</f>
        <v>0</v>
      </c>
    </row>
    <row r="1762" spans="1:6" x14ac:dyDescent="0.3">
      <c r="A1762">
        <v>1761</v>
      </c>
      <c r="B1762" t="s">
        <v>2062</v>
      </c>
      <c r="C1762" t="s">
        <v>2202</v>
      </c>
      <c r="D1762">
        <v>0</v>
      </c>
      <c r="E1762">
        <v>81703</v>
      </c>
      <c r="F1762">
        <f>messy_order_items_csv[[#This Row],[unit_price]]*messy_order_items_csv[[#This Row],[quantity]]</f>
        <v>0</v>
      </c>
    </row>
    <row r="1763" spans="1:6" x14ac:dyDescent="0.3">
      <c r="A1763">
        <v>1762</v>
      </c>
      <c r="B1763" t="s">
        <v>1322</v>
      </c>
      <c r="C1763" t="s">
        <v>2234</v>
      </c>
      <c r="D1763">
        <v>2</v>
      </c>
      <c r="E1763">
        <v>2083</v>
      </c>
      <c r="F1763">
        <f>messy_order_items_csv[[#This Row],[unit_price]]*messy_order_items_csv[[#This Row],[quantity]]</f>
        <v>4166</v>
      </c>
    </row>
    <row r="1764" spans="1:6" x14ac:dyDescent="0.3">
      <c r="A1764">
        <v>1763</v>
      </c>
      <c r="B1764" t="s">
        <v>1977</v>
      </c>
      <c r="C1764" t="s">
        <v>2216</v>
      </c>
      <c r="D1764">
        <v>4</v>
      </c>
      <c r="E1764">
        <v>61995</v>
      </c>
      <c r="F1764">
        <f>messy_order_items_csv[[#This Row],[unit_price]]*messy_order_items_csv[[#This Row],[quantity]]</f>
        <v>247980</v>
      </c>
    </row>
    <row r="1765" spans="1:6" x14ac:dyDescent="0.3">
      <c r="A1765">
        <v>1764</v>
      </c>
      <c r="B1765" t="s">
        <v>2025</v>
      </c>
      <c r="C1765" t="s">
        <v>2236</v>
      </c>
      <c r="D1765">
        <v>2</v>
      </c>
      <c r="E1765">
        <v>9582</v>
      </c>
      <c r="F1765">
        <f>messy_order_items_csv[[#This Row],[unit_price]]*messy_order_items_csv[[#This Row],[quantity]]</f>
        <v>19164</v>
      </c>
    </row>
    <row r="1766" spans="1:6" x14ac:dyDescent="0.3">
      <c r="A1766">
        <v>1765</v>
      </c>
      <c r="B1766" t="s">
        <v>1861</v>
      </c>
      <c r="C1766" t="s">
        <v>2205</v>
      </c>
      <c r="D1766">
        <v>3</v>
      </c>
      <c r="E1766">
        <v>53417</v>
      </c>
      <c r="F1766">
        <f>messy_order_items_csv[[#This Row],[unit_price]]*messy_order_items_csv[[#This Row],[quantity]]</f>
        <v>160251</v>
      </c>
    </row>
    <row r="1767" spans="1:6" x14ac:dyDescent="0.3">
      <c r="A1767">
        <v>1766</v>
      </c>
      <c r="B1767" t="s">
        <v>1505</v>
      </c>
      <c r="C1767" t="s">
        <v>2242</v>
      </c>
      <c r="D1767">
        <v>1</v>
      </c>
      <c r="E1767">
        <v>18241</v>
      </c>
      <c r="F1767">
        <f>messy_order_items_csv[[#This Row],[unit_price]]*messy_order_items_csv[[#This Row],[quantity]]</f>
        <v>18241</v>
      </c>
    </row>
    <row r="1768" spans="1:6" x14ac:dyDescent="0.3">
      <c r="A1768">
        <v>1767</v>
      </c>
      <c r="B1768" t="s">
        <v>1810</v>
      </c>
      <c r="C1768" t="s">
        <v>2270</v>
      </c>
      <c r="D1768">
        <v>4</v>
      </c>
      <c r="E1768">
        <v>35319</v>
      </c>
      <c r="F1768">
        <f>messy_order_items_csv[[#This Row],[unit_price]]*messy_order_items_csv[[#This Row],[quantity]]</f>
        <v>141276</v>
      </c>
    </row>
    <row r="1769" spans="1:6" x14ac:dyDescent="0.3">
      <c r="A1769">
        <v>1768</v>
      </c>
      <c r="B1769" t="s">
        <v>1570</v>
      </c>
      <c r="C1769" t="s">
        <v>2203</v>
      </c>
      <c r="D1769">
        <v>3</v>
      </c>
      <c r="E1769">
        <v>76755</v>
      </c>
      <c r="F1769">
        <f>messy_order_items_csv[[#This Row],[unit_price]]*messy_order_items_csv[[#This Row],[quantity]]</f>
        <v>230265</v>
      </c>
    </row>
    <row r="1770" spans="1:6" x14ac:dyDescent="0.3">
      <c r="A1770">
        <v>1769</v>
      </c>
      <c r="B1770" t="s">
        <v>1480</v>
      </c>
      <c r="C1770" t="s">
        <v>2196</v>
      </c>
      <c r="E1770">
        <v>24011</v>
      </c>
      <c r="F1770">
        <f>messy_order_items_csv[[#This Row],[unit_price]]*messy_order_items_csv[[#This Row],[quantity]]</f>
        <v>0</v>
      </c>
    </row>
    <row r="1771" spans="1:6" x14ac:dyDescent="0.3">
      <c r="A1771">
        <v>1770</v>
      </c>
      <c r="B1771" t="s">
        <v>1108</v>
      </c>
      <c r="C1771" t="s">
        <v>2253</v>
      </c>
      <c r="D1771">
        <v>1</v>
      </c>
      <c r="E1771">
        <v>69520</v>
      </c>
      <c r="F1771">
        <f>messy_order_items_csv[[#This Row],[unit_price]]*messy_order_items_csv[[#This Row],[quantity]]</f>
        <v>69520</v>
      </c>
    </row>
    <row r="1772" spans="1:6" x14ac:dyDescent="0.3">
      <c r="A1772">
        <v>1771</v>
      </c>
      <c r="B1772" t="s">
        <v>1118</v>
      </c>
      <c r="C1772" t="s">
        <v>2258</v>
      </c>
      <c r="D1772">
        <v>3</v>
      </c>
      <c r="E1772">
        <v>51735</v>
      </c>
      <c r="F1772">
        <f>messy_order_items_csv[[#This Row],[unit_price]]*messy_order_items_csv[[#This Row],[quantity]]</f>
        <v>155205</v>
      </c>
    </row>
    <row r="1773" spans="1:6" x14ac:dyDescent="0.3">
      <c r="A1773">
        <v>1772</v>
      </c>
      <c r="B1773" t="s">
        <v>1890</v>
      </c>
      <c r="C1773" t="s">
        <v>2269</v>
      </c>
      <c r="D1773">
        <v>0</v>
      </c>
      <c r="E1773">
        <v>41597</v>
      </c>
      <c r="F1773">
        <f>messy_order_items_csv[[#This Row],[unit_price]]*messy_order_items_csv[[#This Row],[quantity]]</f>
        <v>0</v>
      </c>
    </row>
    <row r="1774" spans="1:6" x14ac:dyDescent="0.3">
      <c r="A1774">
        <v>1773</v>
      </c>
      <c r="B1774" t="s">
        <v>1298</v>
      </c>
      <c r="C1774" t="s">
        <v>2247</v>
      </c>
      <c r="D1774">
        <v>0</v>
      </c>
      <c r="E1774">
        <v>16859</v>
      </c>
      <c r="F1774">
        <f>messy_order_items_csv[[#This Row],[unit_price]]*messy_order_items_csv[[#This Row],[quantity]]</f>
        <v>0</v>
      </c>
    </row>
    <row r="1775" spans="1:6" x14ac:dyDescent="0.3">
      <c r="A1775">
        <v>1774</v>
      </c>
      <c r="B1775" t="s">
        <v>1576</v>
      </c>
      <c r="C1775" t="s">
        <v>2241</v>
      </c>
      <c r="D1775">
        <v>4</v>
      </c>
      <c r="E1775">
        <v>69259</v>
      </c>
      <c r="F1775">
        <f>messy_order_items_csv[[#This Row],[unit_price]]*messy_order_items_csv[[#This Row],[quantity]]</f>
        <v>277036</v>
      </c>
    </row>
    <row r="1776" spans="1:6" x14ac:dyDescent="0.3">
      <c r="A1776">
        <v>1775</v>
      </c>
      <c r="B1776" t="s">
        <v>1886</v>
      </c>
      <c r="C1776" t="s">
        <v>2217</v>
      </c>
      <c r="D1776">
        <v>3</v>
      </c>
      <c r="E1776">
        <v>40678</v>
      </c>
      <c r="F1776">
        <f>messy_order_items_csv[[#This Row],[unit_price]]*messy_order_items_csv[[#This Row],[quantity]]</f>
        <v>122034</v>
      </c>
    </row>
    <row r="1777" spans="1:6" x14ac:dyDescent="0.3">
      <c r="A1777">
        <v>1776</v>
      </c>
      <c r="B1777" t="s">
        <v>1328</v>
      </c>
      <c r="C1777" t="s">
        <v>2238</v>
      </c>
      <c r="D1777">
        <v>2</v>
      </c>
      <c r="E1777">
        <v>40862</v>
      </c>
      <c r="F1777">
        <f>messy_order_items_csv[[#This Row],[unit_price]]*messy_order_items_csv[[#This Row],[quantity]]</f>
        <v>81724</v>
      </c>
    </row>
    <row r="1778" spans="1:6" x14ac:dyDescent="0.3">
      <c r="A1778">
        <v>1777</v>
      </c>
      <c r="B1778" t="s">
        <v>1738</v>
      </c>
      <c r="C1778" t="s">
        <v>2237</v>
      </c>
      <c r="D1778">
        <v>0</v>
      </c>
      <c r="E1778">
        <v>61022</v>
      </c>
      <c r="F1778">
        <f>messy_order_items_csv[[#This Row],[unit_price]]*messy_order_items_csv[[#This Row],[quantity]]</f>
        <v>0</v>
      </c>
    </row>
    <row r="1779" spans="1:6" x14ac:dyDescent="0.3">
      <c r="A1779">
        <v>1778</v>
      </c>
      <c r="B1779" t="s">
        <v>1581</v>
      </c>
      <c r="C1779" t="s">
        <v>2225</v>
      </c>
      <c r="E1779">
        <v>21522</v>
      </c>
      <c r="F1779">
        <f>messy_order_items_csv[[#This Row],[unit_price]]*messy_order_items_csv[[#This Row],[quantity]]</f>
        <v>0</v>
      </c>
    </row>
    <row r="1780" spans="1:6" x14ac:dyDescent="0.3">
      <c r="A1780">
        <v>1779</v>
      </c>
      <c r="B1780" t="s">
        <v>1030</v>
      </c>
      <c r="C1780" t="s">
        <v>2235</v>
      </c>
      <c r="E1780">
        <v>31497</v>
      </c>
      <c r="F1780">
        <f>messy_order_items_csv[[#This Row],[unit_price]]*messy_order_items_csv[[#This Row],[quantity]]</f>
        <v>0</v>
      </c>
    </row>
    <row r="1781" spans="1:6" x14ac:dyDescent="0.3">
      <c r="A1781">
        <v>1780</v>
      </c>
      <c r="B1781" t="s">
        <v>1785</v>
      </c>
      <c r="C1781" t="s">
        <v>2268</v>
      </c>
      <c r="D1781">
        <v>4</v>
      </c>
      <c r="E1781">
        <v>28151</v>
      </c>
      <c r="F1781">
        <f>messy_order_items_csv[[#This Row],[unit_price]]*messy_order_items_csv[[#This Row],[quantity]]</f>
        <v>112604</v>
      </c>
    </row>
    <row r="1782" spans="1:6" x14ac:dyDescent="0.3">
      <c r="A1782">
        <v>1781</v>
      </c>
      <c r="B1782" t="s">
        <v>1643</v>
      </c>
      <c r="C1782" t="s">
        <v>2201</v>
      </c>
      <c r="D1782">
        <v>0</v>
      </c>
      <c r="E1782">
        <v>31497</v>
      </c>
      <c r="F1782">
        <f>messy_order_items_csv[[#This Row],[unit_price]]*messy_order_items_csv[[#This Row],[quantity]]</f>
        <v>0</v>
      </c>
    </row>
    <row r="1783" spans="1:6" x14ac:dyDescent="0.3">
      <c r="A1783">
        <v>1782</v>
      </c>
      <c r="B1783" t="s">
        <v>1216</v>
      </c>
      <c r="C1783" t="s">
        <v>2198</v>
      </c>
      <c r="D1783">
        <v>3</v>
      </c>
      <c r="E1783">
        <v>31497</v>
      </c>
      <c r="F1783">
        <f>messy_order_items_csv[[#This Row],[unit_price]]*messy_order_items_csv[[#This Row],[quantity]]</f>
        <v>94491</v>
      </c>
    </row>
    <row r="1784" spans="1:6" x14ac:dyDescent="0.3">
      <c r="A1784">
        <v>1783</v>
      </c>
      <c r="B1784" t="s">
        <v>1891</v>
      </c>
      <c r="C1784" t="s">
        <v>2261</v>
      </c>
      <c r="D1784">
        <v>1</v>
      </c>
      <c r="E1784">
        <v>17288</v>
      </c>
      <c r="F1784">
        <f>messy_order_items_csv[[#This Row],[unit_price]]*messy_order_items_csv[[#This Row],[quantity]]</f>
        <v>17288</v>
      </c>
    </row>
    <row r="1785" spans="1:6" x14ac:dyDescent="0.3">
      <c r="A1785">
        <v>1784</v>
      </c>
      <c r="B1785" t="s">
        <v>1182</v>
      </c>
      <c r="C1785" t="s">
        <v>2254</v>
      </c>
      <c r="D1785">
        <v>0</v>
      </c>
      <c r="E1785">
        <v>10414</v>
      </c>
      <c r="F1785">
        <f>messy_order_items_csv[[#This Row],[unit_price]]*messy_order_items_csv[[#This Row],[quantity]]</f>
        <v>0</v>
      </c>
    </row>
    <row r="1786" spans="1:6" x14ac:dyDescent="0.3">
      <c r="A1786">
        <v>1785</v>
      </c>
      <c r="B1786" t="s">
        <v>1773</v>
      </c>
      <c r="C1786" t="s">
        <v>2243</v>
      </c>
      <c r="D1786">
        <v>2</v>
      </c>
      <c r="E1786">
        <v>31497</v>
      </c>
      <c r="F1786">
        <f>messy_order_items_csv[[#This Row],[unit_price]]*messy_order_items_csv[[#This Row],[quantity]]</f>
        <v>62994</v>
      </c>
    </row>
    <row r="1787" spans="1:6" x14ac:dyDescent="0.3">
      <c r="A1787">
        <v>1786</v>
      </c>
      <c r="B1787" t="s">
        <v>1680</v>
      </c>
      <c r="C1787" t="s">
        <v>2256</v>
      </c>
      <c r="E1787">
        <v>31497</v>
      </c>
      <c r="F1787">
        <f>messy_order_items_csv[[#This Row],[unit_price]]*messy_order_items_csv[[#This Row],[quantity]]</f>
        <v>0</v>
      </c>
    </row>
    <row r="1788" spans="1:6" x14ac:dyDescent="0.3">
      <c r="A1788">
        <v>1787</v>
      </c>
      <c r="B1788" t="s">
        <v>998</v>
      </c>
      <c r="C1788" t="s">
        <v>2208</v>
      </c>
      <c r="D1788">
        <v>2</v>
      </c>
      <c r="E1788">
        <v>31497</v>
      </c>
      <c r="F1788">
        <f>messy_order_items_csv[[#This Row],[unit_price]]*messy_order_items_csv[[#This Row],[quantity]]</f>
        <v>62994</v>
      </c>
    </row>
    <row r="1789" spans="1:6" x14ac:dyDescent="0.3">
      <c r="A1789">
        <v>1788</v>
      </c>
      <c r="B1789" t="s">
        <v>1802</v>
      </c>
      <c r="C1789" t="s">
        <v>2232</v>
      </c>
      <c r="D1789">
        <v>3</v>
      </c>
      <c r="E1789">
        <v>60117</v>
      </c>
      <c r="F1789">
        <f>messy_order_items_csv[[#This Row],[unit_price]]*messy_order_items_csv[[#This Row],[quantity]]</f>
        <v>180351</v>
      </c>
    </row>
    <row r="1790" spans="1:6" x14ac:dyDescent="0.3">
      <c r="A1790">
        <v>1789</v>
      </c>
      <c r="B1790" t="s">
        <v>1767</v>
      </c>
      <c r="C1790" t="s">
        <v>2228</v>
      </c>
      <c r="D1790">
        <v>3</v>
      </c>
      <c r="E1790">
        <v>59514</v>
      </c>
      <c r="F1790">
        <f>messy_order_items_csv[[#This Row],[unit_price]]*messy_order_items_csv[[#This Row],[quantity]]</f>
        <v>178542</v>
      </c>
    </row>
    <row r="1791" spans="1:6" x14ac:dyDescent="0.3">
      <c r="A1791">
        <v>1790</v>
      </c>
      <c r="B1791" t="s">
        <v>1727</v>
      </c>
      <c r="C1791" t="s">
        <v>2223</v>
      </c>
      <c r="D1791">
        <v>1</v>
      </c>
      <c r="E1791">
        <v>49753</v>
      </c>
      <c r="F1791">
        <f>messy_order_items_csv[[#This Row],[unit_price]]*messy_order_items_csv[[#This Row],[quantity]]</f>
        <v>49753</v>
      </c>
    </row>
    <row r="1792" spans="1:6" x14ac:dyDescent="0.3">
      <c r="A1792">
        <v>1791</v>
      </c>
      <c r="B1792" t="s">
        <v>1100</v>
      </c>
      <c r="C1792" t="s">
        <v>2247</v>
      </c>
      <c r="D1792">
        <v>1</v>
      </c>
      <c r="E1792">
        <v>31497</v>
      </c>
      <c r="F1792">
        <f>messy_order_items_csv[[#This Row],[unit_price]]*messy_order_items_csv[[#This Row],[quantity]]</f>
        <v>31497</v>
      </c>
    </row>
    <row r="1793" spans="1:6" x14ac:dyDescent="0.3">
      <c r="A1793">
        <v>1792</v>
      </c>
      <c r="B1793" t="s">
        <v>1671</v>
      </c>
      <c r="C1793" t="s">
        <v>2246</v>
      </c>
      <c r="D1793">
        <v>1</v>
      </c>
      <c r="E1793">
        <v>2571</v>
      </c>
      <c r="F1793">
        <f>messy_order_items_csv[[#This Row],[unit_price]]*messy_order_items_csv[[#This Row],[quantity]]</f>
        <v>2571</v>
      </c>
    </row>
    <row r="1794" spans="1:6" x14ac:dyDescent="0.3">
      <c r="A1794">
        <v>1793</v>
      </c>
      <c r="B1794" t="s">
        <v>1321</v>
      </c>
      <c r="C1794" t="s">
        <v>2236</v>
      </c>
      <c r="D1794">
        <v>1</v>
      </c>
      <c r="E1794">
        <v>38474</v>
      </c>
      <c r="F1794">
        <f>messy_order_items_csv[[#This Row],[unit_price]]*messy_order_items_csv[[#This Row],[quantity]]</f>
        <v>38474</v>
      </c>
    </row>
    <row r="1795" spans="1:6" x14ac:dyDescent="0.3">
      <c r="A1795">
        <v>1794</v>
      </c>
      <c r="B1795" t="s">
        <v>1168</v>
      </c>
      <c r="C1795" t="s">
        <v>2223</v>
      </c>
      <c r="D1795">
        <v>3</v>
      </c>
      <c r="E1795">
        <v>38468</v>
      </c>
      <c r="F1795">
        <f>messy_order_items_csv[[#This Row],[unit_price]]*messy_order_items_csv[[#This Row],[quantity]]</f>
        <v>115404</v>
      </c>
    </row>
    <row r="1796" spans="1:6" x14ac:dyDescent="0.3">
      <c r="A1796">
        <v>1795</v>
      </c>
      <c r="B1796" t="s">
        <v>2171</v>
      </c>
      <c r="C1796" t="s">
        <v>2235</v>
      </c>
      <c r="D1796">
        <v>2</v>
      </c>
      <c r="E1796">
        <v>77000</v>
      </c>
      <c r="F1796">
        <f>messy_order_items_csv[[#This Row],[unit_price]]*messy_order_items_csv[[#This Row],[quantity]]</f>
        <v>154000</v>
      </c>
    </row>
    <row r="1797" spans="1:6" x14ac:dyDescent="0.3">
      <c r="A1797">
        <v>1796</v>
      </c>
      <c r="B1797" t="s">
        <v>1034</v>
      </c>
      <c r="C1797" t="s">
        <v>2220</v>
      </c>
      <c r="E1797">
        <v>5475</v>
      </c>
      <c r="F1797">
        <f>messy_order_items_csv[[#This Row],[unit_price]]*messy_order_items_csv[[#This Row],[quantity]]</f>
        <v>0</v>
      </c>
    </row>
    <row r="1798" spans="1:6" x14ac:dyDescent="0.3">
      <c r="A1798">
        <v>1797</v>
      </c>
      <c r="B1798" t="s">
        <v>1550</v>
      </c>
      <c r="C1798" t="s">
        <v>2228</v>
      </c>
      <c r="E1798">
        <v>59514</v>
      </c>
      <c r="F1798">
        <f>messy_order_items_csv[[#This Row],[unit_price]]*messy_order_items_csv[[#This Row],[quantity]]</f>
        <v>0</v>
      </c>
    </row>
    <row r="1799" spans="1:6" x14ac:dyDescent="0.3">
      <c r="A1799">
        <v>1798</v>
      </c>
      <c r="B1799" t="s">
        <v>1334</v>
      </c>
      <c r="C1799" t="s">
        <v>2214</v>
      </c>
      <c r="D1799">
        <v>4</v>
      </c>
      <c r="E1799">
        <v>1675</v>
      </c>
      <c r="F1799">
        <f>messy_order_items_csv[[#This Row],[unit_price]]*messy_order_items_csv[[#This Row],[quantity]]</f>
        <v>6700</v>
      </c>
    </row>
    <row r="1800" spans="1:6" x14ac:dyDescent="0.3">
      <c r="A1800">
        <v>1799</v>
      </c>
      <c r="B1800" t="s">
        <v>1161</v>
      </c>
      <c r="C1800" t="s">
        <v>2207</v>
      </c>
      <c r="D1800">
        <v>2</v>
      </c>
      <c r="E1800">
        <v>31497</v>
      </c>
      <c r="F1800">
        <f>messy_order_items_csv[[#This Row],[unit_price]]*messy_order_items_csv[[#This Row],[quantity]]</f>
        <v>62994</v>
      </c>
    </row>
    <row r="1801" spans="1:6" x14ac:dyDescent="0.3">
      <c r="A1801">
        <v>1800</v>
      </c>
      <c r="B1801" t="s">
        <v>1773</v>
      </c>
      <c r="C1801" t="s">
        <v>2242</v>
      </c>
      <c r="E1801">
        <v>57633</v>
      </c>
      <c r="F1801">
        <f>messy_order_items_csv[[#This Row],[unit_price]]*messy_order_items_csv[[#This Row],[quantity]]</f>
        <v>0</v>
      </c>
    </row>
    <row r="1802" spans="1:6" x14ac:dyDescent="0.3">
      <c r="A1802">
        <v>1801</v>
      </c>
      <c r="B1802" t="s">
        <v>2045</v>
      </c>
      <c r="C1802" t="s">
        <v>2210</v>
      </c>
      <c r="D1802">
        <v>3</v>
      </c>
      <c r="E1802">
        <v>67599</v>
      </c>
      <c r="F1802">
        <f>messy_order_items_csv[[#This Row],[unit_price]]*messy_order_items_csv[[#This Row],[quantity]]</f>
        <v>202797</v>
      </c>
    </row>
    <row r="1803" spans="1:6" x14ac:dyDescent="0.3">
      <c r="A1803">
        <v>1802</v>
      </c>
      <c r="B1803" t="s">
        <v>1526</v>
      </c>
      <c r="C1803" t="s">
        <v>2250</v>
      </c>
      <c r="E1803">
        <v>51763</v>
      </c>
      <c r="F1803">
        <f>messy_order_items_csv[[#This Row],[unit_price]]*messy_order_items_csv[[#This Row],[quantity]]</f>
        <v>0</v>
      </c>
    </row>
    <row r="1804" spans="1:6" x14ac:dyDescent="0.3">
      <c r="A1804">
        <v>1803</v>
      </c>
      <c r="B1804" t="s">
        <v>1804</v>
      </c>
      <c r="C1804" t="s">
        <v>2230</v>
      </c>
      <c r="E1804">
        <v>59615</v>
      </c>
      <c r="F1804">
        <f>messy_order_items_csv[[#This Row],[unit_price]]*messy_order_items_csv[[#This Row],[quantity]]</f>
        <v>0</v>
      </c>
    </row>
    <row r="1805" spans="1:6" x14ac:dyDescent="0.3">
      <c r="A1805">
        <v>1804</v>
      </c>
      <c r="B1805" t="s">
        <v>1452</v>
      </c>
      <c r="C1805" t="s">
        <v>2260</v>
      </c>
      <c r="D1805">
        <v>4</v>
      </c>
      <c r="E1805">
        <v>31497</v>
      </c>
      <c r="F1805">
        <f>messy_order_items_csv[[#This Row],[unit_price]]*messy_order_items_csv[[#This Row],[quantity]]</f>
        <v>125988</v>
      </c>
    </row>
    <row r="1806" spans="1:6" x14ac:dyDescent="0.3">
      <c r="A1806">
        <v>1805</v>
      </c>
      <c r="B1806" t="s">
        <v>1967</v>
      </c>
      <c r="C1806" t="s">
        <v>2269</v>
      </c>
      <c r="D1806">
        <v>0</v>
      </c>
      <c r="E1806">
        <v>41597</v>
      </c>
      <c r="F1806">
        <f>messy_order_items_csv[[#This Row],[unit_price]]*messy_order_items_csv[[#This Row],[quantity]]</f>
        <v>0</v>
      </c>
    </row>
    <row r="1807" spans="1:6" x14ac:dyDescent="0.3">
      <c r="A1807">
        <v>1806</v>
      </c>
      <c r="B1807" t="s">
        <v>1838</v>
      </c>
      <c r="C1807" t="s">
        <v>2241</v>
      </c>
      <c r="D1807">
        <v>2</v>
      </c>
      <c r="E1807">
        <v>11798</v>
      </c>
      <c r="F1807">
        <f>messy_order_items_csv[[#This Row],[unit_price]]*messy_order_items_csv[[#This Row],[quantity]]</f>
        <v>23596</v>
      </c>
    </row>
    <row r="1808" spans="1:6" x14ac:dyDescent="0.3">
      <c r="A1808">
        <v>1807</v>
      </c>
      <c r="B1808" t="s">
        <v>1899</v>
      </c>
      <c r="C1808" t="s">
        <v>2204</v>
      </c>
      <c r="D1808">
        <v>1</v>
      </c>
      <c r="E1808">
        <v>31497</v>
      </c>
      <c r="F1808">
        <f>messy_order_items_csv[[#This Row],[unit_price]]*messy_order_items_csv[[#This Row],[quantity]]</f>
        <v>31497</v>
      </c>
    </row>
    <row r="1809" spans="1:6" x14ac:dyDescent="0.3">
      <c r="A1809">
        <v>1808</v>
      </c>
      <c r="B1809" t="s">
        <v>1131</v>
      </c>
      <c r="C1809" t="s">
        <v>2209</v>
      </c>
      <c r="D1809">
        <v>4</v>
      </c>
      <c r="E1809">
        <v>80615</v>
      </c>
      <c r="F1809">
        <f>messy_order_items_csv[[#This Row],[unit_price]]*messy_order_items_csv[[#This Row],[quantity]]</f>
        <v>322460</v>
      </c>
    </row>
    <row r="1810" spans="1:6" x14ac:dyDescent="0.3">
      <c r="A1810">
        <v>1809</v>
      </c>
      <c r="B1810" t="s">
        <v>1305</v>
      </c>
      <c r="C1810" t="s">
        <v>2245</v>
      </c>
      <c r="D1810">
        <v>2</v>
      </c>
      <c r="E1810">
        <v>12662</v>
      </c>
      <c r="F1810">
        <f>messy_order_items_csv[[#This Row],[unit_price]]*messy_order_items_csv[[#This Row],[quantity]]</f>
        <v>25324</v>
      </c>
    </row>
    <row r="1811" spans="1:6" x14ac:dyDescent="0.3">
      <c r="A1811">
        <v>1810</v>
      </c>
      <c r="B1811" t="s">
        <v>1869</v>
      </c>
      <c r="C1811" t="s">
        <v>2206</v>
      </c>
      <c r="D1811">
        <v>0</v>
      </c>
      <c r="E1811">
        <v>15249</v>
      </c>
      <c r="F1811">
        <f>messy_order_items_csv[[#This Row],[unit_price]]*messy_order_items_csv[[#This Row],[quantity]]</f>
        <v>0</v>
      </c>
    </row>
    <row r="1812" spans="1:6" x14ac:dyDescent="0.3">
      <c r="A1812">
        <v>1811</v>
      </c>
      <c r="B1812" t="s">
        <v>1002</v>
      </c>
      <c r="C1812" t="s">
        <v>2219</v>
      </c>
      <c r="D1812">
        <v>2</v>
      </c>
      <c r="E1812">
        <v>31497</v>
      </c>
      <c r="F1812">
        <f>messy_order_items_csv[[#This Row],[unit_price]]*messy_order_items_csv[[#This Row],[quantity]]</f>
        <v>62994</v>
      </c>
    </row>
    <row r="1813" spans="1:6" x14ac:dyDescent="0.3">
      <c r="A1813">
        <v>1812</v>
      </c>
      <c r="B1813" t="s">
        <v>1034</v>
      </c>
      <c r="C1813" t="s">
        <v>2250</v>
      </c>
      <c r="D1813">
        <v>1</v>
      </c>
      <c r="E1813">
        <v>31497</v>
      </c>
      <c r="F1813">
        <f>messy_order_items_csv[[#This Row],[unit_price]]*messy_order_items_csv[[#This Row],[quantity]]</f>
        <v>31497</v>
      </c>
    </row>
    <row r="1814" spans="1:6" x14ac:dyDescent="0.3">
      <c r="A1814">
        <v>1813</v>
      </c>
      <c r="B1814" t="s">
        <v>1841</v>
      </c>
      <c r="C1814" t="s">
        <v>2238</v>
      </c>
      <c r="D1814">
        <v>3</v>
      </c>
      <c r="E1814">
        <v>77306</v>
      </c>
      <c r="F1814">
        <f>messy_order_items_csv[[#This Row],[unit_price]]*messy_order_items_csv[[#This Row],[quantity]]</f>
        <v>231918</v>
      </c>
    </row>
    <row r="1815" spans="1:6" x14ac:dyDescent="0.3">
      <c r="A1815">
        <v>1814</v>
      </c>
      <c r="B1815" t="s">
        <v>1565</v>
      </c>
      <c r="C1815" t="s">
        <v>2211</v>
      </c>
      <c r="D1815">
        <v>0</v>
      </c>
      <c r="E1815">
        <v>80491</v>
      </c>
      <c r="F1815">
        <f>messy_order_items_csv[[#This Row],[unit_price]]*messy_order_items_csv[[#This Row],[quantity]]</f>
        <v>0</v>
      </c>
    </row>
    <row r="1816" spans="1:6" x14ac:dyDescent="0.3">
      <c r="A1816">
        <v>1815</v>
      </c>
      <c r="B1816" t="s">
        <v>1207</v>
      </c>
      <c r="C1816" t="s">
        <v>2240</v>
      </c>
      <c r="D1816">
        <v>1</v>
      </c>
      <c r="E1816">
        <v>31497</v>
      </c>
      <c r="F1816">
        <f>messy_order_items_csv[[#This Row],[unit_price]]*messy_order_items_csv[[#This Row],[quantity]]</f>
        <v>31497</v>
      </c>
    </row>
    <row r="1817" spans="1:6" x14ac:dyDescent="0.3">
      <c r="A1817">
        <v>1816</v>
      </c>
      <c r="B1817" t="s">
        <v>1127</v>
      </c>
      <c r="C1817" t="s">
        <v>2244</v>
      </c>
      <c r="D1817">
        <v>4</v>
      </c>
      <c r="E1817">
        <v>79181</v>
      </c>
      <c r="F1817">
        <f>messy_order_items_csv[[#This Row],[unit_price]]*messy_order_items_csv[[#This Row],[quantity]]</f>
        <v>316724</v>
      </c>
    </row>
    <row r="1818" spans="1:6" x14ac:dyDescent="0.3">
      <c r="A1818">
        <v>1817</v>
      </c>
      <c r="B1818" t="s">
        <v>1511</v>
      </c>
      <c r="C1818" t="s">
        <v>2225</v>
      </c>
      <c r="D1818">
        <v>0</v>
      </c>
      <c r="E1818">
        <v>31560</v>
      </c>
      <c r="F1818">
        <f>messy_order_items_csv[[#This Row],[unit_price]]*messy_order_items_csv[[#This Row],[quantity]]</f>
        <v>0</v>
      </c>
    </row>
    <row r="1819" spans="1:6" x14ac:dyDescent="0.3">
      <c r="A1819">
        <v>1818</v>
      </c>
      <c r="B1819" t="s">
        <v>1247</v>
      </c>
      <c r="C1819" t="s">
        <v>2224</v>
      </c>
      <c r="E1819">
        <v>57252</v>
      </c>
      <c r="F1819">
        <f>messy_order_items_csv[[#This Row],[unit_price]]*messy_order_items_csv[[#This Row],[quantity]]</f>
        <v>0</v>
      </c>
    </row>
    <row r="1820" spans="1:6" x14ac:dyDescent="0.3">
      <c r="A1820">
        <v>1819</v>
      </c>
      <c r="B1820" t="s">
        <v>1863</v>
      </c>
      <c r="C1820" t="s">
        <v>2197</v>
      </c>
      <c r="D1820">
        <v>0</v>
      </c>
      <c r="E1820">
        <v>20482</v>
      </c>
      <c r="F1820">
        <f>messy_order_items_csv[[#This Row],[unit_price]]*messy_order_items_csv[[#This Row],[quantity]]</f>
        <v>0</v>
      </c>
    </row>
    <row r="1821" spans="1:6" x14ac:dyDescent="0.3">
      <c r="A1821">
        <v>1820</v>
      </c>
      <c r="B1821" t="s">
        <v>1858</v>
      </c>
      <c r="C1821" t="s">
        <v>2244</v>
      </c>
      <c r="D1821">
        <v>2</v>
      </c>
      <c r="E1821">
        <v>34307</v>
      </c>
      <c r="F1821">
        <f>messy_order_items_csv[[#This Row],[unit_price]]*messy_order_items_csv[[#This Row],[quantity]]</f>
        <v>68614</v>
      </c>
    </row>
    <row r="1822" spans="1:6" x14ac:dyDescent="0.3">
      <c r="A1822">
        <v>1821</v>
      </c>
      <c r="B1822" t="s">
        <v>1118</v>
      </c>
      <c r="C1822" t="s">
        <v>2196</v>
      </c>
      <c r="D1822">
        <v>1</v>
      </c>
      <c r="E1822">
        <v>19399</v>
      </c>
      <c r="F1822">
        <f>messy_order_items_csv[[#This Row],[unit_price]]*messy_order_items_csv[[#This Row],[quantity]]</f>
        <v>19399</v>
      </c>
    </row>
    <row r="1823" spans="1:6" x14ac:dyDescent="0.3">
      <c r="A1823">
        <v>1822</v>
      </c>
      <c r="B1823" t="s">
        <v>1775</v>
      </c>
      <c r="C1823" t="s">
        <v>2271</v>
      </c>
      <c r="D1823">
        <v>2</v>
      </c>
      <c r="E1823">
        <v>21949</v>
      </c>
      <c r="F1823">
        <f>messy_order_items_csv[[#This Row],[unit_price]]*messy_order_items_csv[[#This Row],[quantity]]</f>
        <v>43898</v>
      </c>
    </row>
    <row r="1824" spans="1:6" x14ac:dyDescent="0.3">
      <c r="A1824">
        <v>1823</v>
      </c>
      <c r="B1824" t="s">
        <v>1660</v>
      </c>
      <c r="C1824" t="s">
        <v>2230</v>
      </c>
      <c r="D1824">
        <v>3</v>
      </c>
      <c r="E1824">
        <v>31497</v>
      </c>
      <c r="F1824">
        <f>messy_order_items_csv[[#This Row],[unit_price]]*messy_order_items_csv[[#This Row],[quantity]]</f>
        <v>94491</v>
      </c>
    </row>
    <row r="1825" spans="1:6" x14ac:dyDescent="0.3">
      <c r="A1825">
        <v>1824</v>
      </c>
      <c r="B1825" t="s">
        <v>1603</v>
      </c>
      <c r="C1825" t="s">
        <v>2243</v>
      </c>
      <c r="E1825">
        <v>31497</v>
      </c>
      <c r="F1825">
        <f>messy_order_items_csv[[#This Row],[unit_price]]*messy_order_items_csv[[#This Row],[quantity]]</f>
        <v>0</v>
      </c>
    </row>
    <row r="1826" spans="1:6" x14ac:dyDescent="0.3">
      <c r="A1826">
        <v>1825</v>
      </c>
      <c r="B1826" t="s">
        <v>998</v>
      </c>
      <c r="C1826" t="s">
        <v>2217</v>
      </c>
      <c r="D1826">
        <v>0</v>
      </c>
      <c r="E1826">
        <v>44051</v>
      </c>
      <c r="F1826">
        <f>messy_order_items_csv[[#This Row],[unit_price]]*messy_order_items_csv[[#This Row],[quantity]]</f>
        <v>0</v>
      </c>
    </row>
    <row r="1827" spans="1:6" x14ac:dyDescent="0.3">
      <c r="A1827">
        <v>1826</v>
      </c>
      <c r="B1827" t="s">
        <v>1429</v>
      </c>
      <c r="C1827" t="s">
        <v>2261</v>
      </c>
      <c r="D1827">
        <v>4</v>
      </c>
      <c r="E1827">
        <v>31497</v>
      </c>
      <c r="F1827">
        <f>messy_order_items_csv[[#This Row],[unit_price]]*messy_order_items_csv[[#This Row],[quantity]]</f>
        <v>125988</v>
      </c>
    </row>
    <row r="1828" spans="1:6" x14ac:dyDescent="0.3">
      <c r="A1828">
        <v>1827</v>
      </c>
      <c r="B1828" t="s">
        <v>1148</v>
      </c>
      <c r="C1828" t="s">
        <v>2234</v>
      </c>
      <c r="D1828">
        <v>4</v>
      </c>
      <c r="E1828">
        <v>23752</v>
      </c>
      <c r="F1828">
        <f>messy_order_items_csv[[#This Row],[unit_price]]*messy_order_items_csv[[#This Row],[quantity]]</f>
        <v>95008</v>
      </c>
    </row>
    <row r="1829" spans="1:6" x14ac:dyDescent="0.3">
      <c r="A1829">
        <v>1828</v>
      </c>
      <c r="B1829" t="s">
        <v>2168</v>
      </c>
      <c r="C1829" t="s">
        <v>2229</v>
      </c>
      <c r="D1829">
        <v>2</v>
      </c>
      <c r="E1829">
        <v>47676</v>
      </c>
      <c r="F1829">
        <f>messy_order_items_csv[[#This Row],[unit_price]]*messy_order_items_csv[[#This Row],[quantity]]</f>
        <v>95352</v>
      </c>
    </row>
    <row r="1830" spans="1:6" x14ac:dyDescent="0.3">
      <c r="A1830">
        <v>1829</v>
      </c>
      <c r="B1830" t="s">
        <v>2078</v>
      </c>
      <c r="C1830" t="s">
        <v>2258</v>
      </c>
      <c r="E1830">
        <v>34006</v>
      </c>
      <c r="F1830">
        <f>messy_order_items_csv[[#This Row],[unit_price]]*messy_order_items_csv[[#This Row],[quantity]]</f>
        <v>0</v>
      </c>
    </row>
    <row r="1831" spans="1:6" x14ac:dyDescent="0.3">
      <c r="A1831">
        <v>1830</v>
      </c>
      <c r="B1831" t="s">
        <v>1053</v>
      </c>
      <c r="C1831" t="s">
        <v>2202</v>
      </c>
      <c r="D1831">
        <v>2</v>
      </c>
      <c r="E1831">
        <v>31497</v>
      </c>
      <c r="F1831">
        <f>messy_order_items_csv[[#This Row],[unit_price]]*messy_order_items_csv[[#This Row],[quantity]]</f>
        <v>62994</v>
      </c>
    </row>
    <row r="1832" spans="1:6" x14ac:dyDescent="0.3">
      <c r="A1832">
        <v>1831</v>
      </c>
      <c r="B1832" t="s">
        <v>1088</v>
      </c>
      <c r="C1832" t="s">
        <v>2207</v>
      </c>
      <c r="D1832">
        <v>1</v>
      </c>
      <c r="E1832">
        <v>31497</v>
      </c>
      <c r="F1832">
        <f>messy_order_items_csv[[#This Row],[unit_price]]*messy_order_items_csv[[#This Row],[quantity]]</f>
        <v>31497</v>
      </c>
    </row>
    <row r="1833" spans="1:6" x14ac:dyDescent="0.3">
      <c r="A1833">
        <v>1832</v>
      </c>
      <c r="B1833" t="s">
        <v>1107</v>
      </c>
      <c r="C1833" t="s">
        <v>2259</v>
      </c>
      <c r="D1833">
        <v>2</v>
      </c>
      <c r="E1833">
        <v>76545</v>
      </c>
      <c r="F1833">
        <f>messy_order_items_csv[[#This Row],[unit_price]]*messy_order_items_csv[[#This Row],[quantity]]</f>
        <v>153090</v>
      </c>
    </row>
    <row r="1834" spans="1:6" x14ac:dyDescent="0.3">
      <c r="A1834">
        <v>1833</v>
      </c>
      <c r="B1834" t="s">
        <v>1700</v>
      </c>
      <c r="C1834" t="s">
        <v>2256</v>
      </c>
      <c r="D1834">
        <v>2</v>
      </c>
      <c r="E1834">
        <v>2501</v>
      </c>
      <c r="F1834">
        <f>messy_order_items_csv[[#This Row],[unit_price]]*messy_order_items_csv[[#This Row],[quantity]]</f>
        <v>5002</v>
      </c>
    </row>
    <row r="1835" spans="1:6" x14ac:dyDescent="0.3">
      <c r="A1835">
        <v>1834</v>
      </c>
      <c r="B1835" t="s">
        <v>1773</v>
      </c>
      <c r="C1835" t="s">
        <v>2229</v>
      </c>
      <c r="D1835">
        <v>0</v>
      </c>
      <c r="E1835">
        <v>47676</v>
      </c>
      <c r="F1835">
        <f>messy_order_items_csv[[#This Row],[unit_price]]*messy_order_items_csv[[#This Row],[quantity]]</f>
        <v>0</v>
      </c>
    </row>
    <row r="1836" spans="1:6" x14ac:dyDescent="0.3">
      <c r="A1836">
        <v>1835</v>
      </c>
      <c r="B1836" t="s">
        <v>1375</v>
      </c>
      <c r="C1836" t="s">
        <v>2260</v>
      </c>
      <c r="D1836">
        <v>3</v>
      </c>
      <c r="E1836">
        <v>31497</v>
      </c>
      <c r="F1836">
        <f>messy_order_items_csv[[#This Row],[unit_price]]*messy_order_items_csv[[#This Row],[quantity]]</f>
        <v>94491</v>
      </c>
    </row>
    <row r="1837" spans="1:6" x14ac:dyDescent="0.3">
      <c r="A1837">
        <v>1836</v>
      </c>
      <c r="B1837" t="s">
        <v>1323</v>
      </c>
      <c r="C1837" t="s">
        <v>2232</v>
      </c>
      <c r="D1837">
        <v>4</v>
      </c>
      <c r="E1837">
        <v>71798</v>
      </c>
      <c r="F1837">
        <f>messy_order_items_csv[[#This Row],[unit_price]]*messy_order_items_csv[[#This Row],[quantity]]</f>
        <v>287192</v>
      </c>
    </row>
    <row r="1838" spans="1:6" x14ac:dyDescent="0.3">
      <c r="A1838">
        <v>1837</v>
      </c>
      <c r="B1838" t="s">
        <v>1756</v>
      </c>
      <c r="C1838" t="s">
        <v>2213</v>
      </c>
      <c r="D1838">
        <v>3</v>
      </c>
      <c r="E1838">
        <v>31497</v>
      </c>
      <c r="F1838">
        <f>messy_order_items_csv[[#This Row],[unit_price]]*messy_order_items_csv[[#This Row],[quantity]]</f>
        <v>94491</v>
      </c>
    </row>
    <row r="1839" spans="1:6" x14ac:dyDescent="0.3">
      <c r="A1839">
        <v>1838</v>
      </c>
      <c r="B1839" t="s">
        <v>1628</v>
      </c>
      <c r="C1839" t="s">
        <v>2248</v>
      </c>
      <c r="D1839">
        <v>0</v>
      </c>
      <c r="E1839">
        <v>31497</v>
      </c>
      <c r="F1839">
        <f>messy_order_items_csv[[#This Row],[unit_price]]*messy_order_items_csv[[#This Row],[quantity]]</f>
        <v>0</v>
      </c>
    </row>
    <row r="1840" spans="1:6" x14ac:dyDescent="0.3">
      <c r="A1840">
        <v>1839</v>
      </c>
      <c r="B1840" t="s">
        <v>1879</v>
      </c>
      <c r="C1840" t="s">
        <v>2209</v>
      </c>
      <c r="D1840">
        <v>0</v>
      </c>
      <c r="E1840">
        <v>61684</v>
      </c>
      <c r="F1840">
        <f>messy_order_items_csv[[#This Row],[unit_price]]*messy_order_items_csv[[#This Row],[quantity]]</f>
        <v>0</v>
      </c>
    </row>
    <row r="1841" spans="1:6" x14ac:dyDescent="0.3">
      <c r="A1841">
        <v>1840</v>
      </c>
      <c r="B1841" t="s">
        <v>1806</v>
      </c>
      <c r="C1841" t="s">
        <v>2206</v>
      </c>
      <c r="D1841">
        <v>3</v>
      </c>
      <c r="E1841">
        <v>15249</v>
      </c>
      <c r="F1841">
        <f>messy_order_items_csv[[#This Row],[unit_price]]*messy_order_items_csv[[#This Row],[quantity]]</f>
        <v>45747</v>
      </c>
    </row>
    <row r="1842" spans="1:6" x14ac:dyDescent="0.3">
      <c r="A1842">
        <v>1841</v>
      </c>
      <c r="B1842" t="s">
        <v>1786</v>
      </c>
      <c r="C1842" t="s">
        <v>2221</v>
      </c>
      <c r="D1842">
        <v>0</v>
      </c>
      <c r="E1842">
        <v>31497</v>
      </c>
      <c r="F1842">
        <f>messy_order_items_csv[[#This Row],[unit_price]]*messy_order_items_csv[[#This Row],[quantity]]</f>
        <v>0</v>
      </c>
    </row>
    <row r="1843" spans="1:6" x14ac:dyDescent="0.3">
      <c r="A1843">
        <v>1842</v>
      </c>
      <c r="B1843" t="s">
        <v>1081</v>
      </c>
      <c r="C1843" t="s">
        <v>2222</v>
      </c>
      <c r="D1843">
        <v>4</v>
      </c>
      <c r="E1843">
        <v>32153</v>
      </c>
      <c r="F1843">
        <f>messy_order_items_csv[[#This Row],[unit_price]]*messy_order_items_csv[[#This Row],[quantity]]</f>
        <v>128612</v>
      </c>
    </row>
    <row r="1844" spans="1:6" x14ac:dyDescent="0.3">
      <c r="A1844">
        <v>1843</v>
      </c>
      <c r="B1844" t="s">
        <v>1608</v>
      </c>
      <c r="C1844" t="s">
        <v>2228</v>
      </c>
      <c r="D1844">
        <v>2</v>
      </c>
      <c r="E1844">
        <v>59514</v>
      </c>
      <c r="F1844">
        <f>messy_order_items_csv[[#This Row],[unit_price]]*messy_order_items_csv[[#This Row],[quantity]]</f>
        <v>119028</v>
      </c>
    </row>
    <row r="1845" spans="1:6" x14ac:dyDescent="0.3">
      <c r="A1845">
        <v>1844</v>
      </c>
      <c r="B1845" t="s">
        <v>2076</v>
      </c>
      <c r="C1845" t="s">
        <v>2236</v>
      </c>
      <c r="D1845">
        <v>4</v>
      </c>
      <c r="E1845">
        <v>6095</v>
      </c>
      <c r="F1845">
        <f>messy_order_items_csv[[#This Row],[unit_price]]*messy_order_items_csv[[#This Row],[quantity]]</f>
        <v>24380</v>
      </c>
    </row>
    <row r="1846" spans="1:6" x14ac:dyDescent="0.3">
      <c r="A1846">
        <v>1845</v>
      </c>
      <c r="B1846" t="s">
        <v>1744</v>
      </c>
      <c r="C1846" t="s">
        <v>2195</v>
      </c>
      <c r="D1846">
        <v>4</v>
      </c>
      <c r="E1846">
        <v>47453</v>
      </c>
      <c r="F1846">
        <f>messy_order_items_csv[[#This Row],[unit_price]]*messy_order_items_csv[[#This Row],[quantity]]</f>
        <v>189812</v>
      </c>
    </row>
    <row r="1847" spans="1:6" x14ac:dyDescent="0.3">
      <c r="A1847">
        <v>1846</v>
      </c>
      <c r="B1847" t="s">
        <v>1759</v>
      </c>
      <c r="C1847" t="s">
        <v>2209</v>
      </c>
      <c r="E1847">
        <v>20551</v>
      </c>
      <c r="F1847">
        <f>messy_order_items_csv[[#This Row],[unit_price]]*messy_order_items_csv[[#This Row],[quantity]]</f>
        <v>0</v>
      </c>
    </row>
    <row r="1848" spans="1:6" x14ac:dyDescent="0.3">
      <c r="A1848">
        <v>1847</v>
      </c>
      <c r="B1848" t="s">
        <v>1578</v>
      </c>
      <c r="C1848" t="s">
        <v>2204</v>
      </c>
      <c r="D1848">
        <v>4</v>
      </c>
      <c r="E1848">
        <v>37050</v>
      </c>
      <c r="F1848">
        <f>messy_order_items_csv[[#This Row],[unit_price]]*messy_order_items_csv[[#This Row],[quantity]]</f>
        <v>148200</v>
      </c>
    </row>
    <row r="1849" spans="1:6" x14ac:dyDescent="0.3">
      <c r="A1849">
        <v>1848</v>
      </c>
      <c r="B1849" t="s">
        <v>1215</v>
      </c>
      <c r="C1849" t="s">
        <v>2265</v>
      </c>
      <c r="D1849">
        <v>3</v>
      </c>
      <c r="E1849">
        <v>29485</v>
      </c>
      <c r="F1849">
        <f>messy_order_items_csv[[#This Row],[unit_price]]*messy_order_items_csv[[#This Row],[quantity]]</f>
        <v>88455</v>
      </c>
    </row>
    <row r="1850" spans="1:6" x14ac:dyDescent="0.3">
      <c r="A1850">
        <v>1849</v>
      </c>
      <c r="B1850" t="s">
        <v>1990</v>
      </c>
      <c r="C1850" t="s">
        <v>2242</v>
      </c>
      <c r="D1850">
        <v>2</v>
      </c>
      <c r="E1850">
        <v>31497</v>
      </c>
      <c r="F1850">
        <f>messy_order_items_csv[[#This Row],[unit_price]]*messy_order_items_csv[[#This Row],[quantity]]</f>
        <v>62994</v>
      </c>
    </row>
    <row r="1851" spans="1:6" x14ac:dyDescent="0.3">
      <c r="A1851">
        <v>1850</v>
      </c>
      <c r="B1851" t="s">
        <v>2002</v>
      </c>
      <c r="C1851" t="s">
        <v>2202</v>
      </c>
      <c r="E1851">
        <v>22960</v>
      </c>
      <c r="F1851">
        <f>messy_order_items_csv[[#This Row],[unit_price]]*messy_order_items_csv[[#This Row],[quantity]]</f>
        <v>0</v>
      </c>
    </row>
    <row r="1852" spans="1:6" x14ac:dyDescent="0.3">
      <c r="A1852">
        <v>1851</v>
      </c>
      <c r="B1852" t="s">
        <v>1868</v>
      </c>
      <c r="C1852" t="s">
        <v>2240</v>
      </c>
      <c r="E1852">
        <v>31497</v>
      </c>
      <c r="F1852">
        <f>messy_order_items_csv[[#This Row],[unit_price]]*messy_order_items_csv[[#This Row],[quantity]]</f>
        <v>0</v>
      </c>
    </row>
    <row r="1853" spans="1:6" x14ac:dyDescent="0.3">
      <c r="A1853">
        <v>1852</v>
      </c>
      <c r="B1853" t="s">
        <v>2099</v>
      </c>
      <c r="C1853" t="s">
        <v>2235</v>
      </c>
      <c r="D1853">
        <v>3</v>
      </c>
      <c r="E1853">
        <v>31497</v>
      </c>
      <c r="F1853">
        <f>messy_order_items_csv[[#This Row],[unit_price]]*messy_order_items_csv[[#This Row],[quantity]]</f>
        <v>94491</v>
      </c>
    </row>
    <row r="1854" spans="1:6" x14ac:dyDescent="0.3">
      <c r="A1854">
        <v>1853</v>
      </c>
      <c r="B1854" t="s">
        <v>2125</v>
      </c>
      <c r="C1854" t="s">
        <v>2260</v>
      </c>
      <c r="D1854">
        <v>1</v>
      </c>
      <c r="E1854">
        <v>66729</v>
      </c>
      <c r="F1854">
        <f>messy_order_items_csv[[#This Row],[unit_price]]*messy_order_items_csv[[#This Row],[quantity]]</f>
        <v>66729</v>
      </c>
    </row>
    <row r="1855" spans="1:6" x14ac:dyDescent="0.3">
      <c r="A1855">
        <v>1854</v>
      </c>
      <c r="B1855" t="s">
        <v>1893</v>
      </c>
      <c r="C1855" t="s">
        <v>2237</v>
      </c>
      <c r="E1855">
        <v>17934</v>
      </c>
      <c r="F1855">
        <f>messy_order_items_csv[[#This Row],[unit_price]]*messy_order_items_csv[[#This Row],[quantity]]</f>
        <v>0</v>
      </c>
    </row>
    <row r="1856" spans="1:6" x14ac:dyDescent="0.3">
      <c r="A1856">
        <v>1855</v>
      </c>
      <c r="B1856" t="s">
        <v>1503</v>
      </c>
      <c r="C1856" t="s">
        <v>2260</v>
      </c>
      <c r="D1856">
        <v>1</v>
      </c>
      <c r="E1856">
        <v>31497</v>
      </c>
      <c r="F1856">
        <f>messy_order_items_csv[[#This Row],[unit_price]]*messy_order_items_csv[[#This Row],[quantity]]</f>
        <v>31497</v>
      </c>
    </row>
    <row r="1857" spans="1:6" x14ac:dyDescent="0.3">
      <c r="A1857">
        <v>1856</v>
      </c>
      <c r="B1857" t="s">
        <v>2010</v>
      </c>
      <c r="C1857" t="s">
        <v>2208</v>
      </c>
      <c r="E1857">
        <v>31497</v>
      </c>
      <c r="F1857">
        <f>messy_order_items_csv[[#This Row],[unit_price]]*messy_order_items_csv[[#This Row],[quantity]]</f>
        <v>0</v>
      </c>
    </row>
    <row r="1858" spans="1:6" x14ac:dyDescent="0.3">
      <c r="A1858">
        <v>1857</v>
      </c>
      <c r="B1858" t="s">
        <v>1915</v>
      </c>
      <c r="C1858" t="s">
        <v>2274</v>
      </c>
      <c r="D1858">
        <v>3</v>
      </c>
      <c r="E1858">
        <v>31497</v>
      </c>
      <c r="F1858">
        <f>messy_order_items_csv[[#This Row],[unit_price]]*messy_order_items_csv[[#This Row],[quantity]]</f>
        <v>94491</v>
      </c>
    </row>
    <row r="1859" spans="1:6" x14ac:dyDescent="0.3">
      <c r="A1859">
        <v>1858</v>
      </c>
      <c r="B1859" t="s">
        <v>1582</v>
      </c>
      <c r="C1859" t="s">
        <v>2226</v>
      </c>
      <c r="D1859">
        <v>2</v>
      </c>
      <c r="E1859">
        <v>84776</v>
      </c>
      <c r="F1859">
        <f>messy_order_items_csv[[#This Row],[unit_price]]*messy_order_items_csv[[#This Row],[quantity]]</f>
        <v>169552</v>
      </c>
    </row>
    <row r="1860" spans="1:6" x14ac:dyDescent="0.3">
      <c r="A1860">
        <v>1859</v>
      </c>
      <c r="B1860" t="s">
        <v>1060</v>
      </c>
      <c r="C1860" t="s">
        <v>2269</v>
      </c>
      <c r="D1860">
        <v>2</v>
      </c>
      <c r="E1860">
        <v>41597</v>
      </c>
      <c r="F1860">
        <f>messy_order_items_csv[[#This Row],[unit_price]]*messy_order_items_csv[[#This Row],[quantity]]</f>
        <v>83194</v>
      </c>
    </row>
    <row r="1861" spans="1:6" x14ac:dyDescent="0.3">
      <c r="A1861">
        <v>1860</v>
      </c>
      <c r="B1861" t="s">
        <v>2070</v>
      </c>
      <c r="C1861" t="s">
        <v>2235</v>
      </c>
      <c r="D1861">
        <v>1</v>
      </c>
      <c r="E1861">
        <v>31497</v>
      </c>
      <c r="F1861">
        <f>messy_order_items_csv[[#This Row],[unit_price]]*messy_order_items_csv[[#This Row],[quantity]]</f>
        <v>31497</v>
      </c>
    </row>
    <row r="1862" spans="1:6" x14ac:dyDescent="0.3">
      <c r="A1862">
        <v>1861</v>
      </c>
      <c r="B1862" t="s">
        <v>1430</v>
      </c>
      <c r="C1862" t="s">
        <v>2241</v>
      </c>
      <c r="D1862">
        <v>0</v>
      </c>
      <c r="E1862">
        <v>27157</v>
      </c>
      <c r="F1862">
        <f>messy_order_items_csv[[#This Row],[unit_price]]*messy_order_items_csv[[#This Row],[quantity]]</f>
        <v>0</v>
      </c>
    </row>
    <row r="1863" spans="1:6" x14ac:dyDescent="0.3">
      <c r="A1863">
        <v>1862</v>
      </c>
      <c r="B1863" t="s">
        <v>1986</v>
      </c>
      <c r="C1863" t="s">
        <v>2202</v>
      </c>
      <c r="D1863">
        <v>3</v>
      </c>
      <c r="E1863">
        <v>25045</v>
      </c>
      <c r="F1863">
        <f>messy_order_items_csv[[#This Row],[unit_price]]*messy_order_items_csv[[#This Row],[quantity]]</f>
        <v>75135</v>
      </c>
    </row>
    <row r="1864" spans="1:6" x14ac:dyDescent="0.3">
      <c r="A1864">
        <v>1863</v>
      </c>
      <c r="B1864" t="s">
        <v>1696</v>
      </c>
      <c r="C1864" t="s">
        <v>2214</v>
      </c>
      <c r="D1864">
        <v>0</v>
      </c>
      <c r="E1864">
        <v>85639</v>
      </c>
      <c r="F1864">
        <f>messy_order_items_csv[[#This Row],[unit_price]]*messy_order_items_csv[[#This Row],[quantity]]</f>
        <v>0</v>
      </c>
    </row>
    <row r="1865" spans="1:6" x14ac:dyDescent="0.3">
      <c r="A1865">
        <v>1864</v>
      </c>
      <c r="B1865" t="s">
        <v>1250</v>
      </c>
      <c r="C1865" t="s">
        <v>2241</v>
      </c>
      <c r="D1865">
        <v>1</v>
      </c>
      <c r="E1865">
        <v>8773</v>
      </c>
      <c r="F1865">
        <f>messy_order_items_csv[[#This Row],[unit_price]]*messy_order_items_csv[[#This Row],[quantity]]</f>
        <v>8773</v>
      </c>
    </row>
    <row r="1866" spans="1:6" x14ac:dyDescent="0.3">
      <c r="A1866">
        <v>1865</v>
      </c>
      <c r="B1866" t="s">
        <v>2112</v>
      </c>
      <c r="C1866" t="s">
        <v>2199</v>
      </c>
      <c r="E1866">
        <v>82191</v>
      </c>
      <c r="F1866">
        <f>messy_order_items_csv[[#This Row],[unit_price]]*messy_order_items_csv[[#This Row],[quantity]]</f>
        <v>0</v>
      </c>
    </row>
    <row r="1867" spans="1:6" x14ac:dyDescent="0.3">
      <c r="A1867">
        <v>1866</v>
      </c>
      <c r="B1867" t="s">
        <v>1025</v>
      </c>
      <c r="C1867" t="s">
        <v>2223</v>
      </c>
      <c r="D1867">
        <v>0</v>
      </c>
      <c r="E1867">
        <v>31497</v>
      </c>
      <c r="F1867">
        <f>messy_order_items_csv[[#This Row],[unit_price]]*messy_order_items_csv[[#This Row],[quantity]]</f>
        <v>0</v>
      </c>
    </row>
    <row r="1868" spans="1:6" x14ac:dyDescent="0.3">
      <c r="A1868">
        <v>1867</v>
      </c>
      <c r="B1868" t="s">
        <v>2091</v>
      </c>
      <c r="C1868" t="s">
        <v>2255</v>
      </c>
      <c r="D1868">
        <v>0</v>
      </c>
      <c r="E1868">
        <v>81129</v>
      </c>
      <c r="F1868">
        <f>messy_order_items_csv[[#This Row],[unit_price]]*messy_order_items_csv[[#This Row],[quantity]]</f>
        <v>0</v>
      </c>
    </row>
    <row r="1869" spans="1:6" x14ac:dyDescent="0.3">
      <c r="A1869">
        <v>1868</v>
      </c>
      <c r="B1869" t="s">
        <v>1780</v>
      </c>
      <c r="C1869" t="s">
        <v>2263</v>
      </c>
      <c r="D1869">
        <v>0</v>
      </c>
      <c r="E1869">
        <v>77081</v>
      </c>
      <c r="F1869">
        <f>messy_order_items_csv[[#This Row],[unit_price]]*messy_order_items_csv[[#This Row],[quantity]]</f>
        <v>0</v>
      </c>
    </row>
    <row r="1870" spans="1:6" x14ac:dyDescent="0.3">
      <c r="A1870">
        <v>1869</v>
      </c>
      <c r="B1870" t="s">
        <v>1144</v>
      </c>
      <c r="C1870" t="s">
        <v>2204</v>
      </c>
      <c r="D1870">
        <v>1</v>
      </c>
      <c r="E1870">
        <v>31497</v>
      </c>
      <c r="F1870">
        <f>messy_order_items_csv[[#This Row],[unit_price]]*messy_order_items_csv[[#This Row],[quantity]]</f>
        <v>31497</v>
      </c>
    </row>
    <row r="1871" spans="1:6" x14ac:dyDescent="0.3">
      <c r="A1871">
        <v>1870</v>
      </c>
      <c r="B1871" t="s">
        <v>1054</v>
      </c>
      <c r="C1871" t="s">
        <v>2201</v>
      </c>
      <c r="D1871">
        <v>4</v>
      </c>
      <c r="E1871">
        <v>67368</v>
      </c>
      <c r="F1871">
        <f>messy_order_items_csv[[#This Row],[unit_price]]*messy_order_items_csv[[#This Row],[quantity]]</f>
        <v>269472</v>
      </c>
    </row>
    <row r="1872" spans="1:6" x14ac:dyDescent="0.3">
      <c r="A1872">
        <v>1871</v>
      </c>
      <c r="B1872" t="s">
        <v>1637</v>
      </c>
      <c r="C1872" t="s">
        <v>2225</v>
      </c>
      <c r="D1872">
        <v>0</v>
      </c>
      <c r="E1872">
        <v>31497</v>
      </c>
      <c r="F1872">
        <f>messy_order_items_csv[[#This Row],[unit_price]]*messy_order_items_csv[[#This Row],[quantity]]</f>
        <v>0</v>
      </c>
    </row>
    <row r="1873" spans="1:6" x14ac:dyDescent="0.3">
      <c r="A1873">
        <v>1872</v>
      </c>
      <c r="B1873" t="s">
        <v>1278</v>
      </c>
      <c r="C1873" t="s">
        <v>2211</v>
      </c>
      <c r="D1873">
        <v>2</v>
      </c>
      <c r="E1873">
        <v>82478</v>
      </c>
      <c r="F1873">
        <f>messy_order_items_csv[[#This Row],[unit_price]]*messy_order_items_csv[[#This Row],[quantity]]</f>
        <v>164956</v>
      </c>
    </row>
    <row r="1874" spans="1:6" x14ac:dyDescent="0.3">
      <c r="A1874">
        <v>1873</v>
      </c>
      <c r="B1874" t="s">
        <v>1470</v>
      </c>
      <c r="C1874" t="s">
        <v>2251</v>
      </c>
      <c r="D1874">
        <v>3</v>
      </c>
      <c r="E1874">
        <v>31497</v>
      </c>
      <c r="F1874">
        <f>messy_order_items_csv[[#This Row],[unit_price]]*messy_order_items_csv[[#This Row],[quantity]]</f>
        <v>94491</v>
      </c>
    </row>
    <row r="1875" spans="1:6" x14ac:dyDescent="0.3">
      <c r="A1875">
        <v>1874</v>
      </c>
      <c r="B1875" t="s">
        <v>1001</v>
      </c>
      <c r="C1875" t="s">
        <v>2202</v>
      </c>
      <c r="D1875">
        <v>1</v>
      </c>
      <c r="E1875">
        <v>31497</v>
      </c>
      <c r="F1875">
        <f>messy_order_items_csv[[#This Row],[unit_price]]*messy_order_items_csv[[#This Row],[quantity]]</f>
        <v>31497</v>
      </c>
    </row>
    <row r="1876" spans="1:6" x14ac:dyDescent="0.3">
      <c r="A1876">
        <v>1875</v>
      </c>
      <c r="B1876" t="s">
        <v>1762</v>
      </c>
      <c r="C1876" t="s">
        <v>2241</v>
      </c>
      <c r="D1876">
        <v>0</v>
      </c>
      <c r="E1876">
        <v>73196</v>
      </c>
      <c r="F1876">
        <f>messy_order_items_csv[[#This Row],[unit_price]]*messy_order_items_csv[[#This Row],[quantity]]</f>
        <v>0</v>
      </c>
    </row>
    <row r="1877" spans="1:6" x14ac:dyDescent="0.3">
      <c r="A1877">
        <v>1876</v>
      </c>
      <c r="B1877" t="s">
        <v>1299</v>
      </c>
      <c r="C1877" t="s">
        <v>2205</v>
      </c>
      <c r="D1877">
        <v>2</v>
      </c>
      <c r="E1877">
        <v>31497</v>
      </c>
      <c r="F1877">
        <f>messy_order_items_csv[[#This Row],[unit_price]]*messy_order_items_csv[[#This Row],[quantity]]</f>
        <v>62994</v>
      </c>
    </row>
    <row r="1878" spans="1:6" x14ac:dyDescent="0.3">
      <c r="A1878">
        <v>1877</v>
      </c>
      <c r="B1878" t="s">
        <v>1571</v>
      </c>
      <c r="C1878" t="s">
        <v>2229</v>
      </c>
      <c r="D1878">
        <v>3</v>
      </c>
      <c r="E1878">
        <v>47676</v>
      </c>
      <c r="F1878">
        <f>messy_order_items_csv[[#This Row],[unit_price]]*messy_order_items_csv[[#This Row],[quantity]]</f>
        <v>143028</v>
      </c>
    </row>
    <row r="1879" spans="1:6" x14ac:dyDescent="0.3">
      <c r="A1879">
        <v>1878</v>
      </c>
      <c r="B1879" t="s">
        <v>1510</v>
      </c>
      <c r="C1879" t="s">
        <v>2248</v>
      </c>
      <c r="D1879">
        <v>0</v>
      </c>
      <c r="E1879">
        <v>28233</v>
      </c>
      <c r="F1879">
        <f>messy_order_items_csv[[#This Row],[unit_price]]*messy_order_items_csv[[#This Row],[quantity]]</f>
        <v>0</v>
      </c>
    </row>
    <row r="1880" spans="1:6" x14ac:dyDescent="0.3">
      <c r="A1880">
        <v>1879</v>
      </c>
      <c r="B1880" t="s">
        <v>1452</v>
      </c>
      <c r="C1880" t="s">
        <v>2269</v>
      </c>
      <c r="D1880">
        <v>3</v>
      </c>
      <c r="E1880">
        <v>16821</v>
      </c>
      <c r="F1880">
        <f>messy_order_items_csv[[#This Row],[unit_price]]*messy_order_items_csv[[#This Row],[quantity]]</f>
        <v>50463</v>
      </c>
    </row>
    <row r="1881" spans="1:6" x14ac:dyDescent="0.3">
      <c r="A1881">
        <v>1880</v>
      </c>
      <c r="B1881" t="s">
        <v>2032</v>
      </c>
      <c r="C1881" t="s">
        <v>2274</v>
      </c>
      <c r="D1881">
        <v>2</v>
      </c>
      <c r="E1881">
        <v>77952</v>
      </c>
      <c r="F1881">
        <f>messy_order_items_csv[[#This Row],[unit_price]]*messy_order_items_csv[[#This Row],[quantity]]</f>
        <v>155904</v>
      </c>
    </row>
    <row r="1882" spans="1:6" x14ac:dyDescent="0.3">
      <c r="A1882">
        <v>1881</v>
      </c>
      <c r="B1882" t="s">
        <v>1916</v>
      </c>
      <c r="C1882" t="s">
        <v>2243</v>
      </c>
      <c r="D1882">
        <v>2</v>
      </c>
      <c r="E1882">
        <v>31497</v>
      </c>
      <c r="F1882">
        <f>messy_order_items_csv[[#This Row],[unit_price]]*messy_order_items_csv[[#This Row],[quantity]]</f>
        <v>62994</v>
      </c>
    </row>
    <row r="1883" spans="1:6" x14ac:dyDescent="0.3">
      <c r="A1883">
        <v>1882</v>
      </c>
      <c r="B1883" t="s">
        <v>1313</v>
      </c>
      <c r="C1883" t="s">
        <v>2207</v>
      </c>
      <c r="D1883">
        <v>4</v>
      </c>
      <c r="E1883">
        <v>16170</v>
      </c>
      <c r="F1883">
        <f>messy_order_items_csv[[#This Row],[unit_price]]*messy_order_items_csv[[#This Row],[quantity]]</f>
        <v>64680</v>
      </c>
    </row>
    <row r="1884" spans="1:6" x14ac:dyDescent="0.3">
      <c r="A1884">
        <v>1883</v>
      </c>
      <c r="B1884" t="s">
        <v>1555</v>
      </c>
      <c r="C1884" t="s">
        <v>2269</v>
      </c>
      <c r="D1884">
        <v>1</v>
      </c>
      <c r="E1884">
        <v>30080</v>
      </c>
      <c r="F1884">
        <f>messy_order_items_csv[[#This Row],[unit_price]]*messy_order_items_csv[[#This Row],[quantity]]</f>
        <v>30080</v>
      </c>
    </row>
    <row r="1885" spans="1:6" x14ac:dyDescent="0.3">
      <c r="A1885">
        <v>1884</v>
      </c>
      <c r="B1885" t="s">
        <v>2093</v>
      </c>
      <c r="C1885" t="s">
        <v>2222</v>
      </c>
      <c r="D1885">
        <v>1</v>
      </c>
      <c r="E1885">
        <v>34450</v>
      </c>
      <c r="F1885">
        <f>messy_order_items_csv[[#This Row],[unit_price]]*messy_order_items_csv[[#This Row],[quantity]]</f>
        <v>34450</v>
      </c>
    </row>
    <row r="1886" spans="1:6" x14ac:dyDescent="0.3">
      <c r="A1886">
        <v>1885</v>
      </c>
      <c r="B1886" t="s">
        <v>1531</v>
      </c>
      <c r="C1886" t="s">
        <v>2266</v>
      </c>
      <c r="D1886">
        <v>0</v>
      </c>
      <c r="E1886">
        <v>3393</v>
      </c>
      <c r="F1886">
        <f>messy_order_items_csv[[#This Row],[unit_price]]*messy_order_items_csv[[#This Row],[quantity]]</f>
        <v>0</v>
      </c>
    </row>
    <row r="1887" spans="1:6" x14ac:dyDescent="0.3">
      <c r="A1887">
        <v>1886</v>
      </c>
      <c r="B1887" t="s">
        <v>2013</v>
      </c>
      <c r="C1887" t="s">
        <v>2227</v>
      </c>
      <c r="E1887">
        <v>31497</v>
      </c>
      <c r="F1887">
        <f>messy_order_items_csv[[#This Row],[unit_price]]*messy_order_items_csv[[#This Row],[quantity]]</f>
        <v>0</v>
      </c>
    </row>
    <row r="1888" spans="1:6" x14ac:dyDescent="0.3">
      <c r="A1888">
        <v>1887</v>
      </c>
      <c r="B1888" t="s">
        <v>1202</v>
      </c>
      <c r="C1888" t="s">
        <v>2254</v>
      </c>
      <c r="D1888">
        <v>2</v>
      </c>
      <c r="E1888">
        <v>38519</v>
      </c>
      <c r="F1888">
        <f>messy_order_items_csv[[#This Row],[unit_price]]*messy_order_items_csv[[#This Row],[quantity]]</f>
        <v>77038</v>
      </c>
    </row>
    <row r="1889" spans="1:6" x14ac:dyDescent="0.3">
      <c r="A1889">
        <v>1888</v>
      </c>
      <c r="B1889" t="s">
        <v>1647</v>
      </c>
      <c r="C1889" t="s">
        <v>2262</v>
      </c>
      <c r="E1889">
        <v>76599</v>
      </c>
      <c r="F1889">
        <f>messy_order_items_csv[[#This Row],[unit_price]]*messy_order_items_csv[[#This Row],[quantity]]</f>
        <v>0</v>
      </c>
    </row>
    <row r="1890" spans="1:6" x14ac:dyDescent="0.3">
      <c r="A1890">
        <v>1889</v>
      </c>
      <c r="B1890" t="s">
        <v>1002</v>
      </c>
      <c r="C1890" t="s">
        <v>2236</v>
      </c>
      <c r="D1890">
        <v>2</v>
      </c>
      <c r="E1890">
        <v>6095</v>
      </c>
      <c r="F1890">
        <f>messy_order_items_csv[[#This Row],[unit_price]]*messy_order_items_csv[[#This Row],[quantity]]</f>
        <v>12190</v>
      </c>
    </row>
    <row r="1891" spans="1:6" x14ac:dyDescent="0.3">
      <c r="A1891">
        <v>1890</v>
      </c>
      <c r="B1891" t="s">
        <v>1011</v>
      </c>
      <c r="C1891" t="s">
        <v>2253</v>
      </c>
      <c r="D1891">
        <v>2</v>
      </c>
      <c r="E1891">
        <v>87975</v>
      </c>
      <c r="F1891">
        <f>messy_order_items_csv[[#This Row],[unit_price]]*messy_order_items_csv[[#This Row],[quantity]]</f>
        <v>175950</v>
      </c>
    </row>
    <row r="1892" spans="1:6" x14ac:dyDescent="0.3">
      <c r="A1892">
        <v>1891</v>
      </c>
      <c r="B1892" t="s">
        <v>1325</v>
      </c>
      <c r="C1892" t="s">
        <v>2220</v>
      </c>
      <c r="D1892">
        <v>0</v>
      </c>
      <c r="E1892">
        <v>5475</v>
      </c>
      <c r="F1892">
        <f>messy_order_items_csv[[#This Row],[unit_price]]*messy_order_items_csv[[#This Row],[quantity]]</f>
        <v>0</v>
      </c>
    </row>
    <row r="1893" spans="1:6" x14ac:dyDescent="0.3">
      <c r="A1893">
        <v>1892</v>
      </c>
      <c r="B1893" t="s">
        <v>1649</v>
      </c>
      <c r="C1893" t="s">
        <v>2214</v>
      </c>
      <c r="D1893">
        <v>3</v>
      </c>
      <c r="E1893">
        <v>35007</v>
      </c>
      <c r="F1893">
        <f>messy_order_items_csv[[#This Row],[unit_price]]*messy_order_items_csv[[#This Row],[quantity]]</f>
        <v>105021</v>
      </c>
    </row>
    <row r="1894" spans="1:6" x14ac:dyDescent="0.3">
      <c r="A1894">
        <v>1893</v>
      </c>
      <c r="B1894" t="s">
        <v>1544</v>
      </c>
      <c r="C1894" t="s">
        <v>2205</v>
      </c>
      <c r="D1894">
        <v>3</v>
      </c>
      <c r="E1894">
        <v>31497</v>
      </c>
      <c r="F1894">
        <f>messy_order_items_csv[[#This Row],[unit_price]]*messy_order_items_csv[[#This Row],[quantity]]</f>
        <v>94491</v>
      </c>
    </row>
    <row r="1895" spans="1:6" x14ac:dyDescent="0.3">
      <c r="A1895">
        <v>1894</v>
      </c>
      <c r="B1895" t="s">
        <v>1261</v>
      </c>
      <c r="C1895" t="s">
        <v>2273</v>
      </c>
      <c r="D1895">
        <v>0</v>
      </c>
      <c r="E1895">
        <v>24853</v>
      </c>
      <c r="F1895">
        <f>messy_order_items_csv[[#This Row],[unit_price]]*messy_order_items_csv[[#This Row],[quantity]]</f>
        <v>0</v>
      </c>
    </row>
    <row r="1896" spans="1:6" x14ac:dyDescent="0.3">
      <c r="A1896">
        <v>1895</v>
      </c>
      <c r="B1896" t="s">
        <v>2065</v>
      </c>
      <c r="C1896" t="s">
        <v>2225</v>
      </c>
      <c r="D1896">
        <v>2</v>
      </c>
      <c r="E1896">
        <v>45552</v>
      </c>
      <c r="F1896">
        <f>messy_order_items_csv[[#This Row],[unit_price]]*messy_order_items_csv[[#This Row],[quantity]]</f>
        <v>91104</v>
      </c>
    </row>
    <row r="1897" spans="1:6" x14ac:dyDescent="0.3">
      <c r="A1897">
        <v>1896</v>
      </c>
      <c r="B1897" t="s">
        <v>1580</v>
      </c>
      <c r="C1897" t="s">
        <v>2230</v>
      </c>
      <c r="D1897">
        <v>0</v>
      </c>
      <c r="E1897">
        <v>77242</v>
      </c>
      <c r="F1897">
        <f>messy_order_items_csv[[#This Row],[unit_price]]*messy_order_items_csv[[#This Row],[quantity]]</f>
        <v>0</v>
      </c>
    </row>
    <row r="1898" spans="1:6" x14ac:dyDescent="0.3">
      <c r="A1898">
        <v>1897</v>
      </c>
      <c r="B1898" t="s">
        <v>1426</v>
      </c>
      <c r="C1898" t="s">
        <v>2217</v>
      </c>
      <c r="D1898">
        <v>4</v>
      </c>
      <c r="E1898">
        <v>44051</v>
      </c>
      <c r="F1898">
        <f>messy_order_items_csv[[#This Row],[unit_price]]*messy_order_items_csv[[#This Row],[quantity]]</f>
        <v>176204</v>
      </c>
    </row>
    <row r="1899" spans="1:6" x14ac:dyDescent="0.3">
      <c r="A1899">
        <v>1898</v>
      </c>
      <c r="B1899" t="s">
        <v>1027</v>
      </c>
      <c r="C1899" t="s">
        <v>2225</v>
      </c>
      <c r="D1899">
        <v>3</v>
      </c>
      <c r="E1899">
        <v>31497</v>
      </c>
      <c r="F1899">
        <f>messy_order_items_csv[[#This Row],[unit_price]]*messy_order_items_csv[[#This Row],[quantity]]</f>
        <v>94491</v>
      </c>
    </row>
    <row r="1900" spans="1:6" x14ac:dyDescent="0.3">
      <c r="A1900">
        <v>1899</v>
      </c>
      <c r="B1900" t="s">
        <v>1194</v>
      </c>
      <c r="C1900" t="s">
        <v>2273</v>
      </c>
      <c r="E1900">
        <v>84047</v>
      </c>
      <c r="F1900">
        <f>messy_order_items_csv[[#This Row],[unit_price]]*messy_order_items_csv[[#This Row],[quantity]]</f>
        <v>0</v>
      </c>
    </row>
    <row r="1901" spans="1:6" x14ac:dyDescent="0.3">
      <c r="A1901">
        <v>1900</v>
      </c>
      <c r="B1901" t="s">
        <v>1005</v>
      </c>
      <c r="C1901" t="s">
        <v>2223</v>
      </c>
      <c r="D1901">
        <v>1</v>
      </c>
      <c r="E1901">
        <v>68521</v>
      </c>
      <c r="F1901">
        <f>messy_order_items_csv[[#This Row],[unit_price]]*messy_order_items_csv[[#This Row],[quantity]]</f>
        <v>68521</v>
      </c>
    </row>
    <row r="1902" spans="1:6" x14ac:dyDescent="0.3">
      <c r="A1902">
        <v>1901</v>
      </c>
      <c r="B1902" t="s">
        <v>1244</v>
      </c>
      <c r="C1902" t="s">
        <v>2237</v>
      </c>
      <c r="D1902">
        <v>0</v>
      </c>
      <c r="E1902">
        <v>61022</v>
      </c>
      <c r="F1902">
        <f>messy_order_items_csv[[#This Row],[unit_price]]*messy_order_items_csv[[#This Row],[quantity]]</f>
        <v>0</v>
      </c>
    </row>
    <row r="1903" spans="1:6" x14ac:dyDescent="0.3">
      <c r="A1903">
        <v>1902</v>
      </c>
      <c r="B1903" t="s">
        <v>2073</v>
      </c>
      <c r="C1903" t="s">
        <v>2223</v>
      </c>
      <c r="D1903">
        <v>1</v>
      </c>
      <c r="E1903">
        <v>31497</v>
      </c>
      <c r="F1903">
        <f>messy_order_items_csv[[#This Row],[unit_price]]*messy_order_items_csv[[#This Row],[quantity]]</f>
        <v>31497</v>
      </c>
    </row>
    <row r="1904" spans="1:6" x14ac:dyDescent="0.3">
      <c r="A1904">
        <v>1903</v>
      </c>
      <c r="B1904" t="s">
        <v>2179</v>
      </c>
      <c r="C1904" t="s">
        <v>2196</v>
      </c>
      <c r="D1904">
        <v>0</v>
      </c>
      <c r="E1904">
        <v>31497</v>
      </c>
      <c r="F1904">
        <f>messy_order_items_csv[[#This Row],[unit_price]]*messy_order_items_csv[[#This Row],[quantity]]</f>
        <v>0</v>
      </c>
    </row>
    <row r="1905" spans="1:6" x14ac:dyDescent="0.3">
      <c r="A1905">
        <v>1904</v>
      </c>
      <c r="B1905" t="s">
        <v>1302</v>
      </c>
      <c r="C1905" t="s">
        <v>2273</v>
      </c>
      <c r="D1905">
        <v>3</v>
      </c>
      <c r="E1905">
        <v>31497</v>
      </c>
      <c r="F1905">
        <f>messy_order_items_csv[[#This Row],[unit_price]]*messy_order_items_csv[[#This Row],[quantity]]</f>
        <v>94491</v>
      </c>
    </row>
    <row r="1906" spans="1:6" x14ac:dyDescent="0.3">
      <c r="A1906">
        <v>1905</v>
      </c>
      <c r="B1906" t="s">
        <v>1743</v>
      </c>
      <c r="C1906" t="s">
        <v>2247</v>
      </c>
      <c r="D1906">
        <v>0</v>
      </c>
      <c r="E1906">
        <v>74253</v>
      </c>
      <c r="F1906">
        <f>messy_order_items_csv[[#This Row],[unit_price]]*messy_order_items_csv[[#This Row],[quantity]]</f>
        <v>0</v>
      </c>
    </row>
    <row r="1907" spans="1:6" x14ac:dyDescent="0.3">
      <c r="A1907">
        <v>1906</v>
      </c>
      <c r="B1907" t="s">
        <v>1792</v>
      </c>
      <c r="C1907" t="s">
        <v>2224</v>
      </c>
      <c r="D1907">
        <v>3</v>
      </c>
      <c r="E1907">
        <v>37593</v>
      </c>
      <c r="F1907">
        <f>messy_order_items_csv[[#This Row],[unit_price]]*messy_order_items_csv[[#This Row],[quantity]]</f>
        <v>112779</v>
      </c>
    </row>
    <row r="1908" spans="1:6" x14ac:dyDescent="0.3">
      <c r="A1908">
        <v>1907</v>
      </c>
      <c r="B1908" t="s">
        <v>1348</v>
      </c>
      <c r="C1908" t="s">
        <v>2223</v>
      </c>
      <c r="D1908">
        <v>0</v>
      </c>
      <c r="E1908">
        <v>22412</v>
      </c>
      <c r="F1908">
        <f>messy_order_items_csv[[#This Row],[unit_price]]*messy_order_items_csv[[#This Row],[quantity]]</f>
        <v>0</v>
      </c>
    </row>
    <row r="1909" spans="1:6" x14ac:dyDescent="0.3">
      <c r="A1909">
        <v>1908</v>
      </c>
      <c r="B1909" t="s">
        <v>1404</v>
      </c>
      <c r="C1909" t="s">
        <v>2245</v>
      </c>
      <c r="D1909">
        <v>3</v>
      </c>
      <c r="E1909">
        <v>70378</v>
      </c>
      <c r="F1909">
        <f>messy_order_items_csv[[#This Row],[unit_price]]*messy_order_items_csv[[#This Row],[quantity]]</f>
        <v>211134</v>
      </c>
    </row>
    <row r="1910" spans="1:6" x14ac:dyDescent="0.3">
      <c r="A1910">
        <v>1909</v>
      </c>
      <c r="B1910" t="s">
        <v>1017</v>
      </c>
      <c r="C1910" t="s">
        <v>2195</v>
      </c>
      <c r="D1910">
        <v>1</v>
      </c>
      <c r="E1910">
        <v>30928</v>
      </c>
      <c r="F1910">
        <f>messy_order_items_csv[[#This Row],[unit_price]]*messy_order_items_csv[[#This Row],[quantity]]</f>
        <v>30928</v>
      </c>
    </row>
    <row r="1911" spans="1:6" x14ac:dyDescent="0.3">
      <c r="A1911">
        <v>1910</v>
      </c>
      <c r="B1911" t="s">
        <v>1075</v>
      </c>
      <c r="C1911" t="s">
        <v>2205</v>
      </c>
      <c r="D1911">
        <v>3</v>
      </c>
      <c r="E1911">
        <v>74364</v>
      </c>
      <c r="F1911">
        <f>messy_order_items_csv[[#This Row],[unit_price]]*messy_order_items_csv[[#This Row],[quantity]]</f>
        <v>223092</v>
      </c>
    </row>
    <row r="1912" spans="1:6" x14ac:dyDescent="0.3">
      <c r="A1912">
        <v>1911</v>
      </c>
      <c r="B1912" t="s">
        <v>1716</v>
      </c>
      <c r="C1912" t="s">
        <v>2272</v>
      </c>
      <c r="D1912">
        <v>1</v>
      </c>
      <c r="E1912">
        <v>45680</v>
      </c>
      <c r="F1912">
        <f>messy_order_items_csv[[#This Row],[unit_price]]*messy_order_items_csv[[#This Row],[quantity]]</f>
        <v>45680</v>
      </c>
    </row>
    <row r="1913" spans="1:6" x14ac:dyDescent="0.3">
      <c r="A1913">
        <v>1912</v>
      </c>
      <c r="B1913" t="s">
        <v>2089</v>
      </c>
      <c r="C1913" t="s">
        <v>2240</v>
      </c>
      <c r="D1913">
        <v>1</v>
      </c>
      <c r="E1913">
        <v>55173</v>
      </c>
      <c r="F1913">
        <f>messy_order_items_csv[[#This Row],[unit_price]]*messy_order_items_csv[[#This Row],[quantity]]</f>
        <v>55173</v>
      </c>
    </row>
    <row r="1914" spans="1:6" x14ac:dyDescent="0.3">
      <c r="A1914">
        <v>1913</v>
      </c>
      <c r="B1914" t="s">
        <v>1090</v>
      </c>
      <c r="C1914" t="s">
        <v>2242</v>
      </c>
      <c r="D1914">
        <v>4</v>
      </c>
      <c r="E1914">
        <v>28604</v>
      </c>
      <c r="F1914">
        <f>messy_order_items_csv[[#This Row],[unit_price]]*messy_order_items_csv[[#This Row],[quantity]]</f>
        <v>114416</v>
      </c>
    </row>
    <row r="1915" spans="1:6" x14ac:dyDescent="0.3">
      <c r="A1915">
        <v>1914</v>
      </c>
      <c r="B1915" t="s">
        <v>1806</v>
      </c>
      <c r="C1915" t="s">
        <v>2258</v>
      </c>
      <c r="D1915">
        <v>0</v>
      </c>
      <c r="E1915">
        <v>51735</v>
      </c>
      <c r="F1915">
        <f>messy_order_items_csv[[#This Row],[unit_price]]*messy_order_items_csv[[#This Row],[quantity]]</f>
        <v>0</v>
      </c>
    </row>
    <row r="1916" spans="1:6" x14ac:dyDescent="0.3">
      <c r="A1916">
        <v>1915</v>
      </c>
      <c r="B1916" t="s">
        <v>1525</v>
      </c>
      <c r="C1916" t="s">
        <v>2195</v>
      </c>
      <c r="E1916">
        <v>25126</v>
      </c>
      <c r="F1916">
        <f>messy_order_items_csv[[#This Row],[unit_price]]*messy_order_items_csv[[#This Row],[quantity]]</f>
        <v>0</v>
      </c>
    </row>
    <row r="1917" spans="1:6" x14ac:dyDescent="0.3">
      <c r="A1917">
        <v>1916</v>
      </c>
      <c r="B1917" t="s">
        <v>1950</v>
      </c>
      <c r="C1917" t="s">
        <v>2227</v>
      </c>
      <c r="D1917">
        <v>0</v>
      </c>
      <c r="E1917">
        <v>31497</v>
      </c>
      <c r="F1917">
        <f>messy_order_items_csv[[#This Row],[unit_price]]*messy_order_items_csv[[#This Row],[quantity]]</f>
        <v>0</v>
      </c>
    </row>
    <row r="1918" spans="1:6" x14ac:dyDescent="0.3">
      <c r="A1918">
        <v>1917</v>
      </c>
      <c r="B1918" t="s">
        <v>1583</v>
      </c>
      <c r="C1918" t="s">
        <v>2234</v>
      </c>
      <c r="D1918">
        <v>4</v>
      </c>
      <c r="E1918">
        <v>31497</v>
      </c>
      <c r="F1918">
        <f>messy_order_items_csv[[#This Row],[unit_price]]*messy_order_items_csv[[#This Row],[quantity]]</f>
        <v>125988</v>
      </c>
    </row>
    <row r="1919" spans="1:6" x14ac:dyDescent="0.3">
      <c r="A1919">
        <v>1918</v>
      </c>
      <c r="B1919" t="s">
        <v>1172</v>
      </c>
      <c r="C1919" t="s">
        <v>2226</v>
      </c>
      <c r="D1919">
        <v>0</v>
      </c>
      <c r="E1919">
        <v>84776</v>
      </c>
      <c r="F1919">
        <f>messy_order_items_csv[[#This Row],[unit_price]]*messy_order_items_csv[[#This Row],[quantity]]</f>
        <v>0</v>
      </c>
    </row>
    <row r="1920" spans="1:6" x14ac:dyDescent="0.3">
      <c r="A1920">
        <v>1919</v>
      </c>
      <c r="B1920" t="s">
        <v>1861</v>
      </c>
      <c r="C1920" t="s">
        <v>2259</v>
      </c>
      <c r="D1920">
        <v>2</v>
      </c>
      <c r="E1920">
        <v>72184</v>
      </c>
      <c r="F1920">
        <f>messy_order_items_csv[[#This Row],[unit_price]]*messy_order_items_csv[[#This Row],[quantity]]</f>
        <v>144368</v>
      </c>
    </row>
    <row r="1921" spans="1:6" x14ac:dyDescent="0.3">
      <c r="A1921">
        <v>1920</v>
      </c>
      <c r="B1921" t="s">
        <v>1478</v>
      </c>
      <c r="C1921" t="s">
        <v>2250</v>
      </c>
      <c r="E1921">
        <v>31497</v>
      </c>
      <c r="F1921">
        <f>messy_order_items_csv[[#This Row],[unit_price]]*messy_order_items_csv[[#This Row],[quantity]]</f>
        <v>0</v>
      </c>
    </row>
    <row r="1922" spans="1:6" x14ac:dyDescent="0.3">
      <c r="A1922">
        <v>1921</v>
      </c>
      <c r="B1922" t="s">
        <v>1845</v>
      </c>
      <c r="C1922" t="s">
        <v>2216</v>
      </c>
      <c r="D1922">
        <v>4</v>
      </c>
      <c r="E1922">
        <v>21102</v>
      </c>
      <c r="F1922">
        <f>messy_order_items_csv[[#This Row],[unit_price]]*messy_order_items_csv[[#This Row],[quantity]]</f>
        <v>84408</v>
      </c>
    </row>
    <row r="1923" spans="1:6" x14ac:dyDescent="0.3">
      <c r="A1923">
        <v>1922</v>
      </c>
      <c r="B1923" t="s">
        <v>1979</v>
      </c>
      <c r="C1923" t="s">
        <v>2196</v>
      </c>
      <c r="D1923">
        <v>3</v>
      </c>
      <c r="E1923">
        <v>31497</v>
      </c>
      <c r="F1923">
        <f>messy_order_items_csv[[#This Row],[unit_price]]*messy_order_items_csv[[#This Row],[quantity]]</f>
        <v>94491</v>
      </c>
    </row>
    <row r="1924" spans="1:6" x14ac:dyDescent="0.3">
      <c r="A1924">
        <v>1923</v>
      </c>
      <c r="B1924" t="s">
        <v>1698</v>
      </c>
      <c r="C1924" t="s">
        <v>2195</v>
      </c>
      <c r="D1924">
        <v>1</v>
      </c>
      <c r="E1924">
        <v>18943</v>
      </c>
      <c r="F1924">
        <f>messy_order_items_csv[[#This Row],[unit_price]]*messy_order_items_csv[[#This Row],[quantity]]</f>
        <v>18943</v>
      </c>
    </row>
    <row r="1925" spans="1:6" x14ac:dyDescent="0.3">
      <c r="A1925">
        <v>1924</v>
      </c>
      <c r="B1925" t="s">
        <v>2099</v>
      </c>
      <c r="C1925" t="s">
        <v>2264</v>
      </c>
      <c r="E1925">
        <v>31497</v>
      </c>
      <c r="F1925">
        <f>messy_order_items_csv[[#This Row],[unit_price]]*messy_order_items_csv[[#This Row],[quantity]]</f>
        <v>0</v>
      </c>
    </row>
    <row r="1926" spans="1:6" x14ac:dyDescent="0.3">
      <c r="A1926">
        <v>1925</v>
      </c>
      <c r="B1926" t="s">
        <v>1463</v>
      </c>
      <c r="C1926" t="s">
        <v>2200</v>
      </c>
      <c r="D1926">
        <v>2</v>
      </c>
      <c r="E1926">
        <v>31497</v>
      </c>
      <c r="F1926">
        <f>messy_order_items_csv[[#This Row],[unit_price]]*messy_order_items_csv[[#This Row],[quantity]]</f>
        <v>62994</v>
      </c>
    </row>
    <row r="1927" spans="1:6" x14ac:dyDescent="0.3">
      <c r="A1927">
        <v>1926</v>
      </c>
      <c r="B1927" t="s">
        <v>2178</v>
      </c>
      <c r="C1927" t="s">
        <v>2217</v>
      </c>
      <c r="D1927">
        <v>4</v>
      </c>
      <c r="E1927">
        <v>1645</v>
      </c>
      <c r="F1927">
        <f>messy_order_items_csv[[#This Row],[unit_price]]*messy_order_items_csv[[#This Row],[quantity]]</f>
        <v>6580</v>
      </c>
    </row>
    <row r="1928" spans="1:6" x14ac:dyDescent="0.3">
      <c r="A1928">
        <v>1927</v>
      </c>
      <c r="B1928" t="s">
        <v>1267</v>
      </c>
      <c r="C1928" t="s">
        <v>2266</v>
      </c>
      <c r="E1928">
        <v>35128</v>
      </c>
      <c r="F1928">
        <f>messy_order_items_csv[[#This Row],[unit_price]]*messy_order_items_csv[[#This Row],[quantity]]</f>
        <v>0</v>
      </c>
    </row>
    <row r="1929" spans="1:6" x14ac:dyDescent="0.3">
      <c r="A1929">
        <v>1928</v>
      </c>
      <c r="B1929" t="s">
        <v>1782</v>
      </c>
      <c r="C1929" t="s">
        <v>2234</v>
      </c>
      <c r="D1929">
        <v>4</v>
      </c>
      <c r="E1929">
        <v>58938</v>
      </c>
      <c r="F1929">
        <f>messy_order_items_csv[[#This Row],[unit_price]]*messy_order_items_csv[[#This Row],[quantity]]</f>
        <v>235752</v>
      </c>
    </row>
    <row r="1930" spans="1:6" x14ac:dyDescent="0.3">
      <c r="A1930">
        <v>1929</v>
      </c>
      <c r="B1930" t="s">
        <v>1860</v>
      </c>
      <c r="C1930" t="s">
        <v>2196</v>
      </c>
      <c r="D1930">
        <v>1</v>
      </c>
      <c r="E1930">
        <v>30058</v>
      </c>
      <c r="F1930">
        <f>messy_order_items_csv[[#This Row],[unit_price]]*messy_order_items_csv[[#This Row],[quantity]]</f>
        <v>30058</v>
      </c>
    </row>
    <row r="1931" spans="1:6" x14ac:dyDescent="0.3">
      <c r="A1931">
        <v>1930</v>
      </c>
      <c r="B1931" t="s">
        <v>1208</v>
      </c>
      <c r="C1931" t="s">
        <v>2197</v>
      </c>
      <c r="D1931">
        <v>1</v>
      </c>
      <c r="E1931">
        <v>31497</v>
      </c>
      <c r="F1931">
        <f>messy_order_items_csv[[#This Row],[unit_price]]*messy_order_items_csv[[#This Row],[quantity]]</f>
        <v>31497</v>
      </c>
    </row>
    <row r="1932" spans="1:6" x14ac:dyDescent="0.3">
      <c r="A1932">
        <v>1931</v>
      </c>
      <c r="B1932" t="s">
        <v>2178</v>
      </c>
      <c r="C1932" t="s">
        <v>2233</v>
      </c>
      <c r="D1932">
        <v>0</v>
      </c>
      <c r="E1932">
        <v>10379</v>
      </c>
      <c r="F1932">
        <f>messy_order_items_csv[[#This Row],[unit_price]]*messy_order_items_csv[[#This Row],[quantity]]</f>
        <v>0</v>
      </c>
    </row>
    <row r="1933" spans="1:6" x14ac:dyDescent="0.3">
      <c r="A1933">
        <v>1932</v>
      </c>
      <c r="B1933" t="s">
        <v>1692</v>
      </c>
      <c r="C1933" t="s">
        <v>2206</v>
      </c>
      <c r="E1933">
        <v>15249</v>
      </c>
      <c r="F1933">
        <f>messy_order_items_csv[[#This Row],[unit_price]]*messy_order_items_csv[[#This Row],[quantity]]</f>
        <v>0</v>
      </c>
    </row>
    <row r="1934" spans="1:6" x14ac:dyDescent="0.3">
      <c r="A1934">
        <v>1933</v>
      </c>
      <c r="B1934" t="s">
        <v>1591</v>
      </c>
      <c r="C1934" t="s">
        <v>2270</v>
      </c>
      <c r="D1934">
        <v>2</v>
      </c>
      <c r="E1934">
        <v>31497</v>
      </c>
      <c r="F1934">
        <f>messy_order_items_csv[[#This Row],[unit_price]]*messy_order_items_csv[[#This Row],[quantity]]</f>
        <v>62994</v>
      </c>
    </row>
    <row r="1935" spans="1:6" x14ac:dyDescent="0.3">
      <c r="A1935">
        <v>1934</v>
      </c>
      <c r="B1935" t="s">
        <v>1784</v>
      </c>
      <c r="C1935" t="s">
        <v>2207</v>
      </c>
      <c r="D1935">
        <v>1</v>
      </c>
      <c r="E1935">
        <v>74571</v>
      </c>
      <c r="F1935">
        <f>messy_order_items_csv[[#This Row],[unit_price]]*messy_order_items_csv[[#This Row],[quantity]]</f>
        <v>74571</v>
      </c>
    </row>
    <row r="1936" spans="1:6" x14ac:dyDescent="0.3">
      <c r="A1936">
        <v>1935</v>
      </c>
      <c r="B1936" t="s">
        <v>1081</v>
      </c>
      <c r="C1936" t="s">
        <v>2266</v>
      </c>
      <c r="D1936">
        <v>3</v>
      </c>
      <c r="E1936">
        <v>74774</v>
      </c>
      <c r="F1936">
        <f>messy_order_items_csv[[#This Row],[unit_price]]*messy_order_items_csv[[#This Row],[quantity]]</f>
        <v>224322</v>
      </c>
    </row>
    <row r="1937" spans="1:6" x14ac:dyDescent="0.3">
      <c r="A1937">
        <v>1936</v>
      </c>
      <c r="B1937" t="s">
        <v>1194</v>
      </c>
      <c r="C1937" t="s">
        <v>2208</v>
      </c>
      <c r="D1937">
        <v>3</v>
      </c>
      <c r="E1937">
        <v>84109</v>
      </c>
      <c r="F1937">
        <f>messy_order_items_csv[[#This Row],[unit_price]]*messy_order_items_csv[[#This Row],[quantity]]</f>
        <v>252327</v>
      </c>
    </row>
    <row r="1938" spans="1:6" x14ac:dyDescent="0.3">
      <c r="A1938">
        <v>1937</v>
      </c>
      <c r="B1938" t="s">
        <v>987</v>
      </c>
      <c r="C1938" t="s">
        <v>2226</v>
      </c>
      <c r="E1938">
        <v>84776</v>
      </c>
      <c r="F1938">
        <f>messy_order_items_csv[[#This Row],[unit_price]]*messy_order_items_csv[[#This Row],[quantity]]</f>
        <v>0</v>
      </c>
    </row>
    <row r="1939" spans="1:6" x14ac:dyDescent="0.3">
      <c r="A1939">
        <v>1938</v>
      </c>
      <c r="B1939" t="s">
        <v>1303</v>
      </c>
      <c r="C1939" t="s">
        <v>2240</v>
      </c>
      <c r="D1939">
        <v>1</v>
      </c>
      <c r="E1939">
        <v>31497</v>
      </c>
      <c r="F1939">
        <f>messy_order_items_csv[[#This Row],[unit_price]]*messy_order_items_csv[[#This Row],[quantity]]</f>
        <v>31497</v>
      </c>
    </row>
    <row r="1940" spans="1:6" x14ac:dyDescent="0.3">
      <c r="A1940">
        <v>1939</v>
      </c>
      <c r="B1940" t="s">
        <v>1125</v>
      </c>
      <c r="C1940" t="s">
        <v>2231</v>
      </c>
      <c r="D1940">
        <v>0</v>
      </c>
      <c r="E1940">
        <v>1994</v>
      </c>
      <c r="F1940">
        <f>messy_order_items_csv[[#This Row],[unit_price]]*messy_order_items_csv[[#This Row],[quantity]]</f>
        <v>0</v>
      </c>
    </row>
    <row r="1941" spans="1:6" x14ac:dyDescent="0.3">
      <c r="A1941">
        <v>1940</v>
      </c>
      <c r="B1941" t="s">
        <v>1507</v>
      </c>
      <c r="C1941" t="s">
        <v>2271</v>
      </c>
      <c r="E1941">
        <v>31497</v>
      </c>
      <c r="F1941">
        <f>messy_order_items_csv[[#This Row],[unit_price]]*messy_order_items_csv[[#This Row],[quantity]]</f>
        <v>0</v>
      </c>
    </row>
    <row r="1942" spans="1:6" x14ac:dyDescent="0.3">
      <c r="A1942">
        <v>1941</v>
      </c>
      <c r="B1942" t="s">
        <v>1620</v>
      </c>
      <c r="C1942" t="s">
        <v>2250</v>
      </c>
      <c r="D1942">
        <v>1</v>
      </c>
      <c r="E1942">
        <v>31497</v>
      </c>
      <c r="F1942">
        <f>messy_order_items_csv[[#This Row],[unit_price]]*messy_order_items_csv[[#This Row],[quantity]]</f>
        <v>31497</v>
      </c>
    </row>
    <row r="1943" spans="1:6" x14ac:dyDescent="0.3">
      <c r="A1943">
        <v>1942</v>
      </c>
      <c r="B1943" t="s">
        <v>1518</v>
      </c>
      <c r="C1943" t="s">
        <v>2229</v>
      </c>
      <c r="D1943">
        <v>3</v>
      </c>
      <c r="E1943">
        <v>47676</v>
      </c>
      <c r="F1943">
        <f>messy_order_items_csv[[#This Row],[unit_price]]*messy_order_items_csv[[#This Row],[quantity]]</f>
        <v>143028</v>
      </c>
    </row>
    <row r="1944" spans="1:6" x14ac:dyDescent="0.3">
      <c r="A1944">
        <v>1943</v>
      </c>
      <c r="B1944" t="s">
        <v>1812</v>
      </c>
      <c r="C1944" t="s">
        <v>2272</v>
      </c>
      <c r="D1944">
        <v>1</v>
      </c>
      <c r="E1944">
        <v>43027</v>
      </c>
      <c r="F1944">
        <f>messy_order_items_csv[[#This Row],[unit_price]]*messy_order_items_csv[[#This Row],[quantity]]</f>
        <v>43027</v>
      </c>
    </row>
    <row r="1945" spans="1:6" x14ac:dyDescent="0.3">
      <c r="A1945">
        <v>1944</v>
      </c>
      <c r="B1945" t="s">
        <v>1315</v>
      </c>
      <c r="C1945" t="s">
        <v>2223</v>
      </c>
      <c r="D1945">
        <v>3</v>
      </c>
      <c r="E1945">
        <v>31497</v>
      </c>
      <c r="F1945">
        <f>messy_order_items_csv[[#This Row],[unit_price]]*messy_order_items_csv[[#This Row],[quantity]]</f>
        <v>94491</v>
      </c>
    </row>
    <row r="1946" spans="1:6" x14ac:dyDescent="0.3">
      <c r="A1946">
        <v>1945</v>
      </c>
      <c r="B1946" t="s">
        <v>1729</v>
      </c>
      <c r="C1946" t="s">
        <v>2215</v>
      </c>
      <c r="D1946">
        <v>2</v>
      </c>
      <c r="E1946">
        <v>30268</v>
      </c>
      <c r="F1946">
        <f>messy_order_items_csv[[#This Row],[unit_price]]*messy_order_items_csv[[#This Row],[quantity]]</f>
        <v>60536</v>
      </c>
    </row>
    <row r="1947" spans="1:6" x14ac:dyDescent="0.3">
      <c r="A1947">
        <v>1946</v>
      </c>
      <c r="B1947" t="s">
        <v>1264</v>
      </c>
      <c r="C1947" t="s">
        <v>2238</v>
      </c>
      <c r="D1947">
        <v>1</v>
      </c>
      <c r="E1947">
        <v>65120</v>
      </c>
      <c r="F1947">
        <f>messy_order_items_csv[[#This Row],[unit_price]]*messy_order_items_csv[[#This Row],[quantity]]</f>
        <v>65120</v>
      </c>
    </row>
    <row r="1948" spans="1:6" x14ac:dyDescent="0.3">
      <c r="A1948">
        <v>1947</v>
      </c>
      <c r="B1948" t="s">
        <v>2060</v>
      </c>
      <c r="C1948" t="s">
        <v>2212</v>
      </c>
      <c r="D1948">
        <v>4</v>
      </c>
      <c r="E1948">
        <v>58364</v>
      </c>
      <c r="F1948">
        <f>messy_order_items_csv[[#This Row],[unit_price]]*messy_order_items_csv[[#This Row],[quantity]]</f>
        <v>233456</v>
      </c>
    </row>
    <row r="1949" spans="1:6" x14ac:dyDescent="0.3">
      <c r="A1949">
        <v>1948</v>
      </c>
      <c r="B1949" t="s">
        <v>1006</v>
      </c>
      <c r="C1949" t="s">
        <v>2242</v>
      </c>
      <c r="D1949">
        <v>4</v>
      </c>
      <c r="E1949">
        <v>31497</v>
      </c>
      <c r="F1949">
        <f>messy_order_items_csv[[#This Row],[unit_price]]*messy_order_items_csv[[#This Row],[quantity]]</f>
        <v>125988</v>
      </c>
    </row>
    <row r="1950" spans="1:6" x14ac:dyDescent="0.3">
      <c r="A1950">
        <v>1949</v>
      </c>
      <c r="B1950" t="s">
        <v>1124</v>
      </c>
      <c r="C1950" t="s">
        <v>2218</v>
      </c>
      <c r="E1950">
        <v>70926</v>
      </c>
      <c r="F1950">
        <f>messy_order_items_csv[[#This Row],[unit_price]]*messy_order_items_csv[[#This Row],[quantity]]</f>
        <v>0</v>
      </c>
    </row>
    <row r="1951" spans="1:6" x14ac:dyDescent="0.3">
      <c r="A1951">
        <v>1950</v>
      </c>
      <c r="B1951" t="s">
        <v>1282</v>
      </c>
      <c r="C1951" t="s">
        <v>2205</v>
      </c>
      <c r="D1951">
        <v>3</v>
      </c>
      <c r="E1951">
        <v>67443</v>
      </c>
      <c r="F1951">
        <f>messy_order_items_csv[[#This Row],[unit_price]]*messy_order_items_csv[[#This Row],[quantity]]</f>
        <v>202329</v>
      </c>
    </row>
    <row r="1952" spans="1:6" x14ac:dyDescent="0.3">
      <c r="A1952">
        <v>1951</v>
      </c>
      <c r="B1952" t="s">
        <v>1271</v>
      </c>
      <c r="C1952" t="s">
        <v>2253</v>
      </c>
      <c r="D1952">
        <v>4</v>
      </c>
      <c r="E1952">
        <v>68545</v>
      </c>
      <c r="F1952">
        <f>messy_order_items_csv[[#This Row],[unit_price]]*messy_order_items_csv[[#This Row],[quantity]]</f>
        <v>274180</v>
      </c>
    </row>
    <row r="1953" spans="1:6" x14ac:dyDescent="0.3">
      <c r="A1953">
        <v>1952</v>
      </c>
      <c r="B1953" t="s">
        <v>1176</v>
      </c>
      <c r="C1953" t="s">
        <v>2272</v>
      </c>
      <c r="D1953">
        <v>3</v>
      </c>
      <c r="E1953">
        <v>43027</v>
      </c>
      <c r="F1953">
        <f>messy_order_items_csv[[#This Row],[unit_price]]*messy_order_items_csv[[#This Row],[quantity]]</f>
        <v>129081</v>
      </c>
    </row>
    <row r="1954" spans="1:6" x14ac:dyDescent="0.3">
      <c r="A1954">
        <v>1953</v>
      </c>
      <c r="B1954" t="s">
        <v>2182</v>
      </c>
      <c r="C1954" t="s">
        <v>2212</v>
      </c>
      <c r="D1954">
        <v>3</v>
      </c>
      <c r="E1954">
        <v>58364</v>
      </c>
      <c r="F1954">
        <f>messy_order_items_csv[[#This Row],[unit_price]]*messy_order_items_csv[[#This Row],[quantity]]</f>
        <v>175092</v>
      </c>
    </row>
    <row r="1955" spans="1:6" x14ac:dyDescent="0.3">
      <c r="A1955">
        <v>1954</v>
      </c>
      <c r="B1955" t="s">
        <v>1208</v>
      </c>
      <c r="C1955" t="s">
        <v>2254</v>
      </c>
      <c r="D1955">
        <v>2</v>
      </c>
      <c r="E1955">
        <v>27615</v>
      </c>
      <c r="F1955">
        <f>messy_order_items_csv[[#This Row],[unit_price]]*messy_order_items_csv[[#This Row],[quantity]]</f>
        <v>55230</v>
      </c>
    </row>
    <row r="1956" spans="1:6" x14ac:dyDescent="0.3">
      <c r="A1956">
        <v>1955</v>
      </c>
      <c r="B1956" t="s">
        <v>1210</v>
      </c>
      <c r="C1956" t="s">
        <v>2195</v>
      </c>
      <c r="D1956">
        <v>4</v>
      </c>
      <c r="E1956">
        <v>73770</v>
      </c>
      <c r="F1956">
        <f>messy_order_items_csv[[#This Row],[unit_price]]*messy_order_items_csv[[#This Row],[quantity]]</f>
        <v>295080</v>
      </c>
    </row>
    <row r="1957" spans="1:6" x14ac:dyDescent="0.3">
      <c r="A1957">
        <v>1956</v>
      </c>
      <c r="B1957" t="s">
        <v>1528</v>
      </c>
      <c r="C1957" t="s">
        <v>2237</v>
      </c>
      <c r="D1957">
        <v>4</v>
      </c>
      <c r="E1957">
        <v>61022</v>
      </c>
      <c r="F1957">
        <f>messy_order_items_csv[[#This Row],[unit_price]]*messy_order_items_csv[[#This Row],[quantity]]</f>
        <v>244088</v>
      </c>
    </row>
    <row r="1958" spans="1:6" x14ac:dyDescent="0.3">
      <c r="A1958">
        <v>1957</v>
      </c>
      <c r="B1958" t="s">
        <v>2026</v>
      </c>
      <c r="C1958" t="s">
        <v>2244</v>
      </c>
      <c r="D1958">
        <v>0</v>
      </c>
      <c r="E1958">
        <v>17249</v>
      </c>
      <c r="F1958">
        <f>messy_order_items_csv[[#This Row],[unit_price]]*messy_order_items_csv[[#This Row],[quantity]]</f>
        <v>0</v>
      </c>
    </row>
    <row r="1959" spans="1:6" x14ac:dyDescent="0.3">
      <c r="A1959">
        <v>1958</v>
      </c>
      <c r="B1959" t="s">
        <v>1132</v>
      </c>
      <c r="C1959" t="s">
        <v>2214</v>
      </c>
      <c r="D1959">
        <v>4</v>
      </c>
      <c r="E1959">
        <v>31497</v>
      </c>
      <c r="F1959">
        <f>messy_order_items_csv[[#This Row],[unit_price]]*messy_order_items_csv[[#This Row],[quantity]]</f>
        <v>125988</v>
      </c>
    </row>
    <row r="1960" spans="1:6" x14ac:dyDescent="0.3">
      <c r="A1960">
        <v>1959</v>
      </c>
      <c r="B1960" t="s">
        <v>1820</v>
      </c>
      <c r="C1960" t="s">
        <v>2202</v>
      </c>
      <c r="D1960">
        <v>4</v>
      </c>
      <c r="E1960">
        <v>76434</v>
      </c>
      <c r="F1960">
        <f>messy_order_items_csv[[#This Row],[unit_price]]*messy_order_items_csv[[#This Row],[quantity]]</f>
        <v>305736</v>
      </c>
    </row>
    <row r="1961" spans="1:6" x14ac:dyDescent="0.3">
      <c r="A1961">
        <v>1960</v>
      </c>
      <c r="B1961" t="s">
        <v>1694</v>
      </c>
      <c r="C1961" t="s">
        <v>2248</v>
      </c>
      <c r="D1961">
        <v>3</v>
      </c>
      <c r="E1961">
        <v>31497</v>
      </c>
      <c r="F1961">
        <f>messy_order_items_csv[[#This Row],[unit_price]]*messy_order_items_csv[[#This Row],[quantity]]</f>
        <v>94491</v>
      </c>
    </row>
    <row r="1962" spans="1:6" x14ac:dyDescent="0.3">
      <c r="A1962">
        <v>1961</v>
      </c>
      <c r="B1962" t="s">
        <v>1639</v>
      </c>
      <c r="C1962" t="s">
        <v>2208</v>
      </c>
      <c r="D1962">
        <v>3</v>
      </c>
      <c r="E1962">
        <v>27156</v>
      </c>
      <c r="F1962">
        <f>messy_order_items_csv[[#This Row],[unit_price]]*messy_order_items_csv[[#This Row],[quantity]]</f>
        <v>81468</v>
      </c>
    </row>
    <row r="1963" spans="1:6" x14ac:dyDescent="0.3">
      <c r="A1963">
        <v>1962</v>
      </c>
      <c r="B1963" t="s">
        <v>1882</v>
      </c>
      <c r="C1963" t="s">
        <v>2244</v>
      </c>
      <c r="D1963">
        <v>0</v>
      </c>
      <c r="E1963">
        <v>31497</v>
      </c>
      <c r="F1963">
        <f>messy_order_items_csv[[#This Row],[unit_price]]*messy_order_items_csv[[#This Row],[quantity]]</f>
        <v>0</v>
      </c>
    </row>
    <row r="1964" spans="1:6" x14ac:dyDescent="0.3">
      <c r="A1964">
        <v>1963</v>
      </c>
      <c r="B1964" t="s">
        <v>1695</v>
      </c>
      <c r="C1964" t="s">
        <v>2203</v>
      </c>
      <c r="D1964">
        <v>2</v>
      </c>
      <c r="E1964">
        <v>76755</v>
      </c>
      <c r="F1964">
        <f>messy_order_items_csv[[#This Row],[unit_price]]*messy_order_items_csv[[#This Row],[quantity]]</f>
        <v>153510</v>
      </c>
    </row>
    <row r="1965" spans="1:6" x14ac:dyDescent="0.3">
      <c r="A1965">
        <v>1964</v>
      </c>
      <c r="B1965" t="s">
        <v>1149</v>
      </c>
      <c r="C1965" t="s">
        <v>2249</v>
      </c>
      <c r="D1965">
        <v>2</v>
      </c>
      <c r="E1965">
        <v>31497</v>
      </c>
      <c r="F1965">
        <f>messy_order_items_csv[[#This Row],[unit_price]]*messy_order_items_csv[[#This Row],[quantity]]</f>
        <v>62994</v>
      </c>
    </row>
    <row r="1966" spans="1:6" x14ac:dyDescent="0.3">
      <c r="A1966">
        <v>1965</v>
      </c>
      <c r="B1966" t="s">
        <v>1010</v>
      </c>
      <c r="C1966" t="s">
        <v>2235</v>
      </c>
      <c r="E1966">
        <v>31497</v>
      </c>
      <c r="F1966">
        <f>messy_order_items_csv[[#This Row],[unit_price]]*messy_order_items_csv[[#This Row],[quantity]]</f>
        <v>0</v>
      </c>
    </row>
    <row r="1967" spans="1:6" x14ac:dyDescent="0.3">
      <c r="A1967">
        <v>1966</v>
      </c>
      <c r="B1967" t="s">
        <v>1805</v>
      </c>
      <c r="C1967" t="s">
        <v>2269</v>
      </c>
      <c r="D1967">
        <v>1</v>
      </c>
      <c r="E1967">
        <v>41597</v>
      </c>
      <c r="F1967">
        <f>messy_order_items_csv[[#This Row],[unit_price]]*messy_order_items_csv[[#This Row],[quantity]]</f>
        <v>41597</v>
      </c>
    </row>
    <row r="1968" spans="1:6" x14ac:dyDescent="0.3">
      <c r="A1968">
        <v>1967</v>
      </c>
      <c r="B1968" t="s">
        <v>2140</v>
      </c>
      <c r="C1968" t="s">
        <v>2263</v>
      </c>
      <c r="D1968">
        <v>3</v>
      </c>
      <c r="E1968">
        <v>22366</v>
      </c>
      <c r="F1968">
        <f>messy_order_items_csv[[#This Row],[unit_price]]*messy_order_items_csv[[#This Row],[quantity]]</f>
        <v>67098</v>
      </c>
    </row>
    <row r="1969" spans="1:6" x14ac:dyDescent="0.3">
      <c r="A1969">
        <v>1968</v>
      </c>
      <c r="B1969" t="s">
        <v>1526</v>
      </c>
      <c r="C1969" t="s">
        <v>2195</v>
      </c>
      <c r="D1969">
        <v>0</v>
      </c>
      <c r="E1969">
        <v>47453</v>
      </c>
      <c r="F1969">
        <f>messy_order_items_csv[[#This Row],[unit_price]]*messy_order_items_csv[[#This Row],[quantity]]</f>
        <v>0</v>
      </c>
    </row>
    <row r="1970" spans="1:6" x14ac:dyDescent="0.3">
      <c r="A1970">
        <v>1969</v>
      </c>
      <c r="B1970" t="s">
        <v>1984</v>
      </c>
      <c r="C1970" t="s">
        <v>2251</v>
      </c>
      <c r="D1970">
        <v>3</v>
      </c>
      <c r="E1970">
        <v>31497</v>
      </c>
      <c r="F1970">
        <f>messy_order_items_csv[[#This Row],[unit_price]]*messy_order_items_csv[[#This Row],[quantity]]</f>
        <v>94491</v>
      </c>
    </row>
    <row r="1971" spans="1:6" x14ac:dyDescent="0.3">
      <c r="A1971">
        <v>1970</v>
      </c>
      <c r="B1971" t="s">
        <v>1487</v>
      </c>
      <c r="C1971" t="s">
        <v>2211</v>
      </c>
      <c r="D1971">
        <v>1</v>
      </c>
      <c r="E1971">
        <v>54166</v>
      </c>
      <c r="F1971">
        <f>messy_order_items_csv[[#This Row],[unit_price]]*messy_order_items_csv[[#This Row],[quantity]]</f>
        <v>54166</v>
      </c>
    </row>
    <row r="1972" spans="1:6" x14ac:dyDescent="0.3">
      <c r="A1972">
        <v>1971</v>
      </c>
      <c r="B1972" t="s">
        <v>1670</v>
      </c>
      <c r="C1972" t="s">
        <v>2258</v>
      </c>
      <c r="D1972">
        <v>1</v>
      </c>
      <c r="E1972">
        <v>51735</v>
      </c>
      <c r="F1972">
        <f>messy_order_items_csv[[#This Row],[unit_price]]*messy_order_items_csv[[#This Row],[quantity]]</f>
        <v>51735</v>
      </c>
    </row>
    <row r="1973" spans="1:6" x14ac:dyDescent="0.3">
      <c r="A1973">
        <v>1972</v>
      </c>
      <c r="B1973" t="s">
        <v>1484</v>
      </c>
      <c r="C1973" t="s">
        <v>2221</v>
      </c>
      <c r="D1973">
        <v>2</v>
      </c>
      <c r="E1973">
        <v>8530</v>
      </c>
      <c r="F1973">
        <f>messy_order_items_csv[[#This Row],[unit_price]]*messy_order_items_csv[[#This Row],[quantity]]</f>
        <v>17060</v>
      </c>
    </row>
    <row r="1974" spans="1:6" x14ac:dyDescent="0.3">
      <c r="A1974">
        <v>1973</v>
      </c>
      <c r="B1974" t="s">
        <v>2035</v>
      </c>
      <c r="C1974" t="s">
        <v>2232</v>
      </c>
      <c r="D1974">
        <v>2</v>
      </c>
      <c r="E1974">
        <v>31497</v>
      </c>
      <c r="F1974">
        <f>messy_order_items_csv[[#This Row],[unit_price]]*messy_order_items_csv[[#This Row],[quantity]]</f>
        <v>62994</v>
      </c>
    </row>
    <row r="1975" spans="1:6" x14ac:dyDescent="0.3">
      <c r="A1975">
        <v>1974</v>
      </c>
      <c r="B1975" t="s">
        <v>1389</v>
      </c>
      <c r="C1975" t="s">
        <v>2238</v>
      </c>
      <c r="D1975">
        <v>3</v>
      </c>
      <c r="E1975">
        <v>18969</v>
      </c>
      <c r="F1975">
        <f>messy_order_items_csv[[#This Row],[unit_price]]*messy_order_items_csv[[#This Row],[quantity]]</f>
        <v>56907</v>
      </c>
    </row>
    <row r="1976" spans="1:6" x14ac:dyDescent="0.3">
      <c r="A1976">
        <v>1975</v>
      </c>
      <c r="B1976" t="s">
        <v>2105</v>
      </c>
      <c r="C1976" t="s">
        <v>2213</v>
      </c>
      <c r="D1976">
        <v>3</v>
      </c>
      <c r="E1976">
        <v>38257</v>
      </c>
      <c r="F1976">
        <f>messy_order_items_csv[[#This Row],[unit_price]]*messy_order_items_csv[[#This Row],[quantity]]</f>
        <v>114771</v>
      </c>
    </row>
    <row r="1977" spans="1:6" x14ac:dyDescent="0.3">
      <c r="A1977">
        <v>1976</v>
      </c>
      <c r="B1977" t="s">
        <v>1505</v>
      </c>
      <c r="C1977" t="s">
        <v>2244</v>
      </c>
      <c r="D1977">
        <v>4</v>
      </c>
      <c r="E1977">
        <v>31497</v>
      </c>
      <c r="F1977">
        <f>messy_order_items_csv[[#This Row],[unit_price]]*messy_order_items_csv[[#This Row],[quantity]]</f>
        <v>125988</v>
      </c>
    </row>
    <row r="1978" spans="1:6" x14ac:dyDescent="0.3">
      <c r="A1978">
        <v>1977</v>
      </c>
      <c r="B1978" t="s">
        <v>1303</v>
      </c>
      <c r="C1978" t="s">
        <v>2210</v>
      </c>
      <c r="D1978">
        <v>4</v>
      </c>
      <c r="E1978">
        <v>59566</v>
      </c>
      <c r="F1978">
        <f>messy_order_items_csv[[#This Row],[unit_price]]*messy_order_items_csv[[#This Row],[quantity]]</f>
        <v>238264</v>
      </c>
    </row>
    <row r="1979" spans="1:6" x14ac:dyDescent="0.3">
      <c r="A1979">
        <v>1978</v>
      </c>
      <c r="B1979" t="s">
        <v>1785</v>
      </c>
      <c r="C1979" t="s">
        <v>2204</v>
      </c>
      <c r="E1979">
        <v>31497</v>
      </c>
      <c r="F1979">
        <f>messy_order_items_csv[[#This Row],[unit_price]]*messy_order_items_csv[[#This Row],[quantity]]</f>
        <v>0</v>
      </c>
    </row>
    <row r="1980" spans="1:6" x14ac:dyDescent="0.3">
      <c r="A1980">
        <v>1979</v>
      </c>
      <c r="B1980" t="s">
        <v>1391</v>
      </c>
      <c r="C1980" t="s">
        <v>2202</v>
      </c>
      <c r="D1980">
        <v>0</v>
      </c>
      <c r="E1980">
        <v>31497</v>
      </c>
      <c r="F1980">
        <f>messy_order_items_csv[[#This Row],[unit_price]]*messy_order_items_csv[[#This Row],[quantity]]</f>
        <v>0</v>
      </c>
    </row>
    <row r="1981" spans="1:6" x14ac:dyDescent="0.3">
      <c r="A1981">
        <v>1980</v>
      </c>
      <c r="B1981" t="s">
        <v>2045</v>
      </c>
      <c r="C1981" t="s">
        <v>2248</v>
      </c>
      <c r="D1981">
        <v>1</v>
      </c>
      <c r="E1981">
        <v>70827</v>
      </c>
      <c r="F1981">
        <f>messy_order_items_csv[[#This Row],[unit_price]]*messy_order_items_csv[[#This Row],[quantity]]</f>
        <v>70827</v>
      </c>
    </row>
    <row r="1982" spans="1:6" x14ac:dyDescent="0.3">
      <c r="A1982">
        <v>1981</v>
      </c>
      <c r="B1982" t="s">
        <v>1590</v>
      </c>
      <c r="C1982" t="s">
        <v>2243</v>
      </c>
      <c r="D1982">
        <v>3</v>
      </c>
      <c r="E1982">
        <v>22809</v>
      </c>
      <c r="F1982">
        <f>messy_order_items_csv[[#This Row],[unit_price]]*messy_order_items_csv[[#This Row],[quantity]]</f>
        <v>68427</v>
      </c>
    </row>
    <row r="1983" spans="1:6" x14ac:dyDescent="0.3">
      <c r="A1983">
        <v>1982</v>
      </c>
      <c r="B1983" t="s">
        <v>2007</v>
      </c>
      <c r="C1983" t="s">
        <v>2207</v>
      </c>
      <c r="D1983">
        <v>4</v>
      </c>
      <c r="E1983">
        <v>31497</v>
      </c>
      <c r="F1983">
        <f>messy_order_items_csv[[#This Row],[unit_price]]*messy_order_items_csv[[#This Row],[quantity]]</f>
        <v>125988</v>
      </c>
    </row>
    <row r="1984" spans="1:6" x14ac:dyDescent="0.3">
      <c r="A1984">
        <v>1983</v>
      </c>
      <c r="B1984" t="s">
        <v>1536</v>
      </c>
      <c r="C1984" t="s">
        <v>2233</v>
      </c>
      <c r="D1984">
        <v>0</v>
      </c>
      <c r="E1984">
        <v>31497</v>
      </c>
      <c r="F1984">
        <f>messy_order_items_csv[[#This Row],[unit_price]]*messy_order_items_csv[[#This Row],[quantity]]</f>
        <v>0</v>
      </c>
    </row>
    <row r="1985" spans="1:6" x14ac:dyDescent="0.3">
      <c r="A1985">
        <v>1984</v>
      </c>
      <c r="B1985" t="s">
        <v>1262</v>
      </c>
      <c r="C1985" t="s">
        <v>2238</v>
      </c>
      <c r="D1985">
        <v>1</v>
      </c>
      <c r="E1985">
        <v>31684</v>
      </c>
      <c r="F1985">
        <f>messy_order_items_csv[[#This Row],[unit_price]]*messy_order_items_csv[[#This Row],[quantity]]</f>
        <v>31684</v>
      </c>
    </row>
    <row r="1986" spans="1:6" x14ac:dyDescent="0.3">
      <c r="A1986">
        <v>1985</v>
      </c>
      <c r="B1986" t="s">
        <v>2074</v>
      </c>
      <c r="C1986" t="s">
        <v>2253</v>
      </c>
      <c r="D1986">
        <v>1</v>
      </c>
      <c r="E1986">
        <v>52954</v>
      </c>
      <c r="F1986">
        <f>messy_order_items_csv[[#This Row],[unit_price]]*messy_order_items_csv[[#This Row],[quantity]]</f>
        <v>52954</v>
      </c>
    </row>
    <row r="1987" spans="1:6" x14ac:dyDescent="0.3">
      <c r="A1987">
        <v>1986</v>
      </c>
      <c r="B1987" t="s">
        <v>1682</v>
      </c>
      <c r="C1987" t="s">
        <v>2219</v>
      </c>
      <c r="D1987">
        <v>1</v>
      </c>
      <c r="E1987">
        <v>31497</v>
      </c>
      <c r="F1987">
        <f>messy_order_items_csv[[#This Row],[unit_price]]*messy_order_items_csv[[#This Row],[quantity]]</f>
        <v>31497</v>
      </c>
    </row>
    <row r="1988" spans="1:6" x14ac:dyDescent="0.3">
      <c r="A1988">
        <v>1987</v>
      </c>
      <c r="B1988" t="s">
        <v>1453</v>
      </c>
      <c r="C1988" t="s">
        <v>2206</v>
      </c>
      <c r="D1988">
        <v>4</v>
      </c>
      <c r="E1988">
        <v>70585</v>
      </c>
      <c r="F1988">
        <f>messy_order_items_csv[[#This Row],[unit_price]]*messy_order_items_csv[[#This Row],[quantity]]</f>
        <v>282340</v>
      </c>
    </row>
    <row r="1989" spans="1:6" x14ac:dyDescent="0.3">
      <c r="A1989">
        <v>1988</v>
      </c>
      <c r="B1989" t="s">
        <v>1725</v>
      </c>
      <c r="C1989" t="s">
        <v>2195</v>
      </c>
      <c r="D1989">
        <v>2</v>
      </c>
      <c r="E1989">
        <v>47453</v>
      </c>
      <c r="F1989">
        <f>messy_order_items_csv[[#This Row],[unit_price]]*messy_order_items_csv[[#This Row],[quantity]]</f>
        <v>94906</v>
      </c>
    </row>
    <row r="1990" spans="1:6" x14ac:dyDescent="0.3">
      <c r="A1990">
        <v>1989</v>
      </c>
      <c r="B1990" t="s">
        <v>1238</v>
      </c>
      <c r="C1990" t="s">
        <v>2225</v>
      </c>
      <c r="D1990">
        <v>2</v>
      </c>
      <c r="E1990">
        <v>31497</v>
      </c>
      <c r="F1990">
        <f>messy_order_items_csv[[#This Row],[unit_price]]*messy_order_items_csv[[#This Row],[quantity]]</f>
        <v>62994</v>
      </c>
    </row>
    <row r="1991" spans="1:6" x14ac:dyDescent="0.3">
      <c r="A1991">
        <v>1990</v>
      </c>
      <c r="B1991" t="s">
        <v>1563</v>
      </c>
      <c r="C1991" t="s">
        <v>2198</v>
      </c>
      <c r="D1991">
        <v>3</v>
      </c>
      <c r="E1991">
        <v>63064</v>
      </c>
      <c r="F1991">
        <f>messy_order_items_csv[[#This Row],[unit_price]]*messy_order_items_csv[[#This Row],[quantity]]</f>
        <v>189192</v>
      </c>
    </row>
    <row r="1992" spans="1:6" x14ac:dyDescent="0.3">
      <c r="A1992">
        <v>1991</v>
      </c>
      <c r="B1992" t="s">
        <v>1191</v>
      </c>
      <c r="C1992" t="s">
        <v>2260</v>
      </c>
      <c r="D1992">
        <v>4</v>
      </c>
      <c r="E1992">
        <v>33450</v>
      </c>
      <c r="F1992">
        <f>messy_order_items_csv[[#This Row],[unit_price]]*messy_order_items_csv[[#This Row],[quantity]]</f>
        <v>133800</v>
      </c>
    </row>
    <row r="1993" spans="1:6" x14ac:dyDescent="0.3">
      <c r="A1993">
        <v>1992</v>
      </c>
      <c r="B1993" t="s">
        <v>1724</v>
      </c>
      <c r="C1993" t="s">
        <v>2248</v>
      </c>
      <c r="D1993">
        <v>2</v>
      </c>
      <c r="E1993">
        <v>31497</v>
      </c>
      <c r="F1993">
        <f>messy_order_items_csv[[#This Row],[unit_price]]*messy_order_items_csv[[#This Row],[quantity]]</f>
        <v>62994</v>
      </c>
    </row>
    <row r="1994" spans="1:6" x14ac:dyDescent="0.3">
      <c r="A1994">
        <v>1993</v>
      </c>
      <c r="B1994" t="s">
        <v>1320</v>
      </c>
      <c r="C1994" t="s">
        <v>2200</v>
      </c>
      <c r="D1994">
        <v>3</v>
      </c>
      <c r="E1994">
        <v>40670</v>
      </c>
      <c r="F1994">
        <f>messy_order_items_csv[[#This Row],[unit_price]]*messy_order_items_csv[[#This Row],[quantity]]</f>
        <v>122010</v>
      </c>
    </row>
    <row r="1995" spans="1:6" x14ac:dyDescent="0.3">
      <c r="A1995">
        <v>1994</v>
      </c>
      <c r="B1995" t="s">
        <v>1889</v>
      </c>
      <c r="C1995" t="s">
        <v>2222</v>
      </c>
      <c r="E1995">
        <v>51205</v>
      </c>
      <c r="F1995">
        <f>messy_order_items_csv[[#This Row],[unit_price]]*messy_order_items_csv[[#This Row],[quantity]]</f>
        <v>0</v>
      </c>
    </row>
    <row r="1996" spans="1:6" x14ac:dyDescent="0.3">
      <c r="A1996">
        <v>1995</v>
      </c>
      <c r="B1996" t="s">
        <v>1354</v>
      </c>
      <c r="C1996" t="s">
        <v>2215</v>
      </c>
      <c r="D1996">
        <v>3</v>
      </c>
      <c r="E1996">
        <v>31497</v>
      </c>
      <c r="F1996">
        <f>messy_order_items_csv[[#This Row],[unit_price]]*messy_order_items_csv[[#This Row],[quantity]]</f>
        <v>94491</v>
      </c>
    </row>
    <row r="1997" spans="1:6" x14ac:dyDescent="0.3">
      <c r="A1997">
        <v>1996</v>
      </c>
      <c r="B1997" t="s">
        <v>1934</v>
      </c>
      <c r="C1997" t="s">
        <v>2197</v>
      </c>
      <c r="D1997">
        <v>4</v>
      </c>
      <c r="E1997">
        <v>64106</v>
      </c>
      <c r="F1997">
        <f>messy_order_items_csv[[#This Row],[unit_price]]*messy_order_items_csv[[#This Row],[quantity]]</f>
        <v>256424</v>
      </c>
    </row>
    <row r="1998" spans="1:6" x14ac:dyDescent="0.3">
      <c r="A1998">
        <v>1997</v>
      </c>
      <c r="B1998" t="s">
        <v>1619</v>
      </c>
      <c r="C1998" t="s">
        <v>2230</v>
      </c>
      <c r="D1998">
        <v>4</v>
      </c>
      <c r="E1998">
        <v>31497</v>
      </c>
      <c r="F1998">
        <f>messy_order_items_csv[[#This Row],[unit_price]]*messy_order_items_csv[[#This Row],[quantity]]</f>
        <v>125988</v>
      </c>
    </row>
    <row r="1999" spans="1:6" x14ac:dyDescent="0.3">
      <c r="A1999">
        <v>1998</v>
      </c>
      <c r="B1999" t="s">
        <v>1693</v>
      </c>
      <c r="C1999" t="s">
        <v>2250</v>
      </c>
      <c r="D1999">
        <v>0</v>
      </c>
      <c r="E1999">
        <v>76524</v>
      </c>
      <c r="F1999">
        <f>messy_order_items_csv[[#This Row],[unit_price]]*messy_order_items_csv[[#This Row],[quantity]]</f>
        <v>0</v>
      </c>
    </row>
    <row r="2000" spans="1:6" x14ac:dyDescent="0.3">
      <c r="A2000">
        <v>1999</v>
      </c>
      <c r="B2000" t="s">
        <v>2073</v>
      </c>
      <c r="C2000" t="s">
        <v>2235</v>
      </c>
      <c r="D2000">
        <v>3</v>
      </c>
      <c r="E2000">
        <v>18251</v>
      </c>
      <c r="F2000">
        <f>messy_order_items_csv[[#This Row],[unit_price]]*messy_order_items_csv[[#This Row],[quantity]]</f>
        <v>54753</v>
      </c>
    </row>
    <row r="2001" spans="1:6" x14ac:dyDescent="0.3">
      <c r="A2001">
        <v>2000</v>
      </c>
      <c r="B2001" t="s">
        <v>1586</v>
      </c>
      <c r="C2001" t="s">
        <v>2196</v>
      </c>
      <c r="E2001">
        <v>33991</v>
      </c>
      <c r="F2001">
        <f>messy_order_items_csv[[#This Row],[unit_price]]*messy_order_items_csv[[#This Row],[quantity]]</f>
        <v>0</v>
      </c>
    </row>
    <row r="2002" spans="1:6" x14ac:dyDescent="0.3">
      <c r="A2002">
        <v>689</v>
      </c>
      <c r="B2002" t="s">
        <v>2011</v>
      </c>
      <c r="C2002" t="s">
        <v>2271</v>
      </c>
      <c r="D2002">
        <v>0</v>
      </c>
      <c r="E2002">
        <v>31497</v>
      </c>
      <c r="F2002">
        <f>messy_order_items_csv[[#This Row],[unit_price]]*messy_order_items_csv[[#This Row],[quantity]]</f>
        <v>0</v>
      </c>
    </row>
    <row r="2003" spans="1:6" x14ac:dyDescent="0.3">
      <c r="A2003">
        <v>436</v>
      </c>
      <c r="B2003" t="s">
        <v>1376</v>
      </c>
      <c r="C2003" t="s">
        <v>2241</v>
      </c>
      <c r="D2003">
        <v>3</v>
      </c>
      <c r="E2003">
        <v>31320</v>
      </c>
      <c r="F2003">
        <f>messy_order_items_csv[[#This Row],[unit_price]]*messy_order_items_csv[[#This Row],[quantity]]</f>
        <v>93960</v>
      </c>
    </row>
    <row r="2004" spans="1:6" x14ac:dyDescent="0.3">
      <c r="A2004">
        <v>1596</v>
      </c>
      <c r="B2004" t="s">
        <v>1166</v>
      </c>
      <c r="C2004" t="s">
        <v>2212</v>
      </c>
      <c r="D2004">
        <v>1</v>
      </c>
      <c r="E2004">
        <v>58364</v>
      </c>
      <c r="F2004">
        <f>messy_order_items_csv[[#This Row],[unit_price]]*messy_order_items_csv[[#This Row],[quantity]]</f>
        <v>58364</v>
      </c>
    </row>
    <row r="2005" spans="1:6" x14ac:dyDescent="0.3">
      <c r="A2005">
        <v>1775</v>
      </c>
      <c r="B2005" t="s">
        <v>1886</v>
      </c>
      <c r="C2005" t="s">
        <v>2217</v>
      </c>
      <c r="D2005">
        <v>3</v>
      </c>
      <c r="E2005">
        <v>40678</v>
      </c>
      <c r="F2005">
        <f>messy_order_items_csv[[#This Row],[unit_price]]*messy_order_items_csv[[#This Row],[quantity]]</f>
        <v>122034</v>
      </c>
    </row>
    <row r="2006" spans="1:6" x14ac:dyDescent="0.3">
      <c r="A2006">
        <v>1904</v>
      </c>
      <c r="B2006" t="s">
        <v>1302</v>
      </c>
      <c r="C2006" t="s">
        <v>2273</v>
      </c>
      <c r="D2006">
        <v>3</v>
      </c>
      <c r="E2006">
        <v>31497</v>
      </c>
      <c r="F2006">
        <f>messy_order_items_csv[[#This Row],[unit_price]]*messy_order_items_csv[[#This Row],[quantity]]</f>
        <v>94491</v>
      </c>
    </row>
    <row r="2007" spans="1:6" x14ac:dyDescent="0.3">
      <c r="A2007">
        <v>1420</v>
      </c>
      <c r="B2007" t="s">
        <v>1317</v>
      </c>
      <c r="C2007" t="s">
        <v>2253</v>
      </c>
      <c r="D2007">
        <v>2</v>
      </c>
      <c r="E2007">
        <v>53326</v>
      </c>
      <c r="F2007">
        <f>messy_order_items_csv[[#This Row],[unit_price]]*messy_order_items_csv[[#This Row],[quantity]]</f>
        <v>106652</v>
      </c>
    </row>
    <row r="2008" spans="1:6" x14ac:dyDescent="0.3">
      <c r="A2008">
        <v>411</v>
      </c>
      <c r="B2008" t="s">
        <v>2044</v>
      </c>
      <c r="C2008" t="s">
        <v>2207</v>
      </c>
      <c r="D2008">
        <v>0</v>
      </c>
      <c r="E2008">
        <v>85189</v>
      </c>
      <c r="F2008">
        <f>messy_order_items_csv[[#This Row],[unit_price]]*messy_order_items_csv[[#This Row],[quantity]]</f>
        <v>0</v>
      </c>
    </row>
    <row r="2009" spans="1:6" x14ac:dyDescent="0.3">
      <c r="A2009">
        <v>697</v>
      </c>
      <c r="B2009" t="s">
        <v>1345</v>
      </c>
      <c r="C2009" t="s">
        <v>2221</v>
      </c>
      <c r="D2009">
        <v>4</v>
      </c>
      <c r="E2009">
        <v>55126</v>
      </c>
      <c r="F2009">
        <f>messy_order_items_csv[[#This Row],[unit_price]]*messy_order_items_csv[[#This Row],[quantity]]</f>
        <v>220504</v>
      </c>
    </row>
    <row r="2010" spans="1:6" x14ac:dyDescent="0.3">
      <c r="A2010">
        <v>1006</v>
      </c>
      <c r="B2010" t="s">
        <v>1740</v>
      </c>
      <c r="C2010" t="s">
        <v>2257</v>
      </c>
      <c r="D2010">
        <v>0</v>
      </c>
      <c r="E2010">
        <v>31497</v>
      </c>
      <c r="F2010">
        <f>messy_order_items_csv[[#This Row],[unit_price]]*messy_order_items_csv[[#This Row],[quantity]]</f>
        <v>0</v>
      </c>
    </row>
    <row r="2011" spans="1:6" x14ac:dyDescent="0.3">
      <c r="A2011">
        <v>861</v>
      </c>
      <c r="B2011" t="s">
        <v>1195</v>
      </c>
      <c r="C2011" t="s">
        <v>2240</v>
      </c>
      <c r="D2011">
        <v>4</v>
      </c>
      <c r="E2011">
        <v>55826</v>
      </c>
      <c r="F2011">
        <f>messy_order_items_csv[[#This Row],[unit_price]]*messy_order_items_csv[[#This Row],[quantity]]</f>
        <v>223304</v>
      </c>
    </row>
    <row r="2012" spans="1:6" x14ac:dyDescent="0.3">
      <c r="A2012">
        <v>1532</v>
      </c>
      <c r="B2012" t="s">
        <v>1004</v>
      </c>
      <c r="C2012" t="s">
        <v>2259</v>
      </c>
      <c r="D2012">
        <v>2</v>
      </c>
      <c r="E2012">
        <v>56095</v>
      </c>
      <c r="F2012">
        <f>messy_order_items_csv[[#This Row],[unit_price]]*messy_order_items_csv[[#This Row],[quantity]]</f>
        <v>112190</v>
      </c>
    </row>
    <row r="2013" spans="1:6" x14ac:dyDescent="0.3">
      <c r="A2013">
        <v>111</v>
      </c>
      <c r="B2013" t="s">
        <v>2080</v>
      </c>
      <c r="C2013" t="s">
        <v>2247</v>
      </c>
      <c r="D2013">
        <v>0</v>
      </c>
      <c r="E2013">
        <v>41057</v>
      </c>
      <c r="F2013">
        <f>messy_order_items_csv[[#This Row],[unit_price]]*messy_order_items_csv[[#This Row],[quantity]]</f>
        <v>0</v>
      </c>
    </row>
    <row r="2014" spans="1:6" x14ac:dyDescent="0.3">
      <c r="A2014">
        <v>1261</v>
      </c>
      <c r="B2014" t="s">
        <v>1075</v>
      </c>
      <c r="C2014" t="s">
        <v>2274</v>
      </c>
      <c r="D2014">
        <v>0</v>
      </c>
      <c r="E2014">
        <v>76395</v>
      </c>
      <c r="F2014">
        <f>messy_order_items_csv[[#This Row],[unit_price]]*messy_order_items_csv[[#This Row],[quantity]]</f>
        <v>0</v>
      </c>
    </row>
    <row r="2015" spans="1:6" x14ac:dyDescent="0.3">
      <c r="A2015">
        <v>746</v>
      </c>
      <c r="B2015" t="s">
        <v>1145</v>
      </c>
      <c r="C2015" t="s">
        <v>2273</v>
      </c>
      <c r="D2015">
        <v>1</v>
      </c>
      <c r="E2015">
        <v>31497</v>
      </c>
      <c r="F2015">
        <f>messy_order_items_csv[[#This Row],[unit_price]]*messy_order_items_csv[[#This Row],[quantity]]</f>
        <v>31497</v>
      </c>
    </row>
    <row r="2016" spans="1:6" x14ac:dyDescent="0.3">
      <c r="A2016">
        <v>360</v>
      </c>
      <c r="B2016" t="s">
        <v>1513</v>
      </c>
      <c r="C2016" t="s">
        <v>2206</v>
      </c>
      <c r="D2016">
        <v>0</v>
      </c>
      <c r="E2016">
        <v>49730</v>
      </c>
      <c r="F2016">
        <f>messy_order_items_csv[[#This Row],[unit_price]]*messy_order_items_csv[[#This Row],[quantity]]</f>
        <v>0</v>
      </c>
    </row>
    <row r="2017" spans="1:6" x14ac:dyDescent="0.3">
      <c r="A2017">
        <v>159</v>
      </c>
      <c r="B2017" t="s">
        <v>1717</v>
      </c>
      <c r="C2017" t="s">
        <v>2239</v>
      </c>
      <c r="D2017">
        <v>1</v>
      </c>
      <c r="E2017">
        <v>34931</v>
      </c>
      <c r="F2017">
        <f>messy_order_items_csv[[#This Row],[unit_price]]*messy_order_items_csv[[#This Row],[quantity]]</f>
        <v>34931</v>
      </c>
    </row>
    <row r="2018" spans="1:6" x14ac:dyDescent="0.3">
      <c r="A2018">
        <v>988</v>
      </c>
      <c r="B2018" t="s">
        <v>1602</v>
      </c>
      <c r="C2018" t="s">
        <v>2240</v>
      </c>
      <c r="D2018">
        <v>1</v>
      </c>
      <c r="E2018">
        <v>11160</v>
      </c>
      <c r="F2018">
        <f>messy_order_items_csv[[#This Row],[unit_price]]*messy_order_items_csv[[#This Row],[quantity]]</f>
        <v>11160</v>
      </c>
    </row>
    <row r="2019" spans="1:6" x14ac:dyDescent="0.3">
      <c r="A2019">
        <v>982</v>
      </c>
      <c r="B2019" t="s">
        <v>1290</v>
      </c>
      <c r="C2019" t="s">
        <v>2272</v>
      </c>
      <c r="D2019">
        <v>0</v>
      </c>
      <c r="E2019">
        <v>53459</v>
      </c>
      <c r="F2019">
        <f>messy_order_items_csv[[#This Row],[unit_price]]*messy_order_items_csv[[#This Row],[quantity]]</f>
        <v>0</v>
      </c>
    </row>
    <row r="2020" spans="1:6" x14ac:dyDescent="0.3">
      <c r="A2020">
        <v>1372</v>
      </c>
      <c r="B2020" t="s">
        <v>2181</v>
      </c>
      <c r="C2020" t="s">
        <v>2206</v>
      </c>
      <c r="D2020">
        <v>2</v>
      </c>
      <c r="E2020">
        <v>89156</v>
      </c>
      <c r="F2020">
        <f>messy_order_items_csv[[#This Row],[unit_price]]*messy_order_items_csv[[#This Row],[quantity]]</f>
        <v>178312</v>
      </c>
    </row>
    <row r="2021" spans="1:6" x14ac:dyDescent="0.3">
      <c r="A2021">
        <v>1502</v>
      </c>
      <c r="B2021" t="s">
        <v>1423</v>
      </c>
      <c r="C2021" t="s">
        <v>2247</v>
      </c>
      <c r="D2021">
        <v>0</v>
      </c>
      <c r="E2021">
        <v>40538</v>
      </c>
      <c r="F2021">
        <f>messy_order_items_csv[[#This Row],[unit_price]]*messy_order_items_csv[[#This Row],[quantity]]</f>
        <v>0</v>
      </c>
    </row>
    <row r="2022" spans="1:6" x14ac:dyDescent="0.3">
      <c r="A2022">
        <v>306</v>
      </c>
      <c r="B2022" t="s">
        <v>1344</v>
      </c>
      <c r="C2022" t="s">
        <v>2219</v>
      </c>
      <c r="D2022">
        <v>0</v>
      </c>
      <c r="E2022">
        <v>31497</v>
      </c>
      <c r="F2022">
        <f>messy_order_items_csv[[#This Row],[unit_price]]*messy_order_items_csv[[#This Row],[quantity]]</f>
        <v>0</v>
      </c>
    </row>
    <row r="2023" spans="1:6" x14ac:dyDescent="0.3">
      <c r="A2023">
        <v>1849</v>
      </c>
      <c r="B2023" t="s">
        <v>1990</v>
      </c>
      <c r="C2023" t="s">
        <v>2242</v>
      </c>
      <c r="D2023">
        <v>2</v>
      </c>
      <c r="E2023">
        <v>31497</v>
      </c>
      <c r="F2023">
        <f>messy_order_items_csv[[#This Row],[unit_price]]*messy_order_items_csv[[#This Row],[quantity]]</f>
        <v>62994</v>
      </c>
    </row>
    <row r="2024" spans="1:6" x14ac:dyDescent="0.3">
      <c r="A2024">
        <v>635</v>
      </c>
      <c r="B2024" t="s">
        <v>1766</v>
      </c>
      <c r="C2024" t="s">
        <v>2202</v>
      </c>
      <c r="D2024">
        <v>1</v>
      </c>
      <c r="E2024">
        <v>16837</v>
      </c>
      <c r="F2024">
        <f>messy_order_items_csv[[#This Row],[unit_price]]*messy_order_items_csv[[#This Row],[quantity]]</f>
        <v>16837</v>
      </c>
    </row>
    <row r="2025" spans="1:6" x14ac:dyDescent="0.3">
      <c r="A2025">
        <v>549</v>
      </c>
      <c r="B2025" t="s">
        <v>1671</v>
      </c>
      <c r="C2025" t="s">
        <v>2239</v>
      </c>
      <c r="D2025">
        <v>3</v>
      </c>
      <c r="E2025">
        <v>63663</v>
      </c>
      <c r="F2025">
        <f>messy_order_items_csv[[#This Row],[unit_price]]*messy_order_items_csv[[#This Row],[quantity]]</f>
        <v>190989</v>
      </c>
    </row>
    <row r="2026" spans="1:6" x14ac:dyDescent="0.3">
      <c r="A2026">
        <v>1203</v>
      </c>
      <c r="B2026" t="s">
        <v>1998</v>
      </c>
      <c r="C2026" t="s">
        <v>2217</v>
      </c>
      <c r="D2026">
        <v>4</v>
      </c>
      <c r="E2026">
        <v>44051</v>
      </c>
      <c r="F2026">
        <f>messy_order_items_csv[[#This Row],[unit_price]]*messy_order_items_csv[[#This Row],[quantity]]</f>
        <v>176204</v>
      </c>
    </row>
    <row r="2027" spans="1:6" x14ac:dyDescent="0.3">
      <c r="A2027">
        <v>1767</v>
      </c>
      <c r="B2027" t="s">
        <v>1810</v>
      </c>
      <c r="C2027" t="s">
        <v>2270</v>
      </c>
      <c r="D2027">
        <v>4</v>
      </c>
      <c r="E2027">
        <v>35319</v>
      </c>
      <c r="F2027">
        <f>messy_order_items_csv[[#This Row],[unit_price]]*messy_order_items_csv[[#This Row],[quantity]]</f>
        <v>141276</v>
      </c>
    </row>
    <row r="2028" spans="1:6" x14ac:dyDescent="0.3">
      <c r="A2028">
        <v>546</v>
      </c>
      <c r="B2028" t="s">
        <v>1626</v>
      </c>
      <c r="C2028" t="s">
        <v>2196</v>
      </c>
      <c r="E2028">
        <v>31497</v>
      </c>
      <c r="F2028">
        <f>messy_order_items_csv[[#This Row],[unit_price]]*messy_order_items_csv[[#This Row],[quantity]]</f>
        <v>0</v>
      </c>
    </row>
    <row r="2029" spans="1:6" x14ac:dyDescent="0.3">
      <c r="A2029">
        <v>197</v>
      </c>
      <c r="B2029" t="s">
        <v>1291</v>
      </c>
      <c r="C2029" t="s">
        <v>2251</v>
      </c>
      <c r="D2029">
        <v>3</v>
      </c>
      <c r="E2029">
        <v>60818</v>
      </c>
      <c r="F2029">
        <f>messy_order_items_csv[[#This Row],[unit_price]]*messy_order_items_csv[[#This Row],[quantity]]</f>
        <v>182454</v>
      </c>
    </row>
    <row r="2030" spans="1:6" x14ac:dyDescent="0.3">
      <c r="A2030">
        <v>310</v>
      </c>
      <c r="B2030" t="s">
        <v>2008</v>
      </c>
      <c r="C2030" t="s">
        <v>2228</v>
      </c>
      <c r="D2030">
        <v>1</v>
      </c>
      <c r="E2030">
        <v>39396</v>
      </c>
      <c r="F2030">
        <f>messy_order_items_csv[[#This Row],[unit_price]]*messy_order_items_csv[[#This Row],[quantity]]</f>
        <v>39396</v>
      </c>
    </row>
    <row r="2031" spans="1:6" x14ac:dyDescent="0.3">
      <c r="A2031">
        <v>594</v>
      </c>
      <c r="B2031" t="s">
        <v>1362</v>
      </c>
      <c r="C2031" t="s">
        <v>2254</v>
      </c>
      <c r="E2031">
        <v>27615</v>
      </c>
      <c r="F2031">
        <f>messy_order_items_csv[[#This Row],[unit_price]]*messy_order_items_csv[[#This Row],[quantity]]</f>
        <v>0</v>
      </c>
    </row>
    <row r="2032" spans="1:6" x14ac:dyDescent="0.3">
      <c r="A2032">
        <v>1213</v>
      </c>
      <c r="B2032" t="s">
        <v>1029</v>
      </c>
      <c r="C2032" t="s">
        <v>2225</v>
      </c>
      <c r="D2032">
        <v>1</v>
      </c>
      <c r="E2032">
        <v>31497</v>
      </c>
      <c r="F2032">
        <f>messy_order_items_csv[[#This Row],[unit_price]]*messy_order_items_csv[[#This Row],[quantity]]</f>
        <v>31497</v>
      </c>
    </row>
    <row r="2033" spans="1:6" x14ac:dyDescent="0.3">
      <c r="A2033">
        <v>719</v>
      </c>
      <c r="B2033" t="s">
        <v>1299</v>
      </c>
      <c r="C2033" t="s">
        <v>2244</v>
      </c>
      <c r="D2033">
        <v>4</v>
      </c>
      <c r="E2033">
        <v>31497</v>
      </c>
      <c r="F2033">
        <f>messy_order_items_csv[[#This Row],[unit_price]]*messy_order_items_csv[[#This Row],[quantity]]</f>
        <v>125988</v>
      </c>
    </row>
    <row r="2034" spans="1:6" x14ac:dyDescent="0.3">
      <c r="A2034">
        <v>650</v>
      </c>
      <c r="B2034" t="s">
        <v>1448</v>
      </c>
      <c r="C2034" t="s">
        <v>2208</v>
      </c>
      <c r="E2034">
        <v>17163</v>
      </c>
      <c r="F2034">
        <f>messy_order_items_csv[[#This Row],[unit_price]]*messy_order_items_csv[[#This Row],[quantity]]</f>
        <v>0</v>
      </c>
    </row>
    <row r="2035" spans="1:6" x14ac:dyDescent="0.3">
      <c r="A2035">
        <v>276</v>
      </c>
      <c r="B2035" t="s">
        <v>1561</v>
      </c>
      <c r="C2035" t="s">
        <v>2204</v>
      </c>
      <c r="D2035">
        <v>1</v>
      </c>
      <c r="E2035">
        <v>20373</v>
      </c>
      <c r="F2035">
        <f>messy_order_items_csv[[#This Row],[unit_price]]*messy_order_items_csv[[#This Row],[quantity]]</f>
        <v>20373</v>
      </c>
    </row>
    <row r="2036" spans="1:6" x14ac:dyDescent="0.3">
      <c r="A2036">
        <v>1772</v>
      </c>
      <c r="B2036" t="s">
        <v>1890</v>
      </c>
      <c r="C2036" t="s">
        <v>2269</v>
      </c>
      <c r="D2036">
        <v>0</v>
      </c>
      <c r="E2036">
        <v>41597</v>
      </c>
      <c r="F2036">
        <f>messy_order_items_csv[[#This Row],[unit_price]]*messy_order_items_csv[[#This Row],[quantity]]</f>
        <v>0</v>
      </c>
    </row>
    <row r="2037" spans="1:6" x14ac:dyDescent="0.3">
      <c r="A2037">
        <v>1583</v>
      </c>
      <c r="B2037" t="s">
        <v>1503</v>
      </c>
      <c r="C2037" t="s">
        <v>2238</v>
      </c>
      <c r="D2037">
        <v>4</v>
      </c>
      <c r="E2037">
        <v>33402</v>
      </c>
      <c r="F2037">
        <f>messy_order_items_csv[[#This Row],[unit_price]]*messy_order_items_csv[[#This Row],[quantity]]</f>
        <v>133608</v>
      </c>
    </row>
    <row r="2038" spans="1:6" x14ac:dyDescent="0.3">
      <c r="A2038">
        <v>1814</v>
      </c>
      <c r="B2038" t="s">
        <v>1565</v>
      </c>
      <c r="C2038" t="s">
        <v>2211</v>
      </c>
      <c r="D2038">
        <v>0</v>
      </c>
      <c r="E2038">
        <v>80491</v>
      </c>
      <c r="F2038">
        <f>messy_order_items_csv[[#This Row],[unit_price]]*messy_order_items_csv[[#This Row],[quantity]]</f>
        <v>0</v>
      </c>
    </row>
    <row r="2039" spans="1:6" x14ac:dyDescent="0.3">
      <c r="A2039">
        <v>716</v>
      </c>
      <c r="B2039" t="s">
        <v>1463</v>
      </c>
      <c r="C2039" t="s">
        <v>2208</v>
      </c>
      <c r="D2039">
        <v>3</v>
      </c>
      <c r="E2039">
        <v>55590</v>
      </c>
      <c r="F2039">
        <f>messy_order_items_csv[[#This Row],[unit_price]]*messy_order_items_csv[[#This Row],[quantity]]</f>
        <v>166770</v>
      </c>
    </row>
    <row r="2040" spans="1:6" x14ac:dyDescent="0.3">
      <c r="A2040">
        <v>1805</v>
      </c>
      <c r="B2040" t="s">
        <v>1967</v>
      </c>
      <c r="C2040" t="s">
        <v>2269</v>
      </c>
      <c r="D2040">
        <v>0</v>
      </c>
      <c r="E2040">
        <v>41597</v>
      </c>
      <c r="F2040">
        <f>messy_order_items_csv[[#This Row],[unit_price]]*messy_order_items_csv[[#This Row],[quantity]]</f>
        <v>0</v>
      </c>
    </row>
    <row r="2041" spans="1:6" x14ac:dyDescent="0.3">
      <c r="A2041">
        <v>156</v>
      </c>
      <c r="B2041" t="s">
        <v>1611</v>
      </c>
      <c r="C2041" t="s">
        <v>2223</v>
      </c>
      <c r="D2041">
        <v>1</v>
      </c>
      <c r="E2041">
        <v>31497</v>
      </c>
      <c r="F2041">
        <f>messy_order_items_csv[[#This Row],[unit_price]]*messy_order_items_csv[[#This Row],[quantity]]</f>
        <v>31497</v>
      </c>
    </row>
    <row r="2042" spans="1:6" x14ac:dyDescent="0.3">
      <c r="A2042">
        <v>1161</v>
      </c>
      <c r="B2042" t="s">
        <v>2185</v>
      </c>
      <c r="C2042" t="s">
        <v>2223</v>
      </c>
      <c r="D2042">
        <v>0</v>
      </c>
      <c r="E2042">
        <v>31497</v>
      </c>
      <c r="F2042">
        <f>messy_order_items_csv[[#This Row],[unit_price]]*messy_order_items_csv[[#This Row],[quantity]]</f>
        <v>0</v>
      </c>
    </row>
    <row r="2043" spans="1:6" x14ac:dyDescent="0.3">
      <c r="A2043">
        <v>1316</v>
      </c>
      <c r="B2043" t="s">
        <v>1676</v>
      </c>
      <c r="C2043" t="s">
        <v>2210</v>
      </c>
      <c r="D2043">
        <v>3</v>
      </c>
      <c r="E2043">
        <v>31497</v>
      </c>
      <c r="F2043">
        <f>messy_order_items_csv[[#This Row],[unit_price]]*messy_order_items_csv[[#This Row],[quantity]]</f>
        <v>94491</v>
      </c>
    </row>
    <row r="2044" spans="1:6" x14ac:dyDescent="0.3">
      <c r="A2044">
        <v>997</v>
      </c>
      <c r="B2044" t="s">
        <v>2093</v>
      </c>
      <c r="C2044" t="s">
        <v>2260</v>
      </c>
      <c r="E2044">
        <v>33021</v>
      </c>
      <c r="F2044">
        <f>messy_order_items_csv[[#This Row],[unit_price]]*messy_order_items_csv[[#This Row],[quantity]]</f>
        <v>0</v>
      </c>
    </row>
    <row r="2045" spans="1:6" x14ac:dyDescent="0.3">
      <c r="A2045">
        <v>1601</v>
      </c>
      <c r="B2045" t="s">
        <v>1833</v>
      </c>
      <c r="C2045" t="s">
        <v>2245</v>
      </c>
      <c r="D2045">
        <v>2</v>
      </c>
      <c r="E2045">
        <v>70378</v>
      </c>
      <c r="F2045">
        <f>messy_order_items_csv[[#This Row],[unit_price]]*messy_order_items_csv[[#This Row],[quantity]]</f>
        <v>140756</v>
      </c>
    </row>
    <row r="2046" spans="1:6" x14ac:dyDescent="0.3">
      <c r="A2046">
        <v>999</v>
      </c>
      <c r="B2046" t="s">
        <v>1911</v>
      </c>
      <c r="C2046" t="s">
        <v>2266</v>
      </c>
      <c r="D2046">
        <v>2</v>
      </c>
      <c r="E2046">
        <v>3393</v>
      </c>
      <c r="F2046">
        <f>messy_order_items_csv[[#This Row],[unit_price]]*messy_order_items_csv[[#This Row],[quantity]]</f>
        <v>6786</v>
      </c>
    </row>
    <row r="2047" spans="1:6" x14ac:dyDescent="0.3">
      <c r="A2047">
        <v>1166</v>
      </c>
      <c r="B2047" t="s">
        <v>1657</v>
      </c>
      <c r="C2047" t="s">
        <v>2263</v>
      </c>
      <c r="D2047">
        <v>3</v>
      </c>
      <c r="E2047">
        <v>47907</v>
      </c>
      <c r="F2047">
        <f>messy_order_items_csv[[#This Row],[unit_price]]*messy_order_items_csv[[#This Row],[quantity]]</f>
        <v>143721</v>
      </c>
    </row>
    <row r="2048" spans="1:6" x14ac:dyDescent="0.3">
      <c r="A2048">
        <v>841</v>
      </c>
      <c r="B2048" t="s">
        <v>1110</v>
      </c>
      <c r="C2048" t="s">
        <v>2228</v>
      </c>
      <c r="D2048">
        <v>4</v>
      </c>
      <c r="E2048">
        <v>41680</v>
      </c>
      <c r="F2048">
        <f>messy_order_items_csv[[#This Row],[unit_price]]*messy_order_items_csv[[#This Row],[quantity]]</f>
        <v>166720</v>
      </c>
    </row>
    <row r="2049" spans="1:6" x14ac:dyDescent="0.3">
      <c r="A2049">
        <v>399</v>
      </c>
      <c r="B2049" t="s">
        <v>1043</v>
      </c>
      <c r="C2049" t="s">
        <v>2264</v>
      </c>
      <c r="E2049">
        <v>31497</v>
      </c>
      <c r="F2049">
        <f>messy_order_items_csv[[#This Row],[unit_price]]*messy_order_items_csv[[#This Row],[quantity]]</f>
        <v>0</v>
      </c>
    </row>
    <row r="2050" spans="1:6" x14ac:dyDescent="0.3">
      <c r="A2050">
        <v>545</v>
      </c>
      <c r="B2050" t="s">
        <v>2172</v>
      </c>
      <c r="C2050" t="s">
        <v>2215</v>
      </c>
      <c r="D2050">
        <v>3</v>
      </c>
      <c r="E2050">
        <v>31497</v>
      </c>
      <c r="F2050">
        <f>messy_order_items_csv[[#This Row],[unit_price]]*messy_order_items_csv[[#This Row],[quantity]]</f>
        <v>94491</v>
      </c>
    </row>
    <row r="2051" spans="1:6" x14ac:dyDescent="0.3">
      <c r="A2051">
        <v>1233</v>
      </c>
      <c r="B2051" t="s">
        <v>1571</v>
      </c>
      <c r="C2051" t="s">
        <v>2216</v>
      </c>
      <c r="D2051">
        <v>1</v>
      </c>
      <c r="E2051">
        <v>89224</v>
      </c>
      <c r="F2051">
        <f>messy_order_items_csv[[#This Row],[unit_price]]*messy_order_items_csv[[#This Row],[quantity]]</f>
        <v>89224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7CA4D2-BCEB-4A5A-83B6-E10BAF587692}">
  <dimension ref="A1:D1241"/>
  <sheetViews>
    <sheetView topLeftCell="A1173" workbookViewId="0">
      <selection sqref="A1:D1201"/>
    </sheetView>
  </sheetViews>
  <sheetFormatPr defaultRowHeight="14.4" x14ac:dyDescent="0.3"/>
  <cols>
    <col min="1" max="1" width="10.33203125" bestFit="1" customWidth="1"/>
    <col min="2" max="2" width="13.6640625" bestFit="1" customWidth="1"/>
    <col min="3" max="3" width="16.77734375" bestFit="1" customWidth="1"/>
    <col min="4" max="4" width="18.5546875" bestFit="1" customWidth="1"/>
  </cols>
  <sheetData>
    <row r="1" spans="1:4" x14ac:dyDescent="0.3">
      <c r="A1" t="s">
        <v>984</v>
      </c>
      <c r="B1" t="s">
        <v>0</v>
      </c>
      <c r="C1" t="s">
        <v>985</v>
      </c>
      <c r="D1" t="s">
        <v>986</v>
      </c>
    </row>
    <row r="2" spans="1:4" x14ac:dyDescent="0.3">
      <c r="A2" t="s">
        <v>987</v>
      </c>
      <c r="B2" t="s">
        <v>123</v>
      </c>
      <c r="C2" s="2">
        <v>45421</v>
      </c>
      <c r="D2" t="s">
        <v>990</v>
      </c>
    </row>
    <row r="3" spans="1:4" x14ac:dyDescent="0.3">
      <c r="A3" t="s">
        <v>988</v>
      </c>
      <c r="B3" t="s">
        <v>807</v>
      </c>
      <c r="C3" s="2">
        <v>45323</v>
      </c>
      <c r="D3" t="s">
        <v>1007</v>
      </c>
    </row>
    <row r="4" spans="1:4" x14ac:dyDescent="0.3">
      <c r="A4" t="s">
        <v>989</v>
      </c>
      <c r="B4" t="s">
        <v>845</v>
      </c>
      <c r="C4" s="2">
        <v>45760</v>
      </c>
      <c r="D4" t="s">
        <v>990</v>
      </c>
    </row>
    <row r="5" spans="1:4" x14ac:dyDescent="0.3">
      <c r="A5" t="s">
        <v>991</v>
      </c>
      <c r="B5" t="s">
        <v>536</v>
      </c>
      <c r="C5" s="2">
        <v>45347</v>
      </c>
      <c r="D5" t="s">
        <v>992</v>
      </c>
    </row>
    <row r="6" spans="1:4" x14ac:dyDescent="0.3">
      <c r="A6" t="s">
        <v>993</v>
      </c>
      <c r="B6" t="s">
        <v>809</v>
      </c>
      <c r="C6" s="2">
        <v>45773</v>
      </c>
      <c r="D6" t="s">
        <v>995</v>
      </c>
    </row>
    <row r="7" spans="1:4" x14ac:dyDescent="0.3">
      <c r="A7" t="s">
        <v>994</v>
      </c>
      <c r="B7" t="s">
        <v>791</v>
      </c>
      <c r="C7" s="2">
        <v>45528</v>
      </c>
      <c r="D7" t="s">
        <v>995</v>
      </c>
    </row>
    <row r="8" spans="1:4" x14ac:dyDescent="0.3">
      <c r="A8" t="s">
        <v>996</v>
      </c>
      <c r="B8" t="s">
        <v>268</v>
      </c>
      <c r="C8" s="2">
        <v>45767</v>
      </c>
      <c r="D8" t="s">
        <v>995</v>
      </c>
    </row>
    <row r="9" spans="1:4" x14ac:dyDescent="0.3">
      <c r="A9" t="s">
        <v>997</v>
      </c>
      <c r="B9" t="s">
        <v>946</v>
      </c>
      <c r="C9" s="2">
        <v>45620</v>
      </c>
      <c r="D9" t="s">
        <v>995</v>
      </c>
    </row>
    <row r="10" spans="1:4" x14ac:dyDescent="0.3">
      <c r="A10" t="s">
        <v>998</v>
      </c>
      <c r="B10" t="s">
        <v>301</v>
      </c>
      <c r="C10" s="2">
        <v>45472</v>
      </c>
      <c r="D10" t="s">
        <v>990</v>
      </c>
    </row>
    <row r="11" spans="1:4" x14ac:dyDescent="0.3">
      <c r="A11" t="s">
        <v>999</v>
      </c>
      <c r="B11" t="s">
        <v>944</v>
      </c>
      <c r="C11" s="2">
        <v>45442</v>
      </c>
      <c r="D11" t="s">
        <v>995</v>
      </c>
    </row>
    <row r="12" spans="1:4" x14ac:dyDescent="0.3">
      <c r="A12" t="s">
        <v>1000</v>
      </c>
      <c r="B12" t="s">
        <v>946</v>
      </c>
      <c r="C12" s="2">
        <v>45473</v>
      </c>
      <c r="D12" t="s">
        <v>992</v>
      </c>
    </row>
    <row r="13" spans="1:4" x14ac:dyDescent="0.3">
      <c r="A13" t="s">
        <v>1001</v>
      </c>
      <c r="B13" t="s">
        <v>760</v>
      </c>
      <c r="C13" s="2">
        <v>45643</v>
      </c>
      <c r="D13" t="s">
        <v>990</v>
      </c>
    </row>
    <row r="14" spans="1:4" x14ac:dyDescent="0.3">
      <c r="A14" t="s">
        <v>1002</v>
      </c>
      <c r="B14" t="s">
        <v>381</v>
      </c>
      <c r="C14" s="2">
        <v>45538</v>
      </c>
      <c r="D14" t="s">
        <v>992</v>
      </c>
    </row>
    <row r="15" spans="1:4" x14ac:dyDescent="0.3">
      <c r="A15" t="s">
        <v>1003</v>
      </c>
      <c r="B15" t="s">
        <v>722</v>
      </c>
      <c r="C15" s="2">
        <v>45417</v>
      </c>
      <c r="D15" t="s">
        <v>992</v>
      </c>
    </row>
    <row r="16" spans="1:4" x14ac:dyDescent="0.3">
      <c r="A16" t="s">
        <v>1004</v>
      </c>
      <c r="B16" t="s">
        <v>649</v>
      </c>
      <c r="C16" s="2">
        <v>45537</v>
      </c>
      <c r="D16" t="s">
        <v>990</v>
      </c>
    </row>
    <row r="17" spans="1:4" x14ac:dyDescent="0.3">
      <c r="A17" t="s">
        <v>1005</v>
      </c>
      <c r="B17" t="s">
        <v>182</v>
      </c>
      <c r="C17" s="2">
        <v>45629</v>
      </c>
      <c r="D17" t="s">
        <v>995</v>
      </c>
    </row>
    <row r="18" spans="1:4" x14ac:dyDescent="0.3">
      <c r="A18" t="s">
        <v>1006</v>
      </c>
      <c r="B18" t="s">
        <v>613</v>
      </c>
      <c r="C18" s="2">
        <v>45729</v>
      </c>
      <c r="D18" t="s">
        <v>1007</v>
      </c>
    </row>
    <row r="19" spans="1:4" x14ac:dyDescent="0.3">
      <c r="A19" t="s">
        <v>1008</v>
      </c>
      <c r="B19" t="s">
        <v>182</v>
      </c>
      <c r="C19" s="2">
        <v>45715</v>
      </c>
      <c r="D19" t="s">
        <v>990</v>
      </c>
    </row>
    <row r="20" spans="1:4" x14ac:dyDescent="0.3">
      <c r="A20" t="s">
        <v>1009</v>
      </c>
      <c r="B20" t="s">
        <v>290</v>
      </c>
      <c r="C20" s="2">
        <v>45563</v>
      </c>
      <c r="D20" t="s">
        <v>1007</v>
      </c>
    </row>
    <row r="21" spans="1:4" x14ac:dyDescent="0.3">
      <c r="A21" t="s">
        <v>1010</v>
      </c>
      <c r="B21" t="s">
        <v>29</v>
      </c>
      <c r="C21" s="2">
        <v>45399</v>
      </c>
      <c r="D21" t="s">
        <v>992</v>
      </c>
    </row>
    <row r="22" spans="1:4" x14ac:dyDescent="0.3">
      <c r="A22" t="s">
        <v>1011</v>
      </c>
      <c r="B22" t="s">
        <v>507</v>
      </c>
      <c r="C22" s="2">
        <v>45603</v>
      </c>
      <c r="D22" t="s">
        <v>995</v>
      </c>
    </row>
    <row r="23" spans="1:4" x14ac:dyDescent="0.3">
      <c r="A23" t="s">
        <v>1012</v>
      </c>
      <c r="B23" t="s">
        <v>475</v>
      </c>
      <c r="C23" s="2">
        <v>45387</v>
      </c>
      <c r="D23" t="s">
        <v>990</v>
      </c>
    </row>
    <row r="24" spans="1:4" x14ac:dyDescent="0.3">
      <c r="A24" t="s">
        <v>1013</v>
      </c>
      <c r="B24" t="s">
        <v>314</v>
      </c>
      <c r="C24" s="2">
        <v>45398</v>
      </c>
      <c r="D24" t="s">
        <v>995</v>
      </c>
    </row>
    <row r="25" spans="1:4" x14ac:dyDescent="0.3">
      <c r="A25" t="s">
        <v>1014</v>
      </c>
      <c r="B25" t="s">
        <v>191</v>
      </c>
      <c r="C25" s="2">
        <v>45516</v>
      </c>
      <c r="D25" t="s">
        <v>992</v>
      </c>
    </row>
    <row r="26" spans="1:4" x14ac:dyDescent="0.3">
      <c r="A26" t="s">
        <v>1015</v>
      </c>
      <c r="B26" t="s">
        <v>404</v>
      </c>
      <c r="C26" s="2">
        <v>45574</v>
      </c>
      <c r="D26" t="s">
        <v>995</v>
      </c>
    </row>
    <row r="27" spans="1:4" x14ac:dyDescent="0.3">
      <c r="A27" t="s">
        <v>1016</v>
      </c>
      <c r="B27" t="s">
        <v>168</v>
      </c>
      <c r="C27" s="2">
        <v>45671</v>
      </c>
      <c r="D27" t="s">
        <v>1007</v>
      </c>
    </row>
    <row r="28" spans="1:4" x14ac:dyDescent="0.3">
      <c r="A28" t="s">
        <v>1017</v>
      </c>
      <c r="B28" t="s">
        <v>247</v>
      </c>
      <c r="C28" s="2">
        <v>45427</v>
      </c>
      <c r="D28" t="s">
        <v>995</v>
      </c>
    </row>
    <row r="29" spans="1:4" x14ac:dyDescent="0.3">
      <c r="A29" t="s">
        <v>1018</v>
      </c>
      <c r="B29" t="s">
        <v>288</v>
      </c>
      <c r="C29" s="2">
        <v>45534</v>
      </c>
      <c r="D29" t="s">
        <v>1007</v>
      </c>
    </row>
    <row r="30" spans="1:4" x14ac:dyDescent="0.3">
      <c r="A30" t="s">
        <v>1019</v>
      </c>
      <c r="B30" t="s">
        <v>975</v>
      </c>
      <c r="C30" s="2">
        <v>45531</v>
      </c>
      <c r="D30" t="s">
        <v>2305</v>
      </c>
    </row>
    <row r="31" spans="1:4" x14ac:dyDescent="0.3">
      <c r="A31" t="s">
        <v>1020</v>
      </c>
      <c r="B31" t="s">
        <v>499</v>
      </c>
      <c r="C31" s="2">
        <v>45547</v>
      </c>
      <c r="D31" t="s">
        <v>1007</v>
      </c>
    </row>
    <row r="32" spans="1:4" x14ac:dyDescent="0.3">
      <c r="A32" t="s">
        <v>1021</v>
      </c>
      <c r="B32" t="s">
        <v>330</v>
      </c>
      <c r="C32" s="2">
        <v>45722</v>
      </c>
      <c r="D32" t="s">
        <v>2305</v>
      </c>
    </row>
    <row r="33" spans="1:4" x14ac:dyDescent="0.3">
      <c r="A33" t="s">
        <v>1022</v>
      </c>
      <c r="B33" t="s">
        <v>579</v>
      </c>
      <c r="C33" s="2">
        <v>45632</v>
      </c>
      <c r="D33" t="s">
        <v>2305</v>
      </c>
    </row>
    <row r="34" spans="1:4" x14ac:dyDescent="0.3">
      <c r="A34" t="s">
        <v>1023</v>
      </c>
      <c r="B34" t="s">
        <v>756</v>
      </c>
      <c r="C34" s="2">
        <v>45510</v>
      </c>
      <c r="D34" t="s">
        <v>1007</v>
      </c>
    </row>
    <row r="35" spans="1:4" x14ac:dyDescent="0.3">
      <c r="A35" t="s">
        <v>1024</v>
      </c>
      <c r="B35" t="s">
        <v>369</v>
      </c>
      <c r="C35" s="2">
        <v>45618</v>
      </c>
      <c r="D35" t="s">
        <v>1007</v>
      </c>
    </row>
    <row r="36" spans="1:4" x14ac:dyDescent="0.3">
      <c r="A36" t="s">
        <v>1025</v>
      </c>
      <c r="B36" t="s">
        <v>51</v>
      </c>
      <c r="C36" s="2">
        <v>45604</v>
      </c>
      <c r="D36" t="s">
        <v>990</v>
      </c>
    </row>
    <row r="37" spans="1:4" x14ac:dyDescent="0.3">
      <c r="A37" t="s">
        <v>1026</v>
      </c>
      <c r="B37" t="s">
        <v>199</v>
      </c>
      <c r="C37" s="2">
        <v>45553</v>
      </c>
      <c r="D37" t="s">
        <v>2305</v>
      </c>
    </row>
    <row r="38" spans="1:4" x14ac:dyDescent="0.3">
      <c r="A38" t="s">
        <v>1027</v>
      </c>
      <c r="B38" t="s">
        <v>297</v>
      </c>
      <c r="C38" s="2">
        <v>45309</v>
      </c>
      <c r="D38" t="s">
        <v>990</v>
      </c>
    </row>
    <row r="39" spans="1:4" x14ac:dyDescent="0.3">
      <c r="A39" t="s">
        <v>1028</v>
      </c>
      <c r="B39" t="s">
        <v>262</v>
      </c>
      <c r="C39" s="2">
        <v>45465</v>
      </c>
      <c r="D39" t="s">
        <v>990</v>
      </c>
    </row>
    <row r="40" spans="1:4" x14ac:dyDescent="0.3">
      <c r="A40" t="s">
        <v>1029</v>
      </c>
      <c r="B40" t="s">
        <v>689</v>
      </c>
      <c r="C40" s="2">
        <v>45534</v>
      </c>
      <c r="D40" t="s">
        <v>995</v>
      </c>
    </row>
    <row r="41" spans="1:4" x14ac:dyDescent="0.3">
      <c r="A41" t="s">
        <v>1030</v>
      </c>
      <c r="B41" t="s">
        <v>573</v>
      </c>
      <c r="C41" s="2">
        <v>45514</v>
      </c>
      <c r="D41" t="s">
        <v>990</v>
      </c>
    </row>
    <row r="42" spans="1:4" x14ac:dyDescent="0.3">
      <c r="A42" t="s">
        <v>1031</v>
      </c>
      <c r="B42" t="s">
        <v>509</v>
      </c>
      <c r="C42" s="2">
        <v>45575</v>
      </c>
      <c r="D42" t="s">
        <v>992</v>
      </c>
    </row>
    <row r="43" spans="1:4" x14ac:dyDescent="0.3">
      <c r="A43" t="s">
        <v>1032</v>
      </c>
      <c r="B43" t="s">
        <v>591</v>
      </c>
      <c r="C43" s="2">
        <v>45473</v>
      </c>
      <c r="D43" t="s">
        <v>990</v>
      </c>
    </row>
    <row r="44" spans="1:4" x14ac:dyDescent="0.3">
      <c r="A44" t="s">
        <v>1033</v>
      </c>
      <c r="B44" t="s">
        <v>674</v>
      </c>
      <c r="C44" s="2">
        <v>45549</v>
      </c>
      <c r="D44" t="s">
        <v>990</v>
      </c>
    </row>
    <row r="45" spans="1:4" x14ac:dyDescent="0.3">
      <c r="A45" t="s">
        <v>1034</v>
      </c>
      <c r="B45" t="s">
        <v>416</v>
      </c>
      <c r="C45" s="2">
        <v>45627</v>
      </c>
      <c r="D45" t="s">
        <v>1007</v>
      </c>
    </row>
    <row r="46" spans="1:4" x14ac:dyDescent="0.3">
      <c r="A46" t="s">
        <v>1035</v>
      </c>
      <c r="B46" t="s">
        <v>668</v>
      </c>
      <c r="C46" s="2">
        <v>45390</v>
      </c>
      <c r="D46" t="s">
        <v>992</v>
      </c>
    </row>
    <row r="47" spans="1:4" x14ac:dyDescent="0.3">
      <c r="A47" t="s">
        <v>1036</v>
      </c>
      <c r="B47" t="s">
        <v>264</v>
      </c>
      <c r="C47" s="2">
        <v>45592</v>
      </c>
      <c r="D47" t="s">
        <v>1007</v>
      </c>
    </row>
    <row r="48" spans="1:4" x14ac:dyDescent="0.3">
      <c r="A48" t="s">
        <v>1037</v>
      </c>
      <c r="B48" t="s">
        <v>91</v>
      </c>
      <c r="C48" s="2">
        <v>45496</v>
      </c>
      <c r="D48" t="s">
        <v>990</v>
      </c>
    </row>
    <row r="49" spans="1:4" x14ac:dyDescent="0.3">
      <c r="A49" t="s">
        <v>1038</v>
      </c>
      <c r="B49" t="s">
        <v>109</v>
      </c>
      <c r="C49" s="2">
        <v>45496</v>
      </c>
      <c r="D49" t="s">
        <v>1007</v>
      </c>
    </row>
    <row r="50" spans="1:4" x14ac:dyDescent="0.3">
      <c r="A50" t="s">
        <v>1039</v>
      </c>
      <c r="B50" t="s">
        <v>17</v>
      </c>
      <c r="C50" s="2">
        <v>45315</v>
      </c>
      <c r="D50" t="s">
        <v>2305</v>
      </c>
    </row>
    <row r="51" spans="1:4" x14ac:dyDescent="0.3">
      <c r="A51" t="s">
        <v>1040</v>
      </c>
      <c r="B51" t="s">
        <v>131</v>
      </c>
      <c r="C51" s="2">
        <v>45840</v>
      </c>
      <c r="D51" t="s">
        <v>990</v>
      </c>
    </row>
    <row r="52" spans="1:4" x14ac:dyDescent="0.3">
      <c r="A52" t="s">
        <v>1041</v>
      </c>
      <c r="B52" t="s">
        <v>303</v>
      </c>
      <c r="C52" s="2">
        <v>45612</v>
      </c>
      <c r="D52" t="s">
        <v>1007</v>
      </c>
    </row>
    <row r="53" spans="1:4" x14ac:dyDescent="0.3">
      <c r="A53" t="s">
        <v>1042</v>
      </c>
      <c r="B53" t="s">
        <v>433</v>
      </c>
      <c r="C53" s="2">
        <v>45312</v>
      </c>
      <c r="D53" t="s">
        <v>2305</v>
      </c>
    </row>
    <row r="54" spans="1:4" x14ac:dyDescent="0.3">
      <c r="A54" t="s">
        <v>1043</v>
      </c>
      <c r="B54" t="s">
        <v>357</v>
      </c>
      <c r="C54" s="2">
        <v>45343</v>
      </c>
      <c r="D54" t="s">
        <v>995</v>
      </c>
    </row>
    <row r="55" spans="1:4" x14ac:dyDescent="0.3">
      <c r="A55" t="s">
        <v>1044</v>
      </c>
      <c r="B55" t="s">
        <v>83</v>
      </c>
      <c r="C55" s="2">
        <v>45507</v>
      </c>
      <c r="D55" t="s">
        <v>1007</v>
      </c>
    </row>
    <row r="56" spans="1:4" x14ac:dyDescent="0.3">
      <c r="A56" t="s">
        <v>1045</v>
      </c>
      <c r="B56" t="s">
        <v>744</v>
      </c>
      <c r="C56" s="2">
        <v>45738</v>
      </c>
      <c r="D56" t="s">
        <v>992</v>
      </c>
    </row>
    <row r="57" spans="1:4" x14ac:dyDescent="0.3">
      <c r="A57" t="s">
        <v>1046</v>
      </c>
      <c r="B57" t="s">
        <v>523</v>
      </c>
      <c r="C57" s="2">
        <v>45733</v>
      </c>
      <c r="D57" t="s">
        <v>995</v>
      </c>
    </row>
    <row r="58" spans="1:4" x14ac:dyDescent="0.3">
      <c r="A58" t="s">
        <v>1047</v>
      </c>
      <c r="B58" t="s">
        <v>850</v>
      </c>
      <c r="C58" s="2">
        <v>45309</v>
      </c>
      <c r="D58" t="s">
        <v>1007</v>
      </c>
    </row>
    <row r="59" spans="1:4" x14ac:dyDescent="0.3">
      <c r="A59" t="s">
        <v>1048</v>
      </c>
      <c r="B59" t="s">
        <v>869</v>
      </c>
      <c r="C59" s="2">
        <v>45581</v>
      </c>
      <c r="D59" t="s">
        <v>1007</v>
      </c>
    </row>
    <row r="60" spans="1:4" x14ac:dyDescent="0.3">
      <c r="A60" t="s">
        <v>1049</v>
      </c>
      <c r="B60" t="s">
        <v>579</v>
      </c>
      <c r="C60" s="2">
        <v>45582</v>
      </c>
      <c r="D60" t="s">
        <v>1007</v>
      </c>
    </row>
    <row r="61" spans="1:4" x14ac:dyDescent="0.3">
      <c r="A61" t="s">
        <v>1050</v>
      </c>
      <c r="B61" t="s">
        <v>247</v>
      </c>
      <c r="C61" s="2">
        <v>45688</v>
      </c>
      <c r="D61" t="s">
        <v>990</v>
      </c>
    </row>
    <row r="62" spans="1:4" x14ac:dyDescent="0.3">
      <c r="A62" t="s">
        <v>1051</v>
      </c>
      <c r="B62" t="s">
        <v>900</v>
      </c>
      <c r="C62" s="2">
        <v>45326</v>
      </c>
      <c r="D62" t="s">
        <v>990</v>
      </c>
    </row>
    <row r="63" spans="1:4" x14ac:dyDescent="0.3">
      <c r="A63" t="s">
        <v>1052</v>
      </c>
      <c r="B63" t="s">
        <v>320</v>
      </c>
      <c r="C63" s="2">
        <v>45535</v>
      </c>
      <c r="D63" t="s">
        <v>1007</v>
      </c>
    </row>
    <row r="64" spans="1:4" x14ac:dyDescent="0.3">
      <c r="A64" t="s">
        <v>1053</v>
      </c>
      <c r="B64" t="s">
        <v>176</v>
      </c>
      <c r="C64" s="2">
        <v>45621</v>
      </c>
      <c r="D64" t="s">
        <v>995</v>
      </c>
    </row>
    <row r="65" spans="1:4" x14ac:dyDescent="0.3">
      <c r="A65" t="s">
        <v>1054</v>
      </c>
      <c r="B65" t="s">
        <v>312</v>
      </c>
      <c r="C65" s="2">
        <v>45612</v>
      </c>
      <c r="D65" t="s">
        <v>990</v>
      </c>
    </row>
    <row r="66" spans="1:4" x14ac:dyDescent="0.3">
      <c r="A66" t="s">
        <v>1055</v>
      </c>
      <c r="B66" t="s">
        <v>13</v>
      </c>
      <c r="C66" s="2">
        <v>45413</v>
      </c>
      <c r="D66" t="s">
        <v>1007</v>
      </c>
    </row>
    <row r="67" spans="1:4" x14ac:dyDescent="0.3">
      <c r="A67" t="s">
        <v>1056</v>
      </c>
      <c r="B67" t="s">
        <v>188</v>
      </c>
      <c r="C67" s="2">
        <v>45403</v>
      </c>
      <c r="D67" t="s">
        <v>995</v>
      </c>
    </row>
    <row r="68" spans="1:4" x14ac:dyDescent="0.3">
      <c r="A68" t="s">
        <v>1057</v>
      </c>
      <c r="B68" t="s">
        <v>952</v>
      </c>
      <c r="C68" s="2">
        <v>45301</v>
      </c>
      <c r="D68" t="s">
        <v>995</v>
      </c>
    </row>
    <row r="69" spans="1:4" x14ac:dyDescent="0.3">
      <c r="A69" t="s">
        <v>1058</v>
      </c>
      <c r="B69" t="s">
        <v>908</v>
      </c>
      <c r="C69" s="2">
        <v>45931</v>
      </c>
      <c r="D69" t="s">
        <v>995</v>
      </c>
    </row>
    <row r="70" spans="1:4" x14ac:dyDescent="0.3">
      <c r="A70" t="s">
        <v>1059</v>
      </c>
      <c r="B70" t="s">
        <v>111</v>
      </c>
      <c r="C70" s="2">
        <v>45450</v>
      </c>
      <c r="D70" t="s">
        <v>995</v>
      </c>
    </row>
    <row r="71" spans="1:4" x14ac:dyDescent="0.3">
      <c r="A71" t="s">
        <v>1060</v>
      </c>
      <c r="B71" t="s">
        <v>180</v>
      </c>
      <c r="C71" s="2">
        <v>45442</v>
      </c>
      <c r="D71" t="s">
        <v>2305</v>
      </c>
    </row>
    <row r="72" spans="1:4" x14ac:dyDescent="0.3">
      <c r="A72" t="s">
        <v>1061</v>
      </c>
      <c r="B72" t="s">
        <v>928</v>
      </c>
      <c r="C72" s="2">
        <v>45634</v>
      </c>
      <c r="D72" t="s">
        <v>1007</v>
      </c>
    </row>
    <row r="73" spans="1:4" x14ac:dyDescent="0.3">
      <c r="A73" t="s">
        <v>1062</v>
      </c>
      <c r="B73" t="s">
        <v>72</v>
      </c>
      <c r="C73" s="2">
        <v>45297</v>
      </c>
      <c r="D73" t="s">
        <v>1007</v>
      </c>
    </row>
    <row r="74" spans="1:4" x14ac:dyDescent="0.3">
      <c r="A74" t="s">
        <v>1063</v>
      </c>
      <c r="B74" t="s">
        <v>170</v>
      </c>
      <c r="C74" s="2">
        <v>45491</v>
      </c>
      <c r="D74" t="s">
        <v>992</v>
      </c>
    </row>
    <row r="75" spans="1:4" x14ac:dyDescent="0.3">
      <c r="A75" t="s">
        <v>1064</v>
      </c>
      <c r="B75" t="s">
        <v>340</v>
      </c>
      <c r="C75" s="2">
        <v>45782</v>
      </c>
      <c r="D75" t="s">
        <v>1007</v>
      </c>
    </row>
    <row r="76" spans="1:4" x14ac:dyDescent="0.3">
      <c r="A76" t="s">
        <v>1065</v>
      </c>
      <c r="B76" t="s">
        <v>639</v>
      </c>
      <c r="C76" s="2">
        <v>45480</v>
      </c>
      <c r="D76" t="s">
        <v>2305</v>
      </c>
    </row>
    <row r="77" spans="1:4" x14ac:dyDescent="0.3">
      <c r="A77" t="s">
        <v>1066</v>
      </c>
      <c r="B77" t="s">
        <v>948</v>
      </c>
      <c r="C77" s="2">
        <v>45638</v>
      </c>
      <c r="D77" t="s">
        <v>995</v>
      </c>
    </row>
    <row r="78" spans="1:4" x14ac:dyDescent="0.3">
      <c r="A78" t="s">
        <v>1067</v>
      </c>
      <c r="B78" t="s">
        <v>243</v>
      </c>
      <c r="C78" s="2">
        <v>45389</v>
      </c>
      <c r="D78" t="s">
        <v>995</v>
      </c>
    </row>
    <row r="79" spans="1:4" x14ac:dyDescent="0.3">
      <c r="A79" t="s">
        <v>1068</v>
      </c>
      <c r="B79" t="s">
        <v>843</v>
      </c>
      <c r="C79" s="2">
        <v>45536</v>
      </c>
      <c r="D79" t="s">
        <v>2305</v>
      </c>
    </row>
    <row r="80" spans="1:4" x14ac:dyDescent="0.3">
      <c r="A80" t="s">
        <v>1069</v>
      </c>
      <c r="B80" t="s">
        <v>550</v>
      </c>
      <c r="C80" s="2">
        <v>45779</v>
      </c>
      <c r="D80" t="s">
        <v>990</v>
      </c>
    </row>
    <row r="81" spans="1:4" x14ac:dyDescent="0.3">
      <c r="A81" t="s">
        <v>1070</v>
      </c>
      <c r="B81" t="s">
        <v>591</v>
      </c>
      <c r="C81" s="2">
        <v>45435</v>
      </c>
      <c r="D81" t="s">
        <v>990</v>
      </c>
    </row>
    <row r="82" spans="1:4" x14ac:dyDescent="0.3">
      <c r="A82" t="s">
        <v>1071</v>
      </c>
      <c r="B82" t="s">
        <v>38</v>
      </c>
      <c r="C82" s="2">
        <v>45717</v>
      </c>
      <c r="D82" t="s">
        <v>992</v>
      </c>
    </row>
    <row r="83" spans="1:4" x14ac:dyDescent="0.3">
      <c r="A83" t="s">
        <v>1072</v>
      </c>
      <c r="B83" t="s">
        <v>864</v>
      </c>
      <c r="C83" s="2">
        <v>45791</v>
      </c>
      <c r="D83" t="s">
        <v>990</v>
      </c>
    </row>
    <row r="84" spans="1:4" x14ac:dyDescent="0.3">
      <c r="A84" t="s">
        <v>1073</v>
      </c>
      <c r="B84" t="s">
        <v>781</v>
      </c>
      <c r="C84" s="2">
        <v>45642</v>
      </c>
      <c r="D84" t="s">
        <v>995</v>
      </c>
    </row>
    <row r="85" spans="1:4" x14ac:dyDescent="0.3">
      <c r="A85" t="s">
        <v>1074</v>
      </c>
      <c r="B85" t="s">
        <v>910</v>
      </c>
      <c r="C85" s="2">
        <v>45437</v>
      </c>
      <c r="D85" t="s">
        <v>1007</v>
      </c>
    </row>
    <row r="86" spans="1:4" x14ac:dyDescent="0.3">
      <c r="A86" t="s">
        <v>1075</v>
      </c>
      <c r="B86" t="s">
        <v>651</v>
      </c>
      <c r="C86" s="2">
        <v>45426</v>
      </c>
      <c r="D86" t="s">
        <v>990</v>
      </c>
    </row>
    <row r="87" spans="1:4" x14ac:dyDescent="0.3">
      <c r="A87" t="s">
        <v>1076</v>
      </c>
      <c r="B87" t="s">
        <v>324</v>
      </c>
      <c r="C87" s="2">
        <v>45592</v>
      </c>
      <c r="D87" t="s">
        <v>992</v>
      </c>
    </row>
    <row r="88" spans="1:4" x14ac:dyDescent="0.3">
      <c r="A88" t="s">
        <v>1077</v>
      </c>
      <c r="B88" t="s">
        <v>292</v>
      </c>
      <c r="C88" s="2">
        <v>45707</v>
      </c>
      <c r="D88" t="s">
        <v>995</v>
      </c>
    </row>
    <row r="89" spans="1:4" x14ac:dyDescent="0.3">
      <c r="A89" t="s">
        <v>1078</v>
      </c>
      <c r="B89" t="s">
        <v>554</v>
      </c>
      <c r="C89" s="2">
        <v>45791</v>
      </c>
      <c r="D89" t="s">
        <v>2305</v>
      </c>
    </row>
    <row r="90" spans="1:4" x14ac:dyDescent="0.3">
      <c r="A90" t="s">
        <v>1079</v>
      </c>
      <c r="B90" t="s">
        <v>700</v>
      </c>
      <c r="C90" s="2">
        <v>45565</v>
      </c>
      <c r="D90" t="s">
        <v>2305</v>
      </c>
    </row>
    <row r="91" spans="1:4" x14ac:dyDescent="0.3">
      <c r="A91" t="s">
        <v>1080</v>
      </c>
      <c r="B91" t="s">
        <v>769</v>
      </c>
      <c r="C91" s="2">
        <v>45630</v>
      </c>
      <c r="D91" t="s">
        <v>995</v>
      </c>
    </row>
    <row r="92" spans="1:4" x14ac:dyDescent="0.3">
      <c r="A92" t="s">
        <v>1081</v>
      </c>
      <c r="B92" t="s">
        <v>625</v>
      </c>
      <c r="C92" s="2">
        <v>45602</v>
      </c>
      <c r="D92" t="s">
        <v>990</v>
      </c>
    </row>
    <row r="93" spans="1:4" x14ac:dyDescent="0.3">
      <c r="A93" t="s">
        <v>1082</v>
      </c>
      <c r="B93" t="s">
        <v>938</v>
      </c>
      <c r="C93" s="2">
        <v>45654</v>
      </c>
      <c r="D93" t="s">
        <v>992</v>
      </c>
    </row>
    <row r="94" spans="1:4" x14ac:dyDescent="0.3">
      <c r="A94" t="s">
        <v>1083</v>
      </c>
      <c r="B94" t="s">
        <v>26</v>
      </c>
      <c r="C94" s="2">
        <v>45697</v>
      </c>
      <c r="D94" t="s">
        <v>2305</v>
      </c>
    </row>
    <row r="95" spans="1:4" x14ac:dyDescent="0.3">
      <c r="A95" t="s">
        <v>1084</v>
      </c>
      <c r="B95" t="s">
        <v>186</v>
      </c>
      <c r="C95" s="2">
        <v>45566</v>
      </c>
      <c r="D95" t="s">
        <v>1007</v>
      </c>
    </row>
    <row r="96" spans="1:4" x14ac:dyDescent="0.3">
      <c r="A96" t="s">
        <v>1085</v>
      </c>
      <c r="B96" t="s">
        <v>473</v>
      </c>
      <c r="C96" s="2">
        <v>45495</v>
      </c>
      <c r="D96" t="s">
        <v>992</v>
      </c>
    </row>
    <row r="97" spans="1:4" x14ac:dyDescent="0.3">
      <c r="A97" t="s">
        <v>1086</v>
      </c>
      <c r="B97" t="s">
        <v>649</v>
      </c>
      <c r="C97" s="2">
        <v>45300</v>
      </c>
      <c r="D97" t="s">
        <v>995</v>
      </c>
    </row>
    <row r="98" spans="1:4" x14ac:dyDescent="0.3">
      <c r="A98" t="s">
        <v>1087</v>
      </c>
      <c r="B98" t="s">
        <v>387</v>
      </c>
      <c r="C98" s="2">
        <v>45400</v>
      </c>
      <c r="D98" t="s">
        <v>1007</v>
      </c>
    </row>
    <row r="99" spans="1:4" x14ac:dyDescent="0.3">
      <c r="A99" t="s">
        <v>1088</v>
      </c>
      <c r="B99" t="s">
        <v>371</v>
      </c>
      <c r="C99" s="2">
        <v>45704</v>
      </c>
      <c r="D99" t="s">
        <v>992</v>
      </c>
    </row>
    <row r="100" spans="1:4" x14ac:dyDescent="0.3">
      <c r="A100" t="s">
        <v>1089</v>
      </c>
      <c r="B100" t="s">
        <v>732</v>
      </c>
      <c r="C100" s="2">
        <v>45587</v>
      </c>
      <c r="D100" t="s">
        <v>990</v>
      </c>
    </row>
    <row r="101" spans="1:4" x14ac:dyDescent="0.3">
      <c r="A101" t="s">
        <v>1090</v>
      </c>
      <c r="B101" t="s">
        <v>813</v>
      </c>
      <c r="C101" s="2">
        <v>45718</v>
      </c>
      <c r="D101" t="s">
        <v>995</v>
      </c>
    </row>
    <row r="102" spans="1:4" x14ac:dyDescent="0.3">
      <c r="A102" t="s">
        <v>1091</v>
      </c>
      <c r="B102" t="s">
        <v>499</v>
      </c>
      <c r="C102" s="2">
        <v>45314</v>
      </c>
      <c r="D102" t="s">
        <v>990</v>
      </c>
    </row>
    <row r="103" spans="1:4" x14ac:dyDescent="0.3">
      <c r="A103" t="s">
        <v>1092</v>
      </c>
      <c r="B103" t="s">
        <v>222</v>
      </c>
      <c r="C103" s="2">
        <v>45542</v>
      </c>
      <c r="D103" t="s">
        <v>2305</v>
      </c>
    </row>
    <row r="104" spans="1:4" x14ac:dyDescent="0.3">
      <c r="A104" t="s">
        <v>1093</v>
      </c>
      <c r="B104" t="s">
        <v>174</v>
      </c>
      <c r="C104" s="2">
        <v>45371</v>
      </c>
      <c r="D104" t="s">
        <v>1007</v>
      </c>
    </row>
    <row r="105" spans="1:4" x14ac:dyDescent="0.3">
      <c r="A105" t="s">
        <v>1094</v>
      </c>
      <c r="B105" t="s">
        <v>697</v>
      </c>
      <c r="C105" s="2">
        <v>45435</v>
      </c>
      <c r="D105" t="s">
        <v>1007</v>
      </c>
    </row>
    <row r="106" spans="1:4" x14ac:dyDescent="0.3">
      <c r="A106" t="s">
        <v>1095</v>
      </c>
      <c r="B106" t="s">
        <v>199</v>
      </c>
      <c r="C106" s="2">
        <v>45309</v>
      </c>
      <c r="D106" t="s">
        <v>2305</v>
      </c>
    </row>
    <row r="107" spans="1:4" x14ac:dyDescent="0.3">
      <c r="A107" t="s">
        <v>1096</v>
      </c>
      <c r="B107" t="s">
        <v>435</v>
      </c>
      <c r="C107" s="2">
        <v>45425</v>
      </c>
      <c r="D107" t="s">
        <v>990</v>
      </c>
    </row>
    <row r="108" spans="1:4" x14ac:dyDescent="0.3">
      <c r="A108" t="s">
        <v>1097</v>
      </c>
      <c r="B108" t="s">
        <v>205</v>
      </c>
      <c r="C108" s="2">
        <v>45776</v>
      </c>
      <c r="D108" t="s">
        <v>995</v>
      </c>
    </row>
    <row r="109" spans="1:4" x14ac:dyDescent="0.3">
      <c r="A109" t="s">
        <v>1098</v>
      </c>
      <c r="B109" t="s">
        <v>515</v>
      </c>
      <c r="C109" s="2">
        <v>45723</v>
      </c>
      <c r="D109" t="s">
        <v>990</v>
      </c>
    </row>
    <row r="110" spans="1:4" x14ac:dyDescent="0.3">
      <c r="A110" t="s">
        <v>1099</v>
      </c>
      <c r="B110" t="s">
        <v>410</v>
      </c>
      <c r="C110" s="2">
        <v>45384</v>
      </c>
      <c r="D110" t="s">
        <v>1007</v>
      </c>
    </row>
    <row r="111" spans="1:4" x14ac:dyDescent="0.3">
      <c r="A111" t="s">
        <v>1100</v>
      </c>
      <c r="B111" t="s">
        <v>64</v>
      </c>
      <c r="C111" s="2">
        <v>45318</v>
      </c>
      <c r="D111" t="s">
        <v>990</v>
      </c>
    </row>
    <row r="112" spans="1:4" x14ac:dyDescent="0.3">
      <c r="A112" t="s">
        <v>1101</v>
      </c>
      <c r="B112" t="s">
        <v>924</v>
      </c>
      <c r="C112" s="2">
        <v>45541</v>
      </c>
      <c r="D112" t="s">
        <v>990</v>
      </c>
    </row>
    <row r="113" spans="1:4" x14ac:dyDescent="0.3">
      <c r="A113" t="s">
        <v>1102</v>
      </c>
      <c r="B113" t="s">
        <v>249</v>
      </c>
      <c r="C113" s="2">
        <v>45653</v>
      </c>
      <c r="D113" t="s">
        <v>992</v>
      </c>
    </row>
    <row r="114" spans="1:4" x14ac:dyDescent="0.3">
      <c r="A114" t="s">
        <v>1103</v>
      </c>
      <c r="B114" t="s">
        <v>645</v>
      </c>
      <c r="C114" s="2">
        <v>45581</v>
      </c>
      <c r="D114" t="s">
        <v>1007</v>
      </c>
    </row>
    <row r="115" spans="1:4" x14ac:dyDescent="0.3">
      <c r="A115" t="s">
        <v>1104</v>
      </c>
      <c r="B115" t="s">
        <v>821</v>
      </c>
      <c r="C115" s="2">
        <v>45493</v>
      </c>
      <c r="D115" t="s">
        <v>2305</v>
      </c>
    </row>
    <row r="116" spans="1:4" x14ac:dyDescent="0.3">
      <c r="A116" t="s">
        <v>1105</v>
      </c>
      <c r="B116" t="s">
        <v>328</v>
      </c>
      <c r="C116" s="2">
        <v>45481</v>
      </c>
      <c r="D116" t="s">
        <v>995</v>
      </c>
    </row>
    <row r="117" spans="1:4" x14ac:dyDescent="0.3">
      <c r="A117" t="s">
        <v>1106</v>
      </c>
      <c r="B117" t="s">
        <v>353</v>
      </c>
      <c r="C117" s="2">
        <v>45311</v>
      </c>
      <c r="D117" t="s">
        <v>990</v>
      </c>
    </row>
    <row r="118" spans="1:4" x14ac:dyDescent="0.3">
      <c r="A118" t="s">
        <v>1107</v>
      </c>
      <c r="B118" t="s">
        <v>129</v>
      </c>
      <c r="C118" s="2">
        <v>45842</v>
      </c>
      <c r="D118" t="s">
        <v>1007</v>
      </c>
    </row>
    <row r="119" spans="1:4" x14ac:dyDescent="0.3">
      <c r="A119" t="s">
        <v>1108</v>
      </c>
      <c r="B119" t="s">
        <v>105</v>
      </c>
      <c r="C119" s="2">
        <v>45631</v>
      </c>
      <c r="D119" t="s">
        <v>2305</v>
      </c>
    </row>
    <row r="120" spans="1:4" x14ac:dyDescent="0.3">
      <c r="A120" t="s">
        <v>1109</v>
      </c>
      <c r="B120" t="s">
        <v>123</v>
      </c>
      <c r="C120" s="2">
        <v>45343</v>
      </c>
      <c r="D120" t="s">
        <v>990</v>
      </c>
    </row>
    <row r="121" spans="1:4" x14ac:dyDescent="0.3">
      <c r="A121" t="s">
        <v>1110</v>
      </c>
      <c r="B121" t="s">
        <v>15</v>
      </c>
      <c r="C121" s="2">
        <v>45772</v>
      </c>
      <c r="D121" t="s">
        <v>992</v>
      </c>
    </row>
    <row r="122" spans="1:4" x14ac:dyDescent="0.3">
      <c r="A122" t="s">
        <v>1111</v>
      </c>
      <c r="B122" t="s">
        <v>888</v>
      </c>
      <c r="C122" s="2">
        <v>45680</v>
      </c>
      <c r="D122" t="s">
        <v>1007</v>
      </c>
    </row>
    <row r="123" spans="1:4" x14ac:dyDescent="0.3">
      <c r="A123" t="s">
        <v>1112</v>
      </c>
      <c r="B123" t="s">
        <v>950</v>
      </c>
      <c r="C123" s="2">
        <v>45457</v>
      </c>
      <c r="D123" t="s">
        <v>992</v>
      </c>
    </row>
    <row r="124" spans="1:4" x14ac:dyDescent="0.3">
      <c r="A124" t="s">
        <v>1113</v>
      </c>
      <c r="B124" t="s">
        <v>787</v>
      </c>
      <c r="C124" s="2">
        <v>45355</v>
      </c>
      <c r="D124" t="s">
        <v>2305</v>
      </c>
    </row>
    <row r="125" spans="1:4" x14ac:dyDescent="0.3">
      <c r="A125" t="s">
        <v>1114</v>
      </c>
      <c r="B125" t="s">
        <v>765</v>
      </c>
      <c r="C125" s="2">
        <v>45378</v>
      </c>
      <c r="D125" t="s">
        <v>995</v>
      </c>
    </row>
    <row r="126" spans="1:4" x14ac:dyDescent="0.3">
      <c r="A126" t="s">
        <v>1115</v>
      </c>
      <c r="B126" t="s">
        <v>296</v>
      </c>
      <c r="C126" s="2">
        <v>45760</v>
      </c>
      <c r="D126" t="s">
        <v>1007</v>
      </c>
    </row>
    <row r="127" spans="1:4" x14ac:dyDescent="0.3">
      <c r="A127" t="s">
        <v>1116</v>
      </c>
      <c r="B127" t="s">
        <v>944</v>
      </c>
      <c r="C127" s="2">
        <v>45659</v>
      </c>
      <c r="D127" t="s">
        <v>1007</v>
      </c>
    </row>
    <row r="128" spans="1:4" x14ac:dyDescent="0.3">
      <c r="A128" t="s">
        <v>1117</v>
      </c>
      <c r="B128" t="s">
        <v>322</v>
      </c>
      <c r="C128" s="2">
        <v>45766</v>
      </c>
      <c r="D128" t="s">
        <v>1007</v>
      </c>
    </row>
    <row r="129" spans="1:4" x14ac:dyDescent="0.3">
      <c r="A129" t="s">
        <v>1118</v>
      </c>
      <c r="B129" t="s">
        <v>754</v>
      </c>
      <c r="C129" s="2">
        <v>45747</v>
      </c>
      <c r="D129" t="s">
        <v>995</v>
      </c>
    </row>
    <row r="130" spans="1:4" x14ac:dyDescent="0.3">
      <c r="A130" t="s">
        <v>1119</v>
      </c>
      <c r="B130" t="s">
        <v>900</v>
      </c>
      <c r="C130" s="2">
        <v>45782</v>
      </c>
      <c r="D130" t="s">
        <v>990</v>
      </c>
    </row>
    <row r="131" spans="1:4" x14ac:dyDescent="0.3">
      <c r="A131" t="s">
        <v>1120</v>
      </c>
      <c r="B131" t="s">
        <v>53</v>
      </c>
      <c r="C131" s="2">
        <v>45613</v>
      </c>
      <c r="D131" t="s">
        <v>2305</v>
      </c>
    </row>
    <row r="132" spans="1:4" x14ac:dyDescent="0.3">
      <c r="A132" t="s">
        <v>1121</v>
      </c>
      <c r="B132" t="s">
        <v>685</v>
      </c>
      <c r="C132" s="2">
        <v>45457</v>
      </c>
      <c r="D132" t="s">
        <v>2305</v>
      </c>
    </row>
    <row r="133" spans="1:4" x14ac:dyDescent="0.3">
      <c r="A133" t="s">
        <v>1122</v>
      </c>
      <c r="B133" t="s">
        <v>241</v>
      </c>
      <c r="C133" s="2">
        <v>45613</v>
      </c>
      <c r="D133" t="s">
        <v>995</v>
      </c>
    </row>
    <row r="134" spans="1:4" x14ac:dyDescent="0.3">
      <c r="A134" t="s">
        <v>1123</v>
      </c>
      <c r="B134" t="s">
        <v>670</v>
      </c>
      <c r="C134" s="2">
        <v>45405</v>
      </c>
      <c r="D134" t="s">
        <v>1007</v>
      </c>
    </row>
    <row r="135" spans="1:4" x14ac:dyDescent="0.3">
      <c r="A135" t="s">
        <v>1124</v>
      </c>
      <c r="B135" t="s">
        <v>369</v>
      </c>
      <c r="C135" s="2">
        <v>45657</v>
      </c>
      <c r="D135" t="s">
        <v>995</v>
      </c>
    </row>
    <row r="136" spans="1:4" x14ac:dyDescent="0.3">
      <c r="A136" t="s">
        <v>1125</v>
      </c>
      <c r="B136" t="s">
        <v>884</v>
      </c>
      <c r="C136" s="2">
        <v>45737</v>
      </c>
      <c r="D136" t="s">
        <v>992</v>
      </c>
    </row>
    <row r="137" spans="1:4" x14ac:dyDescent="0.3">
      <c r="A137" t="s">
        <v>1126</v>
      </c>
      <c r="B137" t="s">
        <v>845</v>
      </c>
      <c r="C137" s="2">
        <v>45502</v>
      </c>
      <c r="D137" t="s">
        <v>995</v>
      </c>
    </row>
    <row r="138" spans="1:4" x14ac:dyDescent="0.3">
      <c r="A138" t="s">
        <v>1127</v>
      </c>
      <c r="B138" t="s">
        <v>61</v>
      </c>
      <c r="C138" s="2">
        <v>45430</v>
      </c>
      <c r="D138" t="s">
        <v>992</v>
      </c>
    </row>
    <row r="139" spans="1:4" x14ac:dyDescent="0.3">
      <c r="A139" t="s">
        <v>1128</v>
      </c>
      <c r="B139" t="s">
        <v>676</v>
      </c>
      <c r="C139" s="2">
        <v>45703</v>
      </c>
      <c r="D139" t="s">
        <v>992</v>
      </c>
    </row>
    <row r="140" spans="1:4" x14ac:dyDescent="0.3">
      <c r="A140" t="s">
        <v>1129</v>
      </c>
      <c r="B140" t="s">
        <v>817</v>
      </c>
      <c r="C140" s="2">
        <v>45347</v>
      </c>
      <c r="D140" t="s">
        <v>2305</v>
      </c>
    </row>
    <row r="141" spans="1:4" x14ac:dyDescent="0.3">
      <c r="A141" t="s">
        <v>1130</v>
      </c>
      <c r="B141" t="s">
        <v>973</v>
      </c>
      <c r="C141" s="2">
        <v>45350</v>
      </c>
      <c r="D141" t="s">
        <v>1007</v>
      </c>
    </row>
    <row r="142" spans="1:4" x14ac:dyDescent="0.3">
      <c r="A142" t="s">
        <v>1131</v>
      </c>
      <c r="B142" t="s">
        <v>431</v>
      </c>
      <c r="C142" s="2">
        <v>45578</v>
      </c>
      <c r="D142" t="s">
        <v>992</v>
      </c>
    </row>
    <row r="143" spans="1:4" x14ac:dyDescent="0.3">
      <c r="A143" t="s">
        <v>1132</v>
      </c>
      <c r="B143" t="s">
        <v>249</v>
      </c>
      <c r="C143" s="2">
        <v>45423</v>
      </c>
      <c r="D143" t="s">
        <v>990</v>
      </c>
    </row>
    <row r="144" spans="1:4" x14ac:dyDescent="0.3">
      <c r="A144" t="s">
        <v>1133</v>
      </c>
      <c r="B144" t="s">
        <v>871</v>
      </c>
      <c r="C144" s="2">
        <v>45425</v>
      </c>
      <c r="D144" t="s">
        <v>995</v>
      </c>
    </row>
    <row r="145" spans="1:4" x14ac:dyDescent="0.3">
      <c r="A145" t="s">
        <v>1134</v>
      </c>
      <c r="B145" t="s">
        <v>205</v>
      </c>
      <c r="C145" s="2">
        <v>45491</v>
      </c>
      <c r="D145" t="s">
        <v>990</v>
      </c>
    </row>
    <row r="146" spans="1:4" x14ac:dyDescent="0.3">
      <c r="A146" t="s">
        <v>1135</v>
      </c>
      <c r="B146" t="s">
        <v>334</v>
      </c>
      <c r="C146" s="2">
        <v>45321</v>
      </c>
      <c r="D146" t="s">
        <v>992</v>
      </c>
    </row>
    <row r="147" spans="1:4" x14ac:dyDescent="0.3">
      <c r="A147" t="s">
        <v>1136</v>
      </c>
      <c r="B147" t="s">
        <v>297</v>
      </c>
      <c r="C147" s="2">
        <v>45619</v>
      </c>
      <c r="D147" t="s">
        <v>2305</v>
      </c>
    </row>
    <row r="148" spans="1:4" x14ac:dyDescent="0.3">
      <c r="A148" t="s">
        <v>1137</v>
      </c>
      <c r="B148" t="s">
        <v>597</v>
      </c>
      <c r="C148" s="2">
        <v>45466</v>
      </c>
      <c r="D148" t="s">
        <v>995</v>
      </c>
    </row>
    <row r="149" spans="1:4" x14ac:dyDescent="0.3">
      <c r="A149" t="s">
        <v>1138</v>
      </c>
      <c r="B149" t="s">
        <v>892</v>
      </c>
      <c r="C149" s="2">
        <v>45292</v>
      </c>
      <c r="D149" t="s">
        <v>992</v>
      </c>
    </row>
    <row r="150" spans="1:4" x14ac:dyDescent="0.3">
      <c r="A150" t="s">
        <v>1139</v>
      </c>
      <c r="B150" t="s">
        <v>381</v>
      </c>
      <c r="C150" s="2">
        <v>45476</v>
      </c>
      <c r="D150" t="s">
        <v>1007</v>
      </c>
    </row>
    <row r="151" spans="1:4" x14ac:dyDescent="0.3">
      <c r="A151" t="s">
        <v>1140</v>
      </c>
      <c r="B151" t="s">
        <v>825</v>
      </c>
      <c r="C151" s="2">
        <v>45403</v>
      </c>
      <c r="D151" t="s">
        <v>995</v>
      </c>
    </row>
    <row r="152" spans="1:4" x14ac:dyDescent="0.3">
      <c r="A152" t="s">
        <v>1141</v>
      </c>
      <c r="B152" t="s">
        <v>286</v>
      </c>
      <c r="C152" s="2">
        <v>45723</v>
      </c>
      <c r="D152" t="s">
        <v>995</v>
      </c>
    </row>
    <row r="153" spans="1:4" x14ac:dyDescent="0.3">
      <c r="A153" t="s">
        <v>1142</v>
      </c>
      <c r="B153" t="s">
        <v>359</v>
      </c>
      <c r="C153" s="2">
        <v>45569</v>
      </c>
      <c r="D153" t="s">
        <v>1007</v>
      </c>
    </row>
    <row r="154" spans="1:4" x14ac:dyDescent="0.3">
      <c r="A154" t="s">
        <v>1143</v>
      </c>
      <c r="B154" t="s">
        <v>186</v>
      </c>
      <c r="C154" s="2">
        <v>45747</v>
      </c>
      <c r="D154" t="s">
        <v>2305</v>
      </c>
    </row>
    <row r="155" spans="1:4" x14ac:dyDescent="0.3">
      <c r="A155" t="s">
        <v>1144</v>
      </c>
      <c r="B155" t="s">
        <v>554</v>
      </c>
      <c r="C155" s="2">
        <v>45381</v>
      </c>
      <c r="D155" t="s">
        <v>995</v>
      </c>
    </row>
    <row r="156" spans="1:4" x14ac:dyDescent="0.3">
      <c r="A156" t="s">
        <v>1145</v>
      </c>
      <c r="B156" t="s">
        <v>393</v>
      </c>
      <c r="C156" s="2">
        <v>45590</v>
      </c>
      <c r="D156" t="s">
        <v>995</v>
      </c>
    </row>
    <row r="157" spans="1:4" x14ac:dyDescent="0.3">
      <c r="A157" t="s">
        <v>1146</v>
      </c>
      <c r="B157" t="s">
        <v>28</v>
      </c>
      <c r="C157" s="2">
        <v>45353</v>
      </c>
      <c r="D157" t="s">
        <v>990</v>
      </c>
    </row>
    <row r="158" spans="1:4" x14ac:dyDescent="0.3">
      <c r="A158" t="s">
        <v>1147</v>
      </c>
      <c r="B158" t="s">
        <v>121</v>
      </c>
      <c r="C158" s="2">
        <v>45557</v>
      </c>
      <c r="D158" t="s">
        <v>990</v>
      </c>
    </row>
    <row r="159" spans="1:4" x14ac:dyDescent="0.3">
      <c r="A159" t="s">
        <v>1148</v>
      </c>
      <c r="B159" t="s">
        <v>570</v>
      </c>
      <c r="C159" s="2">
        <v>45841</v>
      </c>
      <c r="D159" t="s">
        <v>2305</v>
      </c>
    </row>
    <row r="160" spans="1:4" x14ac:dyDescent="0.3">
      <c r="A160" t="s">
        <v>1149</v>
      </c>
      <c r="B160" t="s">
        <v>191</v>
      </c>
      <c r="C160" s="2">
        <v>45299</v>
      </c>
      <c r="D160" t="s">
        <v>2305</v>
      </c>
    </row>
    <row r="161" spans="1:4" x14ac:dyDescent="0.3">
      <c r="A161" t="s">
        <v>1150</v>
      </c>
      <c r="B161" t="s">
        <v>276</v>
      </c>
      <c r="C161" s="2">
        <v>45738</v>
      </c>
      <c r="D161" t="s">
        <v>992</v>
      </c>
    </row>
    <row r="162" spans="1:4" x14ac:dyDescent="0.3">
      <c r="A162" t="s">
        <v>1151</v>
      </c>
      <c r="B162" t="s">
        <v>503</v>
      </c>
      <c r="C162" s="2">
        <v>45416</v>
      </c>
      <c r="D162" t="s">
        <v>990</v>
      </c>
    </row>
    <row r="163" spans="1:4" x14ac:dyDescent="0.3">
      <c r="A163" t="s">
        <v>1152</v>
      </c>
      <c r="B163" t="s">
        <v>83</v>
      </c>
      <c r="C163" s="2">
        <v>45375</v>
      </c>
      <c r="D163" t="s">
        <v>990</v>
      </c>
    </row>
    <row r="164" spans="1:4" x14ac:dyDescent="0.3">
      <c r="A164" t="s">
        <v>1153</v>
      </c>
      <c r="B164" t="s">
        <v>13</v>
      </c>
      <c r="C164" s="2">
        <v>45298</v>
      </c>
      <c r="D164" t="s">
        <v>2305</v>
      </c>
    </row>
    <row r="165" spans="1:4" x14ac:dyDescent="0.3">
      <c r="A165" t="s">
        <v>1154</v>
      </c>
      <c r="B165" t="s">
        <v>154</v>
      </c>
      <c r="C165" s="2">
        <v>45353</v>
      </c>
      <c r="D165" t="s">
        <v>995</v>
      </c>
    </row>
    <row r="166" spans="1:4" x14ac:dyDescent="0.3">
      <c r="A166" t="s">
        <v>1155</v>
      </c>
      <c r="B166" t="s">
        <v>649</v>
      </c>
      <c r="C166" s="2">
        <v>45690</v>
      </c>
      <c r="D166" t="s">
        <v>990</v>
      </c>
    </row>
    <row r="167" spans="1:4" x14ac:dyDescent="0.3">
      <c r="A167" t="s">
        <v>1156</v>
      </c>
      <c r="B167" t="s">
        <v>133</v>
      </c>
      <c r="C167" s="2">
        <v>45441</v>
      </c>
      <c r="D167" t="s">
        <v>2305</v>
      </c>
    </row>
    <row r="168" spans="1:4" x14ac:dyDescent="0.3">
      <c r="A168" t="s">
        <v>1157</v>
      </c>
      <c r="B168" t="s">
        <v>900</v>
      </c>
      <c r="C168" s="2">
        <v>45554</v>
      </c>
      <c r="D168" t="s">
        <v>995</v>
      </c>
    </row>
    <row r="169" spans="1:4" x14ac:dyDescent="0.3">
      <c r="A169" t="s">
        <v>1158</v>
      </c>
      <c r="B169" t="s">
        <v>51</v>
      </c>
      <c r="C169" s="2">
        <v>45416</v>
      </c>
      <c r="D169" t="s">
        <v>995</v>
      </c>
    </row>
    <row r="170" spans="1:4" x14ac:dyDescent="0.3">
      <c r="A170" t="s">
        <v>1159</v>
      </c>
      <c r="B170" t="s">
        <v>373</v>
      </c>
      <c r="C170" s="2">
        <v>45377</v>
      </c>
      <c r="D170" t="s">
        <v>992</v>
      </c>
    </row>
    <row r="171" spans="1:4" x14ac:dyDescent="0.3">
      <c r="A171" t="s">
        <v>1160</v>
      </c>
      <c r="B171" t="s">
        <v>507</v>
      </c>
      <c r="C171" s="2">
        <v>45576</v>
      </c>
      <c r="D171" t="s">
        <v>1007</v>
      </c>
    </row>
    <row r="172" spans="1:4" x14ac:dyDescent="0.3">
      <c r="A172" t="s">
        <v>1161</v>
      </c>
      <c r="B172" t="s">
        <v>203</v>
      </c>
      <c r="C172" s="2">
        <v>45766</v>
      </c>
      <c r="D172" t="s">
        <v>995</v>
      </c>
    </row>
    <row r="173" spans="1:4" x14ac:dyDescent="0.3">
      <c r="A173" t="s">
        <v>1162</v>
      </c>
      <c r="B173" t="s">
        <v>528</v>
      </c>
      <c r="C173" s="2">
        <v>45566</v>
      </c>
      <c r="D173" t="s">
        <v>2305</v>
      </c>
    </row>
    <row r="174" spans="1:4" x14ac:dyDescent="0.3">
      <c r="A174" t="s">
        <v>1163</v>
      </c>
      <c r="B174" t="s">
        <v>485</v>
      </c>
      <c r="C174" s="2">
        <v>45651</v>
      </c>
      <c r="D174" t="s">
        <v>1007</v>
      </c>
    </row>
    <row r="175" spans="1:4" x14ac:dyDescent="0.3">
      <c r="A175" t="s">
        <v>1164</v>
      </c>
      <c r="B175" t="s">
        <v>708</v>
      </c>
      <c r="C175" s="2">
        <v>45737</v>
      </c>
      <c r="D175" t="s">
        <v>995</v>
      </c>
    </row>
    <row r="176" spans="1:4" x14ac:dyDescent="0.3">
      <c r="A176" t="s">
        <v>1165</v>
      </c>
      <c r="B176" t="s">
        <v>101</v>
      </c>
      <c r="C176" s="2">
        <v>45431</v>
      </c>
      <c r="D176" t="s">
        <v>2305</v>
      </c>
    </row>
    <row r="177" spans="1:4" x14ac:dyDescent="0.3">
      <c r="A177" t="s">
        <v>1166</v>
      </c>
      <c r="B177" t="s">
        <v>312</v>
      </c>
      <c r="C177" s="2">
        <v>45591</v>
      </c>
      <c r="D177" t="s">
        <v>992</v>
      </c>
    </row>
    <row r="178" spans="1:4" x14ac:dyDescent="0.3">
      <c r="A178" t="s">
        <v>1167</v>
      </c>
      <c r="B178" t="s">
        <v>230</v>
      </c>
      <c r="C178" s="2">
        <v>45354</v>
      </c>
      <c r="D178" t="s">
        <v>990</v>
      </c>
    </row>
    <row r="179" spans="1:4" x14ac:dyDescent="0.3">
      <c r="A179" t="s">
        <v>1168</v>
      </c>
      <c r="B179" t="s">
        <v>284</v>
      </c>
      <c r="C179" s="2">
        <v>45392</v>
      </c>
      <c r="D179" t="s">
        <v>995</v>
      </c>
    </row>
    <row r="180" spans="1:4" x14ac:dyDescent="0.3">
      <c r="A180" t="s">
        <v>1169</v>
      </c>
      <c r="B180" t="s">
        <v>462</v>
      </c>
      <c r="C180" s="2">
        <v>45367</v>
      </c>
      <c r="D180" t="s">
        <v>2305</v>
      </c>
    </row>
    <row r="181" spans="1:4" x14ac:dyDescent="0.3">
      <c r="A181" t="s">
        <v>1170</v>
      </c>
      <c r="B181" t="s">
        <v>801</v>
      </c>
      <c r="C181" s="2">
        <v>45376</v>
      </c>
      <c r="D181" t="s">
        <v>990</v>
      </c>
    </row>
    <row r="182" spans="1:4" x14ac:dyDescent="0.3">
      <c r="A182" t="s">
        <v>1171</v>
      </c>
      <c r="B182" t="s">
        <v>848</v>
      </c>
      <c r="C182" s="2">
        <v>45302</v>
      </c>
      <c r="D182" t="s">
        <v>1007</v>
      </c>
    </row>
    <row r="183" spans="1:4" x14ac:dyDescent="0.3">
      <c r="A183" t="s">
        <v>1172</v>
      </c>
      <c r="B183" t="s">
        <v>799</v>
      </c>
      <c r="C183" s="2">
        <v>45788</v>
      </c>
      <c r="D183" t="s">
        <v>990</v>
      </c>
    </row>
    <row r="184" spans="1:4" x14ac:dyDescent="0.3">
      <c r="A184" t="s">
        <v>1173</v>
      </c>
      <c r="B184" t="s">
        <v>683</v>
      </c>
      <c r="C184" s="2">
        <v>45497</v>
      </c>
      <c r="D184" t="s">
        <v>990</v>
      </c>
    </row>
    <row r="185" spans="1:4" x14ac:dyDescent="0.3">
      <c r="A185" t="s">
        <v>1174</v>
      </c>
      <c r="B185" t="s">
        <v>879</v>
      </c>
      <c r="C185" s="2">
        <v>45841</v>
      </c>
      <c r="D185" t="s">
        <v>990</v>
      </c>
    </row>
    <row r="186" spans="1:4" x14ac:dyDescent="0.3">
      <c r="A186" t="s">
        <v>1175</v>
      </c>
      <c r="B186" t="s">
        <v>809</v>
      </c>
      <c r="C186" s="2">
        <v>45903</v>
      </c>
      <c r="D186" t="s">
        <v>1007</v>
      </c>
    </row>
    <row r="187" spans="1:4" x14ac:dyDescent="0.3">
      <c r="A187" t="s">
        <v>1176</v>
      </c>
      <c r="B187" t="s">
        <v>657</v>
      </c>
      <c r="C187" s="2">
        <v>45556</v>
      </c>
      <c r="D187" t="s">
        <v>990</v>
      </c>
    </row>
    <row r="188" spans="1:4" x14ac:dyDescent="0.3">
      <c r="A188" t="s">
        <v>1177</v>
      </c>
      <c r="B188" t="s">
        <v>505</v>
      </c>
      <c r="C188" s="2">
        <v>45737</v>
      </c>
      <c r="D188" t="s">
        <v>1007</v>
      </c>
    </row>
    <row r="189" spans="1:4" x14ac:dyDescent="0.3">
      <c r="A189" t="s">
        <v>1178</v>
      </c>
      <c r="B189" t="s">
        <v>736</v>
      </c>
      <c r="C189" s="2">
        <v>45347</v>
      </c>
      <c r="D189" t="s">
        <v>995</v>
      </c>
    </row>
    <row r="190" spans="1:4" x14ac:dyDescent="0.3">
      <c r="A190" t="s">
        <v>1179</v>
      </c>
      <c r="B190" t="s">
        <v>148</v>
      </c>
      <c r="C190" s="2">
        <v>45458</v>
      </c>
      <c r="D190" t="s">
        <v>995</v>
      </c>
    </row>
    <row r="191" spans="1:4" x14ac:dyDescent="0.3">
      <c r="A191" t="s">
        <v>1180</v>
      </c>
      <c r="B191" t="s">
        <v>950</v>
      </c>
      <c r="C191" s="2">
        <v>45634</v>
      </c>
      <c r="D191" t="s">
        <v>995</v>
      </c>
    </row>
    <row r="192" spans="1:4" x14ac:dyDescent="0.3">
      <c r="A192" t="s">
        <v>1181</v>
      </c>
      <c r="B192" t="s">
        <v>288</v>
      </c>
      <c r="C192" s="2">
        <v>45507</v>
      </c>
      <c r="D192" t="s">
        <v>2305</v>
      </c>
    </row>
    <row r="193" spans="1:4" x14ac:dyDescent="0.3">
      <c r="A193" t="s">
        <v>1182</v>
      </c>
      <c r="B193" t="s">
        <v>103</v>
      </c>
      <c r="C193" s="2">
        <v>45706</v>
      </c>
      <c r="D193" t="s">
        <v>1007</v>
      </c>
    </row>
    <row r="194" spans="1:4" x14ac:dyDescent="0.3">
      <c r="A194" t="s">
        <v>1183</v>
      </c>
      <c r="B194" t="s">
        <v>538</v>
      </c>
      <c r="C194" s="2">
        <v>45761</v>
      </c>
      <c r="D194" t="s">
        <v>992</v>
      </c>
    </row>
    <row r="195" spans="1:4" x14ac:dyDescent="0.3">
      <c r="A195" t="s">
        <v>1184</v>
      </c>
      <c r="B195" t="s">
        <v>81</v>
      </c>
      <c r="C195" s="2">
        <v>45610</v>
      </c>
      <c r="D195" t="s">
        <v>992</v>
      </c>
    </row>
    <row r="196" spans="1:4" x14ac:dyDescent="0.3">
      <c r="A196" t="s">
        <v>1185</v>
      </c>
      <c r="B196" t="s">
        <v>253</v>
      </c>
      <c r="C196" s="2">
        <v>45558</v>
      </c>
      <c r="D196" t="s">
        <v>990</v>
      </c>
    </row>
    <row r="197" spans="1:4" x14ac:dyDescent="0.3">
      <c r="A197" t="s">
        <v>1186</v>
      </c>
      <c r="B197" t="s">
        <v>481</v>
      </c>
      <c r="C197" s="2">
        <v>45778</v>
      </c>
      <c r="D197" t="s">
        <v>992</v>
      </c>
    </row>
    <row r="198" spans="1:4" x14ac:dyDescent="0.3">
      <c r="A198" t="s">
        <v>1187</v>
      </c>
      <c r="B198" t="s">
        <v>236</v>
      </c>
      <c r="C198" s="2">
        <v>45448</v>
      </c>
      <c r="D198" t="s">
        <v>995</v>
      </c>
    </row>
    <row r="199" spans="1:4" x14ac:dyDescent="0.3">
      <c r="A199" t="s">
        <v>1188</v>
      </c>
      <c r="B199" t="s">
        <v>251</v>
      </c>
      <c r="C199" s="2">
        <v>45322</v>
      </c>
      <c r="D199" t="s">
        <v>992</v>
      </c>
    </row>
    <row r="200" spans="1:4" x14ac:dyDescent="0.3">
      <c r="A200" t="s">
        <v>1189</v>
      </c>
      <c r="B200" t="s">
        <v>180</v>
      </c>
      <c r="C200" s="2">
        <v>45530</v>
      </c>
      <c r="D200" t="s">
        <v>995</v>
      </c>
    </row>
    <row r="201" spans="1:4" x14ac:dyDescent="0.3">
      <c r="A201" t="s">
        <v>1190</v>
      </c>
      <c r="B201" t="s">
        <v>886</v>
      </c>
      <c r="C201" s="2">
        <v>45385</v>
      </c>
      <c r="D201" t="s">
        <v>995</v>
      </c>
    </row>
    <row r="202" spans="1:4" x14ac:dyDescent="0.3">
      <c r="A202" t="s">
        <v>1191</v>
      </c>
      <c r="B202" t="s">
        <v>593</v>
      </c>
      <c r="C202" s="2">
        <v>45760</v>
      </c>
      <c r="D202" t="s">
        <v>992</v>
      </c>
    </row>
    <row r="203" spans="1:4" x14ac:dyDescent="0.3">
      <c r="A203" t="s">
        <v>1192</v>
      </c>
      <c r="B203" t="s">
        <v>554</v>
      </c>
      <c r="C203" s="2">
        <v>45387</v>
      </c>
      <c r="D203" t="s">
        <v>1007</v>
      </c>
    </row>
    <row r="204" spans="1:4" x14ac:dyDescent="0.3">
      <c r="A204" t="s">
        <v>1193</v>
      </c>
      <c r="B204" t="s">
        <v>581</v>
      </c>
      <c r="C204" s="2">
        <v>45721</v>
      </c>
      <c r="D204" t="s">
        <v>995</v>
      </c>
    </row>
    <row r="205" spans="1:4" x14ac:dyDescent="0.3">
      <c r="A205" t="s">
        <v>1194</v>
      </c>
      <c r="B205" t="s">
        <v>779</v>
      </c>
      <c r="C205" s="2">
        <v>45395</v>
      </c>
      <c r="D205" t="s">
        <v>990</v>
      </c>
    </row>
    <row r="206" spans="1:4" x14ac:dyDescent="0.3">
      <c r="A206" t="s">
        <v>1195</v>
      </c>
      <c r="B206" t="s">
        <v>928</v>
      </c>
      <c r="C206" s="2">
        <v>45661</v>
      </c>
      <c r="D206" t="s">
        <v>992</v>
      </c>
    </row>
    <row r="207" spans="1:4" x14ac:dyDescent="0.3">
      <c r="A207" t="s">
        <v>1196</v>
      </c>
      <c r="B207" t="s">
        <v>963</v>
      </c>
      <c r="C207" s="2">
        <v>45532</v>
      </c>
      <c r="D207" t="s">
        <v>1007</v>
      </c>
    </row>
    <row r="208" spans="1:4" x14ac:dyDescent="0.3">
      <c r="A208" t="s">
        <v>1197</v>
      </c>
      <c r="B208" t="s">
        <v>492</v>
      </c>
      <c r="C208" s="2">
        <v>45462</v>
      </c>
      <c r="D208" t="s">
        <v>995</v>
      </c>
    </row>
    <row r="209" spans="1:4" x14ac:dyDescent="0.3">
      <c r="A209" t="s">
        <v>1198</v>
      </c>
      <c r="B209" t="s">
        <v>773</v>
      </c>
      <c r="C209" s="2">
        <v>45966</v>
      </c>
      <c r="D209" t="s">
        <v>990</v>
      </c>
    </row>
    <row r="210" spans="1:4" x14ac:dyDescent="0.3">
      <c r="A210" t="s">
        <v>1199</v>
      </c>
      <c r="B210" t="s">
        <v>31</v>
      </c>
      <c r="C210" s="2">
        <v>45765</v>
      </c>
      <c r="D210" t="s">
        <v>995</v>
      </c>
    </row>
    <row r="211" spans="1:4" x14ac:dyDescent="0.3">
      <c r="A211" t="s">
        <v>1200</v>
      </c>
      <c r="B211" t="s">
        <v>485</v>
      </c>
      <c r="C211" s="2">
        <v>45457</v>
      </c>
      <c r="D211" t="s">
        <v>990</v>
      </c>
    </row>
    <row r="212" spans="1:4" x14ac:dyDescent="0.3">
      <c r="A212" t="s">
        <v>1201</v>
      </c>
      <c r="B212" t="s">
        <v>72</v>
      </c>
      <c r="C212" s="2">
        <v>45430</v>
      </c>
      <c r="D212" t="s">
        <v>995</v>
      </c>
    </row>
    <row r="213" spans="1:4" x14ac:dyDescent="0.3">
      <c r="A213" t="s">
        <v>1202</v>
      </c>
      <c r="B213" t="s">
        <v>597</v>
      </c>
      <c r="C213" s="2">
        <v>45321</v>
      </c>
      <c r="D213" t="s">
        <v>995</v>
      </c>
    </row>
    <row r="214" spans="1:4" x14ac:dyDescent="0.3">
      <c r="A214" t="s">
        <v>1203</v>
      </c>
      <c r="B214" t="s">
        <v>144</v>
      </c>
      <c r="C214" s="2">
        <v>45602</v>
      </c>
      <c r="D214" t="s">
        <v>2305</v>
      </c>
    </row>
    <row r="215" spans="1:4" x14ac:dyDescent="0.3">
      <c r="A215" t="s">
        <v>1204</v>
      </c>
      <c r="B215" t="s">
        <v>135</v>
      </c>
      <c r="C215" s="2">
        <v>45556</v>
      </c>
      <c r="D215" t="s">
        <v>2305</v>
      </c>
    </row>
    <row r="216" spans="1:4" x14ac:dyDescent="0.3">
      <c r="A216" t="s">
        <v>1205</v>
      </c>
      <c r="B216" t="s">
        <v>714</v>
      </c>
      <c r="C216" s="2">
        <v>45668</v>
      </c>
      <c r="D216" t="s">
        <v>995</v>
      </c>
    </row>
    <row r="217" spans="1:4" x14ac:dyDescent="0.3">
      <c r="A217" t="s">
        <v>1206</v>
      </c>
      <c r="B217" t="s">
        <v>318</v>
      </c>
      <c r="C217" s="2">
        <v>45505</v>
      </c>
      <c r="D217" t="s">
        <v>990</v>
      </c>
    </row>
    <row r="218" spans="1:4" x14ac:dyDescent="0.3">
      <c r="A218" t="s">
        <v>1207</v>
      </c>
      <c r="B218" t="s">
        <v>290</v>
      </c>
      <c r="C218" s="2">
        <v>45637</v>
      </c>
      <c r="D218" t="s">
        <v>992</v>
      </c>
    </row>
    <row r="219" spans="1:4" x14ac:dyDescent="0.3">
      <c r="A219" t="s">
        <v>1208</v>
      </c>
      <c r="B219" t="s">
        <v>201</v>
      </c>
      <c r="C219" s="2">
        <v>45670</v>
      </c>
      <c r="D219" t="s">
        <v>2305</v>
      </c>
    </row>
    <row r="220" spans="1:4" x14ac:dyDescent="0.3">
      <c r="A220" t="s">
        <v>1209</v>
      </c>
      <c r="B220" t="s">
        <v>544</v>
      </c>
      <c r="C220" s="2">
        <v>45779</v>
      </c>
      <c r="D220" t="s">
        <v>995</v>
      </c>
    </row>
    <row r="221" spans="1:4" x14ac:dyDescent="0.3">
      <c r="A221" t="s">
        <v>1210</v>
      </c>
      <c r="B221" t="s">
        <v>833</v>
      </c>
      <c r="C221" s="2">
        <v>45737</v>
      </c>
      <c r="D221" t="s">
        <v>1007</v>
      </c>
    </row>
    <row r="222" spans="1:4" x14ac:dyDescent="0.3">
      <c r="A222" t="s">
        <v>1211</v>
      </c>
      <c r="B222" t="s">
        <v>829</v>
      </c>
      <c r="C222" s="2">
        <v>45684</v>
      </c>
      <c r="D222" t="s">
        <v>1007</v>
      </c>
    </row>
    <row r="223" spans="1:4" x14ac:dyDescent="0.3">
      <c r="A223" t="s">
        <v>1212</v>
      </c>
      <c r="B223" t="s">
        <v>579</v>
      </c>
      <c r="C223" s="2">
        <v>45495</v>
      </c>
      <c r="D223" t="s">
        <v>995</v>
      </c>
    </row>
    <row r="224" spans="1:4" x14ac:dyDescent="0.3">
      <c r="A224" t="s">
        <v>1213</v>
      </c>
      <c r="B224" t="s">
        <v>843</v>
      </c>
      <c r="C224" s="2">
        <v>45727</v>
      </c>
      <c r="D224" t="s">
        <v>1007</v>
      </c>
    </row>
    <row r="225" spans="1:4" x14ac:dyDescent="0.3">
      <c r="A225" t="s">
        <v>1214</v>
      </c>
      <c r="B225" t="s">
        <v>765</v>
      </c>
      <c r="C225" s="2">
        <v>45728</v>
      </c>
      <c r="D225" t="s">
        <v>2305</v>
      </c>
    </row>
    <row r="226" spans="1:4" x14ac:dyDescent="0.3">
      <c r="A226" t="s">
        <v>1215</v>
      </c>
      <c r="B226" t="s">
        <v>581</v>
      </c>
      <c r="C226" s="2">
        <v>45662</v>
      </c>
      <c r="D226" t="s">
        <v>992</v>
      </c>
    </row>
    <row r="227" spans="1:4" x14ac:dyDescent="0.3">
      <c r="A227" t="s">
        <v>1216</v>
      </c>
      <c r="B227" t="s">
        <v>712</v>
      </c>
      <c r="C227" s="2">
        <v>45492</v>
      </c>
      <c r="D227" t="s">
        <v>990</v>
      </c>
    </row>
    <row r="228" spans="1:4" x14ac:dyDescent="0.3">
      <c r="A228" t="s">
        <v>1217</v>
      </c>
      <c r="B228" t="s">
        <v>651</v>
      </c>
      <c r="C228" s="2">
        <v>45383</v>
      </c>
      <c r="D228" t="s">
        <v>2305</v>
      </c>
    </row>
    <row r="229" spans="1:4" x14ac:dyDescent="0.3">
      <c r="A229" t="s">
        <v>1218</v>
      </c>
      <c r="B229" t="s">
        <v>767</v>
      </c>
      <c r="C229" s="2">
        <v>45519</v>
      </c>
      <c r="D229" t="s">
        <v>995</v>
      </c>
    </row>
    <row r="230" spans="1:4" x14ac:dyDescent="0.3">
      <c r="A230" t="s">
        <v>1219</v>
      </c>
      <c r="B230" t="s">
        <v>615</v>
      </c>
      <c r="C230" s="2">
        <v>45703</v>
      </c>
      <c r="D230" t="s">
        <v>990</v>
      </c>
    </row>
    <row r="231" spans="1:4" x14ac:dyDescent="0.3">
      <c r="A231" t="s">
        <v>1220</v>
      </c>
      <c r="B231" t="s">
        <v>761</v>
      </c>
      <c r="C231" s="2">
        <v>45589</v>
      </c>
      <c r="D231" t="s">
        <v>1007</v>
      </c>
    </row>
    <row r="232" spans="1:4" x14ac:dyDescent="0.3">
      <c r="A232" t="s">
        <v>1221</v>
      </c>
      <c r="B232" t="s">
        <v>668</v>
      </c>
      <c r="C232" s="2">
        <v>45457</v>
      </c>
      <c r="D232" t="s">
        <v>995</v>
      </c>
    </row>
    <row r="233" spans="1:4" x14ac:dyDescent="0.3">
      <c r="A233" t="s">
        <v>1222</v>
      </c>
      <c r="B233" t="s">
        <v>659</v>
      </c>
      <c r="C233" s="2">
        <v>45396</v>
      </c>
      <c r="D233" t="s">
        <v>1007</v>
      </c>
    </row>
    <row r="234" spans="1:4" x14ac:dyDescent="0.3">
      <c r="A234" t="s">
        <v>1223</v>
      </c>
      <c r="B234" t="s">
        <v>61</v>
      </c>
      <c r="C234" s="2">
        <v>45316</v>
      </c>
      <c r="D234" t="s">
        <v>2305</v>
      </c>
    </row>
    <row r="235" spans="1:4" x14ac:dyDescent="0.3">
      <c r="A235" t="s">
        <v>1224</v>
      </c>
      <c r="B235" t="s">
        <v>607</v>
      </c>
      <c r="C235" s="2">
        <v>45763</v>
      </c>
      <c r="D235" t="s">
        <v>992</v>
      </c>
    </row>
    <row r="236" spans="1:4" x14ac:dyDescent="0.3">
      <c r="A236" t="s">
        <v>1225</v>
      </c>
      <c r="B236" t="s">
        <v>880</v>
      </c>
      <c r="C236" s="2">
        <v>45556</v>
      </c>
      <c r="D236" t="s">
        <v>990</v>
      </c>
    </row>
    <row r="237" spans="1:4" x14ac:dyDescent="0.3">
      <c r="A237" t="s">
        <v>1226</v>
      </c>
      <c r="B237" t="s">
        <v>785</v>
      </c>
      <c r="C237" s="2">
        <v>45529</v>
      </c>
      <c r="D237" t="s">
        <v>1007</v>
      </c>
    </row>
    <row r="238" spans="1:4" x14ac:dyDescent="0.3">
      <c r="A238" t="s">
        <v>1227</v>
      </c>
      <c r="B238" t="s">
        <v>708</v>
      </c>
      <c r="C238" s="2">
        <v>45523</v>
      </c>
      <c r="D238" t="s">
        <v>1007</v>
      </c>
    </row>
    <row r="239" spans="1:4" x14ac:dyDescent="0.3">
      <c r="A239" t="s">
        <v>1228</v>
      </c>
      <c r="B239" t="s">
        <v>466</v>
      </c>
      <c r="C239" s="2">
        <v>45342</v>
      </c>
      <c r="D239" t="s">
        <v>990</v>
      </c>
    </row>
    <row r="240" spans="1:4" x14ac:dyDescent="0.3">
      <c r="A240" t="s">
        <v>1229</v>
      </c>
      <c r="B240" t="s">
        <v>864</v>
      </c>
      <c r="C240" s="2">
        <v>45497</v>
      </c>
      <c r="D240" t="s">
        <v>995</v>
      </c>
    </row>
    <row r="241" spans="1:4" x14ac:dyDescent="0.3">
      <c r="A241" t="s">
        <v>1230</v>
      </c>
      <c r="B241" t="s">
        <v>385</v>
      </c>
      <c r="C241" s="2">
        <v>45785</v>
      </c>
      <c r="D241" t="s">
        <v>2305</v>
      </c>
    </row>
    <row r="242" spans="1:4" x14ac:dyDescent="0.3">
      <c r="A242" t="s">
        <v>1231</v>
      </c>
      <c r="B242" t="s">
        <v>811</v>
      </c>
      <c r="C242" s="2">
        <v>45517</v>
      </c>
      <c r="D242" t="s">
        <v>990</v>
      </c>
    </row>
    <row r="243" spans="1:4" x14ac:dyDescent="0.3">
      <c r="A243" t="s">
        <v>1232</v>
      </c>
      <c r="B243" t="s">
        <v>195</v>
      </c>
      <c r="C243" s="2">
        <v>45379</v>
      </c>
      <c r="D243" t="s">
        <v>990</v>
      </c>
    </row>
    <row r="244" spans="1:4" x14ac:dyDescent="0.3">
      <c r="A244" t="s">
        <v>1233</v>
      </c>
      <c r="B244" t="s">
        <v>740</v>
      </c>
      <c r="C244" s="2">
        <v>45792</v>
      </c>
      <c r="D244" t="s">
        <v>992</v>
      </c>
    </row>
    <row r="245" spans="1:4" x14ac:dyDescent="0.3">
      <c r="A245" t="s">
        <v>1234</v>
      </c>
      <c r="B245" t="s">
        <v>359</v>
      </c>
      <c r="C245" s="2">
        <v>45348</v>
      </c>
      <c r="D245" t="s">
        <v>992</v>
      </c>
    </row>
    <row r="246" spans="1:4" x14ac:dyDescent="0.3">
      <c r="A246" t="s">
        <v>1235</v>
      </c>
      <c r="B246" t="s">
        <v>693</v>
      </c>
      <c r="C246" s="2">
        <v>45712</v>
      </c>
      <c r="D246" t="s">
        <v>990</v>
      </c>
    </row>
    <row r="247" spans="1:4" x14ac:dyDescent="0.3">
      <c r="A247" t="s">
        <v>1236</v>
      </c>
      <c r="B247" t="s">
        <v>322</v>
      </c>
      <c r="C247" s="2">
        <v>45560</v>
      </c>
      <c r="D247" t="s">
        <v>995</v>
      </c>
    </row>
    <row r="248" spans="1:4" x14ac:dyDescent="0.3">
      <c r="A248" t="s">
        <v>1237</v>
      </c>
      <c r="B248" t="s">
        <v>930</v>
      </c>
      <c r="C248" s="2">
        <v>45749</v>
      </c>
      <c r="D248" t="s">
        <v>990</v>
      </c>
    </row>
    <row r="249" spans="1:4" x14ac:dyDescent="0.3">
      <c r="A249" t="s">
        <v>1238</v>
      </c>
      <c r="B249" t="s">
        <v>373</v>
      </c>
      <c r="C249" s="2">
        <v>45322</v>
      </c>
      <c r="D249" t="s">
        <v>1007</v>
      </c>
    </row>
    <row r="250" spans="1:4" x14ac:dyDescent="0.3">
      <c r="A250" t="s">
        <v>1239</v>
      </c>
      <c r="B250" t="s">
        <v>712</v>
      </c>
      <c r="C250" s="2">
        <v>45583</v>
      </c>
      <c r="D250" t="s">
        <v>1007</v>
      </c>
    </row>
    <row r="251" spans="1:4" x14ac:dyDescent="0.3">
      <c r="A251" t="s">
        <v>1240</v>
      </c>
      <c r="B251" t="s">
        <v>831</v>
      </c>
      <c r="C251" s="2">
        <v>45297</v>
      </c>
      <c r="D251" t="s">
        <v>992</v>
      </c>
    </row>
    <row r="252" spans="1:4" x14ac:dyDescent="0.3">
      <c r="A252" t="s">
        <v>1241</v>
      </c>
      <c r="B252" t="s">
        <v>13</v>
      </c>
      <c r="C252" s="2">
        <v>45761</v>
      </c>
      <c r="D252" t="s">
        <v>990</v>
      </c>
    </row>
    <row r="253" spans="1:4" x14ac:dyDescent="0.3">
      <c r="A253" t="s">
        <v>1242</v>
      </c>
      <c r="B253" t="s">
        <v>207</v>
      </c>
      <c r="C253" s="2">
        <v>45592</v>
      </c>
      <c r="D253" t="s">
        <v>1007</v>
      </c>
    </row>
    <row r="254" spans="1:4" x14ac:dyDescent="0.3">
      <c r="A254" t="s">
        <v>1243</v>
      </c>
      <c r="B254" t="s">
        <v>402</v>
      </c>
      <c r="C254" s="2">
        <v>45381</v>
      </c>
      <c r="D254" t="s">
        <v>992</v>
      </c>
    </row>
    <row r="255" spans="1:4" x14ac:dyDescent="0.3">
      <c r="A255" t="s">
        <v>1244</v>
      </c>
      <c r="B255" t="s">
        <v>297</v>
      </c>
      <c r="C255" s="2">
        <v>45586</v>
      </c>
      <c r="D255" t="s">
        <v>990</v>
      </c>
    </row>
    <row r="256" spans="1:4" x14ac:dyDescent="0.3">
      <c r="A256" t="s">
        <v>1245</v>
      </c>
      <c r="B256" t="s">
        <v>253</v>
      </c>
      <c r="C256" s="2">
        <v>45366</v>
      </c>
      <c r="D256" t="s">
        <v>1007</v>
      </c>
    </row>
    <row r="257" spans="1:4" x14ac:dyDescent="0.3">
      <c r="A257" t="s">
        <v>1246</v>
      </c>
      <c r="B257" t="s">
        <v>66</v>
      </c>
      <c r="C257" s="2">
        <v>45343</v>
      </c>
      <c r="D257" t="s">
        <v>995</v>
      </c>
    </row>
    <row r="258" spans="1:4" x14ac:dyDescent="0.3">
      <c r="A258" t="s">
        <v>1247</v>
      </c>
      <c r="B258" t="s">
        <v>817</v>
      </c>
      <c r="C258" s="2">
        <v>45713</v>
      </c>
      <c r="D258" t="s">
        <v>990</v>
      </c>
    </row>
    <row r="259" spans="1:4" x14ac:dyDescent="0.3">
      <c r="A259" t="s">
        <v>1248</v>
      </c>
      <c r="B259" t="s">
        <v>135</v>
      </c>
      <c r="C259" s="2">
        <v>45624</v>
      </c>
      <c r="D259" t="s">
        <v>990</v>
      </c>
    </row>
    <row r="260" spans="1:4" x14ac:dyDescent="0.3">
      <c r="A260" t="s">
        <v>1249</v>
      </c>
      <c r="B260" t="s">
        <v>297</v>
      </c>
      <c r="C260" s="2">
        <v>45658</v>
      </c>
      <c r="D260" t="s">
        <v>990</v>
      </c>
    </row>
    <row r="261" spans="1:4" x14ac:dyDescent="0.3">
      <c r="A261" t="s">
        <v>1250</v>
      </c>
      <c r="B261" t="s">
        <v>558</v>
      </c>
      <c r="C261" s="2">
        <v>45378</v>
      </c>
      <c r="D261" t="s">
        <v>992</v>
      </c>
    </row>
    <row r="262" spans="1:4" x14ac:dyDescent="0.3">
      <c r="A262" t="s">
        <v>1251</v>
      </c>
      <c r="B262" t="s">
        <v>208</v>
      </c>
      <c r="C262" s="2">
        <v>45731</v>
      </c>
      <c r="D262" t="s">
        <v>1007</v>
      </c>
    </row>
    <row r="263" spans="1:4" x14ac:dyDescent="0.3">
      <c r="A263" t="s">
        <v>1252</v>
      </c>
      <c r="B263" t="s">
        <v>704</v>
      </c>
      <c r="C263" s="2">
        <v>45390</v>
      </c>
      <c r="D263" t="s">
        <v>990</v>
      </c>
    </row>
    <row r="264" spans="1:4" x14ac:dyDescent="0.3">
      <c r="A264" t="s">
        <v>1253</v>
      </c>
      <c r="B264" t="s">
        <v>49</v>
      </c>
      <c r="C264" s="2">
        <v>45319</v>
      </c>
      <c r="D264" t="s">
        <v>990</v>
      </c>
    </row>
    <row r="265" spans="1:4" x14ac:dyDescent="0.3">
      <c r="A265" t="s">
        <v>1254</v>
      </c>
      <c r="B265" t="s">
        <v>97</v>
      </c>
      <c r="C265" s="2">
        <v>45517</v>
      </c>
      <c r="D265" t="s">
        <v>995</v>
      </c>
    </row>
    <row r="266" spans="1:4" x14ac:dyDescent="0.3">
      <c r="A266" t="s">
        <v>1255</v>
      </c>
      <c r="B266" t="s">
        <v>505</v>
      </c>
      <c r="C266" s="2">
        <v>45406</v>
      </c>
      <c r="D266" t="s">
        <v>995</v>
      </c>
    </row>
    <row r="267" spans="1:4" x14ac:dyDescent="0.3">
      <c r="A267" t="s">
        <v>1256</v>
      </c>
      <c r="B267" t="s">
        <v>355</v>
      </c>
      <c r="C267" s="2">
        <v>45453</v>
      </c>
      <c r="D267" t="s">
        <v>2305</v>
      </c>
    </row>
    <row r="268" spans="1:4" x14ac:dyDescent="0.3">
      <c r="A268" t="s">
        <v>1257</v>
      </c>
      <c r="B268" t="s">
        <v>613</v>
      </c>
      <c r="C268" s="2">
        <v>45330</v>
      </c>
      <c r="D268" t="s">
        <v>992</v>
      </c>
    </row>
    <row r="269" spans="1:4" x14ac:dyDescent="0.3">
      <c r="A269" t="s">
        <v>1258</v>
      </c>
      <c r="B269" t="s">
        <v>433</v>
      </c>
      <c r="C269" s="2">
        <v>45778</v>
      </c>
      <c r="D269" t="s">
        <v>995</v>
      </c>
    </row>
    <row r="270" spans="1:4" x14ac:dyDescent="0.3">
      <c r="A270" t="s">
        <v>1259</v>
      </c>
      <c r="B270" t="s">
        <v>787</v>
      </c>
      <c r="C270" s="2">
        <v>45608</v>
      </c>
      <c r="D270" t="s">
        <v>995</v>
      </c>
    </row>
    <row r="271" spans="1:4" x14ac:dyDescent="0.3">
      <c r="A271" t="s">
        <v>1260</v>
      </c>
      <c r="B271" t="s">
        <v>835</v>
      </c>
      <c r="C271" s="2">
        <v>45450</v>
      </c>
      <c r="D271" t="s">
        <v>2305</v>
      </c>
    </row>
    <row r="272" spans="1:4" x14ac:dyDescent="0.3">
      <c r="A272" t="s">
        <v>1261</v>
      </c>
      <c r="B272" t="s">
        <v>53</v>
      </c>
      <c r="C272" s="2">
        <v>45697</v>
      </c>
      <c r="D272" t="s">
        <v>1007</v>
      </c>
    </row>
    <row r="273" spans="1:4" x14ac:dyDescent="0.3">
      <c r="A273" t="s">
        <v>1262</v>
      </c>
      <c r="B273" t="s">
        <v>355</v>
      </c>
      <c r="C273" s="2">
        <v>45379</v>
      </c>
      <c r="D273" t="s">
        <v>990</v>
      </c>
    </row>
    <row r="274" spans="1:4" x14ac:dyDescent="0.3">
      <c r="A274" t="s">
        <v>1263</v>
      </c>
      <c r="B274" t="s">
        <v>383</v>
      </c>
      <c r="C274" s="2">
        <v>45295</v>
      </c>
      <c r="D274" t="s">
        <v>990</v>
      </c>
    </row>
    <row r="275" spans="1:4" x14ac:dyDescent="0.3">
      <c r="A275" t="s">
        <v>1264</v>
      </c>
      <c r="B275" t="s">
        <v>732</v>
      </c>
      <c r="C275" s="2">
        <v>45350</v>
      </c>
      <c r="D275" t="s">
        <v>990</v>
      </c>
    </row>
    <row r="276" spans="1:4" x14ac:dyDescent="0.3">
      <c r="A276" t="s">
        <v>1265</v>
      </c>
      <c r="B276" t="s">
        <v>678</v>
      </c>
      <c r="C276" s="2">
        <v>45498</v>
      </c>
      <c r="D276" t="s">
        <v>1007</v>
      </c>
    </row>
    <row r="277" spans="1:4" x14ac:dyDescent="0.3">
      <c r="A277" t="s">
        <v>1266</v>
      </c>
      <c r="B277" t="s">
        <v>256</v>
      </c>
      <c r="C277" s="2">
        <v>45508</v>
      </c>
      <c r="D277" t="s">
        <v>995</v>
      </c>
    </row>
    <row r="278" spans="1:4" x14ac:dyDescent="0.3">
      <c r="A278" t="s">
        <v>1267</v>
      </c>
      <c r="B278" t="s">
        <v>781</v>
      </c>
      <c r="C278" s="2">
        <v>45389</v>
      </c>
      <c r="D278" t="s">
        <v>992</v>
      </c>
    </row>
    <row r="279" spans="1:4" x14ac:dyDescent="0.3">
      <c r="A279" t="s">
        <v>1268</v>
      </c>
      <c r="B279" t="s">
        <v>695</v>
      </c>
      <c r="C279" s="2">
        <v>45413</v>
      </c>
      <c r="D279" t="s">
        <v>1007</v>
      </c>
    </row>
    <row r="280" spans="1:4" x14ac:dyDescent="0.3">
      <c r="A280" t="s">
        <v>1269</v>
      </c>
      <c r="B280" t="s">
        <v>564</v>
      </c>
      <c r="C280" s="2">
        <v>45632</v>
      </c>
      <c r="D280" t="s">
        <v>990</v>
      </c>
    </row>
    <row r="281" spans="1:4" x14ac:dyDescent="0.3">
      <c r="A281" t="s">
        <v>1270</v>
      </c>
      <c r="B281" t="s">
        <v>320</v>
      </c>
      <c r="C281" s="2">
        <v>45356</v>
      </c>
      <c r="D281" t="s">
        <v>995</v>
      </c>
    </row>
    <row r="282" spans="1:4" x14ac:dyDescent="0.3">
      <c r="A282" t="s">
        <v>1271</v>
      </c>
      <c r="B282" t="s">
        <v>195</v>
      </c>
      <c r="C282" s="2">
        <v>45392</v>
      </c>
      <c r="D282" t="s">
        <v>995</v>
      </c>
    </row>
    <row r="283" spans="1:4" x14ac:dyDescent="0.3">
      <c r="A283" t="s">
        <v>1272</v>
      </c>
      <c r="B283" t="s">
        <v>892</v>
      </c>
      <c r="C283" s="2">
        <v>45531</v>
      </c>
      <c r="D283" t="s">
        <v>995</v>
      </c>
    </row>
    <row r="284" spans="1:4" x14ac:dyDescent="0.3">
      <c r="A284" t="s">
        <v>1273</v>
      </c>
      <c r="B284" t="s">
        <v>742</v>
      </c>
      <c r="C284" s="2">
        <v>45472</v>
      </c>
      <c r="D284" t="s">
        <v>990</v>
      </c>
    </row>
    <row r="285" spans="1:4" x14ac:dyDescent="0.3">
      <c r="A285" t="s">
        <v>1274</v>
      </c>
      <c r="B285" t="s">
        <v>760</v>
      </c>
      <c r="C285" s="2">
        <v>45614</v>
      </c>
      <c r="D285" t="s">
        <v>995</v>
      </c>
    </row>
    <row r="286" spans="1:4" x14ac:dyDescent="0.3">
      <c r="A286" t="s">
        <v>1275</v>
      </c>
      <c r="B286" t="s">
        <v>601</v>
      </c>
      <c r="C286" s="2">
        <v>45778</v>
      </c>
      <c r="D286" t="s">
        <v>995</v>
      </c>
    </row>
    <row r="287" spans="1:4" x14ac:dyDescent="0.3">
      <c r="A287" t="s">
        <v>1276</v>
      </c>
      <c r="B287" t="s">
        <v>462</v>
      </c>
      <c r="C287" s="2">
        <v>45731</v>
      </c>
      <c r="D287" t="s">
        <v>995</v>
      </c>
    </row>
    <row r="288" spans="1:4" x14ac:dyDescent="0.3">
      <c r="A288" t="s">
        <v>1277</v>
      </c>
      <c r="B288" t="s">
        <v>528</v>
      </c>
      <c r="C288" s="2">
        <v>45597</v>
      </c>
      <c r="D288" t="s">
        <v>990</v>
      </c>
    </row>
    <row r="289" spans="1:4" x14ac:dyDescent="0.3">
      <c r="A289" t="s">
        <v>1278</v>
      </c>
      <c r="B289" t="s">
        <v>499</v>
      </c>
      <c r="C289" s="2">
        <v>45498</v>
      </c>
      <c r="D289" t="s">
        <v>995</v>
      </c>
    </row>
    <row r="290" spans="1:4" x14ac:dyDescent="0.3">
      <c r="A290" t="s">
        <v>1279</v>
      </c>
      <c r="B290" t="s">
        <v>260</v>
      </c>
      <c r="C290" s="2">
        <v>45738</v>
      </c>
      <c r="D290" t="s">
        <v>1007</v>
      </c>
    </row>
    <row r="291" spans="1:4" x14ac:dyDescent="0.3">
      <c r="A291" t="s">
        <v>1280</v>
      </c>
      <c r="B291" t="s">
        <v>546</v>
      </c>
      <c r="C291" s="2">
        <v>45668</v>
      </c>
      <c r="D291" t="s">
        <v>1007</v>
      </c>
    </row>
    <row r="292" spans="1:4" x14ac:dyDescent="0.3">
      <c r="A292" t="s">
        <v>1281</v>
      </c>
      <c r="B292" t="s">
        <v>299</v>
      </c>
      <c r="C292" s="2">
        <v>45451</v>
      </c>
      <c r="D292" t="s">
        <v>990</v>
      </c>
    </row>
    <row r="293" spans="1:4" x14ac:dyDescent="0.3">
      <c r="A293" t="s">
        <v>1282</v>
      </c>
      <c r="B293" t="s">
        <v>184</v>
      </c>
      <c r="C293" s="2">
        <v>45647</v>
      </c>
      <c r="D293" t="s">
        <v>995</v>
      </c>
    </row>
    <row r="294" spans="1:4" x14ac:dyDescent="0.3">
      <c r="A294" t="s">
        <v>1283</v>
      </c>
      <c r="B294" t="s">
        <v>649</v>
      </c>
      <c r="C294" s="2">
        <v>45447</v>
      </c>
      <c r="D294" t="s">
        <v>1007</v>
      </c>
    </row>
    <row r="295" spans="1:4" x14ac:dyDescent="0.3">
      <c r="A295" t="s">
        <v>1284</v>
      </c>
      <c r="B295" t="s">
        <v>146</v>
      </c>
      <c r="C295" s="2">
        <v>45579</v>
      </c>
      <c r="D295" t="s">
        <v>992</v>
      </c>
    </row>
    <row r="296" spans="1:4" x14ac:dyDescent="0.3">
      <c r="A296" t="s">
        <v>1285</v>
      </c>
      <c r="B296" t="s">
        <v>395</v>
      </c>
      <c r="C296" s="2">
        <v>45353</v>
      </c>
      <c r="D296" t="s">
        <v>992</v>
      </c>
    </row>
    <row r="297" spans="1:4" x14ac:dyDescent="0.3">
      <c r="A297" t="s">
        <v>1286</v>
      </c>
      <c r="B297" t="s">
        <v>188</v>
      </c>
      <c r="C297" s="2">
        <v>45407</v>
      </c>
      <c r="D297" t="s">
        <v>995</v>
      </c>
    </row>
    <row r="298" spans="1:4" x14ac:dyDescent="0.3">
      <c r="A298" t="s">
        <v>1287</v>
      </c>
      <c r="B298" t="s">
        <v>805</v>
      </c>
      <c r="C298" s="2">
        <v>45436</v>
      </c>
      <c r="D298" t="s">
        <v>990</v>
      </c>
    </row>
    <row r="299" spans="1:4" x14ac:dyDescent="0.3">
      <c r="A299" t="s">
        <v>1288</v>
      </c>
      <c r="B299" t="s">
        <v>936</v>
      </c>
      <c r="C299" s="2">
        <v>45688</v>
      </c>
      <c r="D299" t="s">
        <v>995</v>
      </c>
    </row>
    <row r="300" spans="1:4" x14ac:dyDescent="0.3">
      <c r="A300" t="s">
        <v>1289</v>
      </c>
      <c r="B300" t="s">
        <v>560</v>
      </c>
      <c r="C300" s="2">
        <v>45382</v>
      </c>
      <c r="D300" t="s">
        <v>990</v>
      </c>
    </row>
    <row r="301" spans="1:4" x14ac:dyDescent="0.3">
      <c r="A301" t="s">
        <v>1290</v>
      </c>
      <c r="B301" t="s">
        <v>708</v>
      </c>
      <c r="C301" s="2">
        <v>45751</v>
      </c>
      <c r="D301" t="s">
        <v>1007</v>
      </c>
    </row>
    <row r="302" spans="1:4" x14ac:dyDescent="0.3">
      <c r="A302" t="s">
        <v>1291</v>
      </c>
      <c r="B302" t="s">
        <v>932</v>
      </c>
      <c r="C302" s="2">
        <v>45419</v>
      </c>
      <c r="D302" t="s">
        <v>990</v>
      </c>
    </row>
    <row r="303" spans="1:4" x14ac:dyDescent="0.3">
      <c r="A303" t="s">
        <v>1292</v>
      </c>
      <c r="B303" t="s">
        <v>207</v>
      </c>
      <c r="C303" s="2">
        <v>45385</v>
      </c>
      <c r="D303" t="s">
        <v>1007</v>
      </c>
    </row>
    <row r="304" spans="1:4" x14ac:dyDescent="0.3">
      <c r="A304" t="s">
        <v>1293</v>
      </c>
      <c r="B304" t="s">
        <v>548</v>
      </c>
      <c r="C304" s="2">
        <v>45995</v>
      </c>
      <c r="D304" t="s">
        <v>995</v>
      </c>
    </row>
    <row r="305" spans="1:4" x14ac:dyDescent="0.3">
      <c r="A305" t="s">
        <v>1294</v>
      </c>
      <c r="B305" t="s">
        <v>91</v>
      </c>
      <c r="C305" s="2">
        <v>45499</v>
      </c>
      <c r="D305" t="s">
        <v>995</v>
      </c>
    </row>
    <row r="306" spans="1:4" x14ac:dyDescent="0.3">
      <c r="A306" t="s">
        <v>1295</v>
      </c>
      <c r="B306" t="s">
        <v>869</v>
      </c>
      <c r="C306" s="2">
        <v>45393</v>
      </c>
      <c r="D306" t="s">
        <v>995</v>
      </c>
    </row>
    <row r="307" spans="1:4" x14ac:dyDescent="0.3">
      <c r="A307" t="s">
        <v>1296</v>
      </c>
      <c r="B307" t="s">
        <v>767</v>
      </c>
      <c r="C307" s="2">
        <v>45670</v>
      </c>
      <c r="D307" t="s">
        <v>992</v>
      </c>
    </row>
    <row r="308" spans="1:4" x14ac:dyDescent="0.3">
      <c r="A308" t="s">
        <v>1297</v>
      </c>
      <c r="B308" t="s">
        <v>367</v>
      </c>
      <c r="C308" s="2">
        <v>45581</v>
      </c>
      <c r="D308" t="s">
        <v>2305</v>
      </c>
    </row>
    <row r="309" spans="1:4" x14ac:dyDescent="0.3">
      <c r="A309" t="s">
        <v>1298</v>
      </c>
      <c r="B309" t="s">
        <v>515</v>
      </c>
      <c r="C309" s="2">
        <v>45765</v>
      </c>
      <c r="D309" t="s">
        <v>990</v>
      </c>
    </row>
    <row r="310" spans="1:4" x14ac:dyDescent="0.3">
      <c r="A310" t="s">
        <v>1299</v>
      </c>
      <c r="B310" t="s">
        <v>4</v>
      </c>
      <c r="C310" s="2">
        <v>45349</v>
      </c>
      <c r="D310" t="s">
        <v>992</v>
      </c>
    </row>
    <row r="311" spans="1:4" x14ac:dyDescent="0.3">
      <c r="A311" t="s">
        <v>1300</v>
      </c>
      <c r="B311" t="s">
        <v>95</v>
      </c>
      <c r="C311" s="2">
        <v>45740</v>
      </c>
      <c r="D311" t="s">
        <v>1007</v>
      </c>
    </row>
    <row r="312" spans="1:4" x14ac:dyDescent="0.3">
      <c r="A312" t="s">
        <v>1301</v>
      </c>
      <c r="B312" t="s">
        <v>496</v>
      </c>
      <c r="C312" s="2">
        <v>45640</v>
      </c>
      <c r="D312" t="s">
        <v>1007</v>
      </c>
    </row>
    <row r="313" spans="1:4" x14ac:dyDescent="0.3">
      <c r="A313" t="s">
        <v>1302</v>
      </c>
      <c r="B313" t="s">
        <v>645</v>
      </c>
      <c r="C313" s="2">
        <v>45399</v>
      </c>
      <c r="D313" t="s">
        <v>1007</v>
      </c>
    </row>
    <row r="314" spans="1:4" x14ac:dyDescent="0.3">
      <c r="A314" t="s">
        <v>1303</v>
      </c>
      <c r="B314" t="s">
        <v>843</v>
      </c>
      <c r="C314" s="2">
        <v>45647</v>
      </c>
      <c r="D314" t="s">
        <v>990</v>
      </c>
    </row>
    <row r="315" spans="1:4" x14ac:dyDescent="0.3">
      <c r="A315" t="s">
        <v>1304</v>
      </c>
      <c r="B315" t="s">
        <v>450</v>
      </c>
      <c r="C315" s="2">
        <v>45435</v>
      </c>
      <c r="D315" t="s">
        <v>1007</v>
      </c>
    </row>
    <row r="316" spans="1:4" x14ac:dyDescent="0.3">
      <c r="A316" t="s">
        <v>1305</v>
      </c>
      <c r="B316" t="s">
        <v>704</v>
      </c>
      <c r="C316" s="2">
        <v>45776</v>
      </c>
      <c r="D316" t="s">
        <v>2305</v>
      </c>
    </row>
    <row r="317" spans="1:4" x14ac:dyDescent="0.3">
      <c r="A317" t="s">
        <v>1306</v>
      </c>
      <c r="B317" t="s">
        <v>687</v>
      </c>
      <c r="C317" s="2">
        <v>45646</v>
      </c>
      <c r="D317" t="s">
        <v>2305</v>
      </c>
    </row>
    <row r="318" spans="1:4" x14ac:dyDescent="0.3">
      <c r="A318" t="s">
        <v>1307</v>
      </c>
      <c r="B318" t="s">
        <v>119</v>
      </c>
      <c r="C318" s="2">
        <v>45638</v>
      </c>
      <c r="D318" t="s">
        <v>995</v>
      </c>
    </row>
    <row r="319" spans="1:4" x14ac:dyDescent="0.3">
      <c r="A319" t="s">
        <v>1308</v>
      </c>
      <c r="B319" t="s">
        <v>864</v>
      </c>
      <c r="C319" s="2">
        <v>45577</v>
      </c>
      <c r="D319" t="s">
        <v>995</v>
      </c>
    </row>
    <row r="320" spans="1:4" x14ac:dyDescent="0.3">
      <c r="A320" t="s">
        <v>1309</v>
      </c>
      <c r="B320" t="s">
        <v>33</v>
      </c>
      <c r="C320" s="2">
        <v>45682</v>
      </c>
      <c r="D320" t="s">
        <v>1007</v>
      </c>
    </row>
    <row r="321" spans="1:4" x14ac:dyDescent="0.3">
      <c r="A321" t="s">
        <v>1310</v>
      </c>
      <c r="B321" t="s">
        <v>528</v>
      </c>
      <c r="C321" s="2">
        <v>45381</v>
      </c>
      <c r="D321" t="s">
        <v>995</v>
      </c>
    </row>
    <row r="322" spans="1:4" x14ac:dyDescent="0.3">
      <c r="A322" t="s">
        <v>1311</v>
      </c>
      <c r="B322" t="s">
        <v>479</v>
      </c>
      <c r="C322" s="2">
        <v>45570</v>
      </c>
      <c r="D322" t="s">
        <v>995</v>
      </c>
    </row>
    <row r="323" spans="1:4" x14ac:dyDescent="0.3">
      <c r="A323" t="s">
        <v>1312</v>
      </c>
      <c r="B323" t="s">
        <v>129</v>
      </c>
      <c r="C323" s="2">
        <v>45378</v>
      </c>
      <c r="D323" t="s">
        <v>990</v>
      </c>
    </row>
    <row r="324" spans="1:4" x14ac:dyDescent="0.3">
      <c r="A324" t="s">
        <v>1313</v>
      </c>
      <c r="B324" t="s">
        <v>831</v>
      </c>
      <c r="C324" s="2">
        <v>45339</v>
      </c>
      <c r="D324" t="s">
        <v>992</v>
      </c>
    </row>
    <row r="325" spans="1:4" x14ac:dyDescent="0.3">
      <c r="A325" t="s">
        <v>1314</v>
      </c>
      <c r="B325" t="s">
        <v>284</v>
      </c>
      <c r="C325" s="2">
        <v>45568</v>
      </c>
      <c r="D325" t="s">
        <v>2305</v>
      </c>
    </row>
    <row r="326" spans="1:4" x14ac:dyDescent="0.3">
      <c r="A326" t="s">
        <v>1315</v>
      </c>
      <c r="B326" t="s">
        <v>973</v>
      </c>
      <c r="C326" s="2">
        <v>45296</v>
      </c>
      <c r="D326" t="s">
        <v>995</v>
      </c>
    </row>
    <row r="327" spans="1:4" x14ac:dyDescent="0.3">
      <c r="A327" t="s">
        <v>1316</v>
      </c>
      <c r="B327" t="s">
        <v>17</v>
      </c>
      <c r="C327" s="2">
        <v>45555</v>
      </c>
      <c r="D327" t="s">
        <v>2305</v>
      </c>
    </row>
    <row r="328" spans="1:4" x14ac:dyDescent="0.3">
      <c r="A328" t="s">
        <v>1317</v>
      </c>
      <c r="B328" t="s">
        <v>276</v>
      </c>
      <c r="C328" s="2">
        <v>45771</v>
      </c>
      <c r="D328" t="s">
        <v>990</v>
      </c>
    </row>
    <row r="329" spans="1:4" x14ac:dyDescent="0.3">
      <c r="A329" t="s">
        <v>1318</v>
      </c>
      <c r="B329" t="s">
        <v>605</v>
      </c>
      <c r="C329" s="2">
        <v>45538</v>
      </c>
      <c r="D329" t="s">
        <v>995</v>
      </c>
    </row>
    <row r="330" spans="1:4" x14ac:dyDescent="0.3">
      <c r="A330" t="s">
        <v>1319</v>
      </c>
      <c r="B330" t="s">
        <v>488</v>
      </c>
      <c r="C330" s="2">
        <v>45462</v>
      </c>
      <c r="D330" t="s">
        <v>1007</v>
      </c>
    </row>
    <row r="331" spans="1:4" x14ac:dyDescent="0.3">
      <c r="A331" t="s">
        <v>1320</v>
      </c>
      <c r="B331" t="s">
        <v>856</v>
      </c>
      <c r="C331" s="2">
        <v>45681</v>
      </c>
      <c r="D331" t="s">
        <v>995</v>
      </c>
    </row>
    <row r="332" spans="1:4" x14ac:dyDescent="0.3">
      <c r="A332" t="s">
        <v>1321</v>
      </c>
      <c r="B332" t="s">
        <v>930</v>
      </c>
      <c r="C332" s="2">
        <v>45721</v>
      </c>
      <c r="D332" t="s">
        <v>995</v>
      </c>
    </row>
    <row r="333" spans="1:4" x14ac:dyDescent="0.3">
      <c r="A333" t="s">
        <v>1322</v>
      </c>
      <c r="B333" t="s">
        <v>239</v>
      </c>
      <c r="C333" s="2">
        <v>45645</v>
      </c>
      <c r="D333" t="s">
        <v>1007</v>
      </c>
    </row>
    <row r="334" spans="1:4" x14ac:dyDescent="0.3">
      <c r="A334" t="s">
        <v>1323</v>
      </c>
      <c r="B334" t="s">
        <v>728</v>
      </c>
      <c r="C334" s="2">
        <v>45541</v>
      </c>
      <c r="D334" t="s">
        <v>1007</v>
      </c>
    </row>
    <row r="335" spans="1:4" x14ac:dyDescent="0.3">
      <c r="A335" t="s">
        <v>1324</v>
      </c>
      <c r="B335" t="s">
        <v>131</v>
      </c>
      <c r="C335" s="2">
        <v>45750</v>
      </c>
      <c r="D335" t="s">
        <v>992</v>
      </c>
    </row>
    <row r="336" spans="1:4" x14ac:dyDescent="0.3">
      <c r="A336" t="s">
        <v>1325</v>
      </c>
      <c r="B336" t="s">
        <v>402</v>
      </c>
      <c r="C336" s="2">
        <v>45348</v>
      </c>
      <c r="D336" t="s">
        <v>992</v>
      </c>
    </row>
    <row r="337" spans="1:4" x14ac:dyDescent="0.3">
      <c r="A337" t="s">
        <v>1326</v>
      </c>
      <c r="B337" t="s">
        <v>902</v>
      </c>
      <c r="C337" s="2">
        <v>45784</v>
      </c>
      <c r="D337" t="s">
        <v>995</v>
      </c>
    </row>
    <row r="338" spans="1:4" x14ac:dyDescent="0.3">
      <c r="A338" t="s">
        <v>1327</v>
      </c>
      <c r="B338" t="s">
        <v>657</v>
      </c>
      <c r="C338" s="2">
        <v>45519</v>
      </c>
      <c r="D338" t="s">
        <v>990</v>
      </c>
    </row>
    <row r="339" spans="1:4" x14ac:dyDescent="0.3">
      <c r="A339" t="s">
        <v>1328</v>
      </c>
      <c r="B339" t="s">
        <v>585</v>
      </c>
      <c r="C339" s="2">
        <v>45378</v>
      </c>
      <c r="D339" t="s">
        <v>1007</v>
      </c>
    </row>
    <row r="340" spans="1:4" x14ac:dyDescent="0.3">
      <c r="A340" t="s">
        <v>1329</v>
      </c>
      <c r="B340" t="s">
        <v>101</v>
      </c>
      <c r="C340" s="2">
        <v>45297</v>
      </c>
      <c r="D340" t="s">
        <v>2305</v>
      </c>
    </row>
    <row r="341" spans="1:4" x14ac:dyDescent="0.3">
      <c r="A341" t="s">
        <v>1330</v>
      </c>
      <c r="B341" t="s">
        <v>178</v>
      </c>
      <c r="C341" s="2">
        <v>45674</v>
      </c>
      <c r="D341" t="s">
        <v>990</v>
      </c>
    </row>
    <row r="342" spans="1:4" x14ac:dyDescent="0.3">
      <c r="A342" t="s">
        <v>1331</v>
      </c>
      <c r="B342" t="s">
        <v>534</v>
      </c>
      <c r="C342" s="2">
        <v>45347</v>
      </c>
      <c r="D342" t="s">
        <v>2305</v>
      </c>
    </row>
    <row r="343" spans="1:4" x14ac:dyDescent="0.3">
      <c r="A343" t="s">
        <v>1332</v>
      </c>
      <c r="B343" t="s">
        <v>875</v>
      </c>
      <c r="C343" s="2">
        <v>45542</v>
      </c>
      <c r="D343" t="s">
        <v>990</v>
      </c>
    </row>
    <row r="344" spans="1:4" x14ac:dyDescent="0.3">
      <c r="A344" t="s">
        <v>1333</v>
      </c>
      <c r="B344" t="s">
        <v>23</v>
      </c>
      <c r="C344" s="2">
        <v>45475</v>
      </c>
      <c r="D344" t="s">
        <v>992</v>
      </c>
    </row>
    <row r="345" spans="1:4" x14ac:dyDescent="0.3">
      <c r="A345" t="s">
        <v>1334</v>
      </c>
      <c r="B345" t="s">
        <v>509</v>
      </c>
      <c r="C345" s="2">
        <v>45626</v>
      </c>
      <c r="D345" t="s">
        <v>1007</v>
      </c>
    </row>
    <row r="346" spans="1:4" x14ac:dyDescent="0.3">
      <c r="A346" t="s">
        <v>1335</v>
      </c>
      <c r="B346" t="s">
        <v>286</v>
      </c>
      <c r="C346" s="2">
        <v>45674</v>
      </c>
      <c r="D346" t="s">
        <v>1007</v>
      </c>
    </row>
    <row r="347" spans="1:4" x14ac:dyDescent="0.3">
      <c r="A347" t="s">
        <v>1336</v>
      </c>
      <c r="B347" t="s">
        <v>797</v>
      </c>
      <c r="C347" s="2">
        <v>45721</v>
      </c>
      <c r="D347" t="s">
        <v>992</v>
      </c>
    </row>
    <row r="348" spans="1:4" x14ac:dyDescent="0.3">
      <c r="A348" t="s">
        <v>1337</v>
      </c>
      <c r="B348" t="s">
        <v>742</v>
      </c>
      <c r="C348" s="2">
        <v>45416</v>
      </c>
      <c r="D348" t="s">
        <v>995</v>
      </c>
    </row>
    <row r="349" spans="1:4" x14ac:dyDescent="0.3">
      <c r="A349" t="s">
        <v>1338</v>
      </c>
      <c r="B349" t="s">
        <v>214</v>
      </c>
      <c r="C349" s="2">
        <v>45779</v>
      </c>
      <c r="D349" t="s">
        <v>992</v>
      </c>
    </row>
    <row r="350" spans="1:4" x14ac:dyDescent="0.3">
      <c r="A350" t="s">
        <v>1339</v>
      </c>
      <c r="B350" t="s">
        <v>661</v>
      </c>
      <c r="C350" s="2">
        <v>45486</v>
      </c>
      <c r="D350" t="s">
        <v>990</v>
      </c>
    </row>
    <row r="351" spans="1:4" x14ac:dyDescent="0.3">
      <c r="A351" t="s">
        <v>1340</v>
      </c>
      <c r="B351" t="s">
        <v>647</v>
      </c>
      <c r="C351" s="2">
        <v>45409</v>
      </c>
      <c r="D351" t="s">
        <v>995</v>
      </c>
    </row>
    <row r="352" spans="1:4" x14ac:dyDescent="0.3">
      <c r="A352" t="s">
        <v>1341</v>
      </c>
      <c r="B352" t="s">
        <v>746</v>
      </c>
      <c r="C352" s="2">
        <v>45720</v>
      </c>
      <c r="D352" t="s">
        <v>995</v>
      </c>
    </row>
    <row r="353" spans="1:4" x14ac:dyDescent="0.3">
      <c r="A353" t="s">
        <v>1342</v>
      </c>
      <c r="B353" t="s">
        <v>127</v>
      </c>
      <c r="C353" s="2">
        <v>45313</v>
      </c>
      <c r="D353" t="s">
        <v>990</v>
      </c>
    </row>
    <row r="354" spans="1:4" x14ac:dyDescent="0.3">
      <c r="A354" t="s">
        <v>1343</v>
      </c>
      <c r="B354" t="s">
        <v>111</v>
      </c>
      <c r="C354" s="2">
        <v>45775</v>
      </c>
      <c r="D354" t="s">
        <v>2305</v>
      </c>
    </row>
    <row r="355" spans="1:4" x14ac:dyDescent="0.3">
      <c r="A355" t="s">
        <v>1344</v>
      </c>
      <c r="B355" t="s">
        <v>854</v>
      </c>
      <c r="C355" s="2">
        <v>45635</v>
      </c>
      <c r="D355" t="s">
        <v>995</v>
      </c>
    </row>
    <row r="356" spans="1:4" x14ac:dyDescent="0.3">
      <c r="A356" t="s">
        <v>1345</v>
      </c>
      <c r="B356" t="s">
        <v>605</v>
      </c>
      <c r="C356" s="2">
        <v>45393</v>
      </c>
      <c r="D356" t="s">
        <v>1007</v>
      </c>
    </row>
    <row r="357" spans="1:4" x14ac:dyDescent="0.3">
      <c r="A357" t="s">
        <v>1346</v>
      </c>
      <c r="B357" t="s">
        <v>294</v>
      </c>
      <c r="C357" s="2">
        <v>45644</v>
      </c>
      <c r="D357" t="s">
        <v>995</v>
      </c>
    </row>
    <row r="358" spans="1:4" x14ac:dyDescent="0.3">
      <c r="A358" t="s">
        <v>1347</v>
      </c>
      <c r="B358" t="s">
        <v>286</v>
      </c>
      <c r="C358" s="2">
        <v>45518</v>
      </c>
      <c r="D358" t="s">
        <v>990</v>
      </c>
    </row>
    <row r="359" spans="1:4" x14ac:dyDescent="0.3">
      <c r="A359" t="s">
        <v>1348</v>
      </c>
      <c r="B359" t="s">
        <v>190</v>
      </c>
      <c r="C359" s="2">
        <v>45312</v>
      </c>
      <c r="D359" t="s">
        <v>2305</v>
      </c>
    </row>
    <row r="360" spans="1:4" x14ac:dyDescent="0.3">
      <c r="A360" t="s">
        <v>1349</v>
      </c>
      <c r="B360" t="s">
        <v>391</v>
      </c>
      <c r="C360" s="2">
        <v>45403</v>
      </c>
      <c r="D360" t="s">
        <v>990</v>
      </c>
    </row>
    <row r="361" spans="1:4" x14ac:dyDescent="0.3">
      <c r="A361" t="s">
        <v>1350</v>
      </c>
      <c r="B361" t="s">
        <v>8</v>
      </c>
      <c r="C361" s="2">
        <v>45308</v>
      </c>
      <c r="D361" t="s">
        <v>990</v>
      </c>
    </row>
    <row r="362" spans="1:4" x14ac:dyDescent="0.3">
      <c r="A362" t="s">
        <v>1351</v>
      </c>
      <c r="B362" t="s">
        <v>296</v>
      </c>
      <c r="C362" s="2">
        <v>45437</v>
      </c>
      <c r="D362" t="s">
        <v>1007</v>
      </c>
    </row>
    <row r="363" spans="1:4" x14ac:dyDescent="0.3">
      <c r="A363" t="s">
        <v>1352</v>
      </c>
      <c r="B363" t="s">
        <v>850</v>
      </c>
      <c r="C363" s="2">
        <v>45747</v>
      </c>
      <c r="D363" t="s">
        <v>1007</v>
      </c>
    </row>
    <row r="364" spans="1:4" x14ac:dyDescent="0.3">
      <c r="A364" t="s">
        <v>1353</v>
      </c>
      <c r="B364" t="s">
        <v>884</v>
      </c>
      <c r="C364" s="2">
        <v>45413</v>
      </c>
      <c r="D364" t="s">
        <v>995</v>
      </c>
    </row>
    <row r="365" spans="1:4" x14ac:dyDescent="0.3">
      <c r="A365" t="s">
        <v>1354</v>
      </c>
      <c r="B365" t="s">
        <v>338</v>
      </c>
      <c r="C365" s="2">
        <v>45485</v>
      </c>
      <c r="D365" t="s">
        <v>1007</v>
      </c>
    </row>
    <row r="366" spans="1:4" x14ac:dyDescent="0.3">
      <c r="A366" t="s">
        <v>1355</v>
      </c>
      <c r="B366" t="s">
        <v>892</v>
      </c>
      <c r="C366" s="2">
        <v>45703</v>
      </c>
      <c r="D366" t="s">
        <v>990</v>
      </c>
    </row>
    <row r="367" spans="1:4" x14ac:dyDescent="0.3">
      <c r="A367" t="s">
        <v>1356</v>
      </c>
      <c r="B367" t="s">
        <v>400</v>
      </c>
      <c r="C367" s="2">
        <v>45532</v>
      </c>
      <c r="D367" t="s">
        <v>990</v>
      </c>
    </row>
    <row r="368" spans="1:4" x14ac:dyDescent="0.3">
      <c r="A368" t="s">
        <v>1357</v>
      </c>
      <c r="B368" t="s">
        <v>928</v>
      </c>
      <c r="C368" s="2">
        <v>45481</v>
      </c>
      <c r="D368" t="s">
        <v>995</v>
      </c>
    </row>
    <row r="369" spans="1:4" x14ac:dyDescent="0.3">
      <c r="A369" t="s">
        <v>1358</v>
      </c>
      <c r="B369" t="s">
        <v>809</v>
      </c>
      <c r="C369" s="2">
        <v>45843</v>
      </c>
      <c r="D369" t="s">
        <v>1007</v>
      </c>
    </row>
    <row r="370" spans="1:4" x14ac:dyDescent="0.3">
      <c r="A370" t="s">
        <v>1359</v>
      </c>
      <c r="B370" t="s">
        <v>131</v>
      </c>
      <c r="C370" s="2">
        <v>45778</v>
      </c>
      <c r="D370" t="s">
        <v>990</v>
      </c>
    </row>
    <row r="371" spans="1:4" x14ac:dyDescent="0.3">
      <c r="A371" t="s">
        <v>1360</v>
      </c>
      <c r="B371" t="s">
        <v>601</v>
      </c>
      <c r="C371" s="2">
        <v>45581</v>
      </c>
      <c r="D371" t="s">
        <v>990</v>
      </c>
    </row>
    <row r="372" spans="1:4" x14ac:dyDescent="0.3">
      <c r="A372" t="s">
        <v>1361</v>
      </c>
      <c r="B372" t="s">
        <v>744</v>
      </c>
      <c r="C372" s="2">
        <v>45360</v>
      </c>
      <c r="D372" t="s">
        <v>995</v>
      </c>
    </row>
    <row r="373" spans="1:4" x14ac:dyDescent="0.3">
      <c r="A373" t="s">
        <v>1362</v>
      </c>
      <c r="B373" t="s">
        <v>605</v>
      </c>
      <c r="C373" s="2">
        <v>45735</v>
      </c>
      <c r="D373" t="s">
        <v>1007</v>
      </c>
    </row>
    <row r="374" spans="1:4" x14ac:dyDescent="0.3">
      <c r="A374" t="s">
        <v>1363</v>
      </c>
      <c r="B374" t="s">
        <v>387</v>
      </c>
      <c r="C374" s="2">
        <v>45405</v>
      </c>
      <c r="D374" t="s">
        <v>2305</v>
      </c>
    </row>
    <row r="375" spans="1:4" x14ac:dyDescent="0.3">
      <c r="A375" t="s">
        <v>1364</v>
      </c>
      <c r="B375" t="s">
        <v>182</v>
      </c>
      <c r="C375" s="2">
        <v>45367</v>
      </c>
      <c r="D375" t="s">
        <v>990</v>
      </c>
    </row>
    <row r="376" spans="1:4" x14ac:dyDescent="0.3">
      <c r="A376" t="s">
        <v>1365</v>
      </c>
      <c r="B376" t="s">
        <v>841</v>
      </c>
      <c r="C376" s="2">
        <v>45358</v>
      </c>
      <c r="D376" t="s">
        <v>995</v>
      </c>
    </row>
    <row r="377" spans="1:4" x14ac:dyDescent="0.3">
      <c r="A377" t="s">
        <v>1366</v>
      </c>
      <c r="B377" t="s">
        <v>888</v>
      </c>
      <c r="C377" s="2">
        <v>45494</v>
      </c>
      <c r="D377" t="s">
        <v>1007</v>
      </c>
    </row>
    <row r="378" spans="1:4" x14ac:dyDescent="0.3">
      <c r="A378" t="s">
        <v>1367</v>
      </c>
      <c r="B378" t="s">
        <v>462</v>
      </c>
      <c r="C378" s="2">
        <v>45384</v>
      </c>
      <c r="D378" t="s">
        <v>1007</v>
      </c>
    </row>
    <row r="379" spans="1:4" x14ac:dyDescent="0.3">
      <c r="A379" t="s">
        <v>1368</v>
      </c>
      <c r="B379" t="s">
        <v>450</v>
      </c>
      <c r="C379" s="2">
        <v>45733</v>
      </c>
      <c r="D379" t="s">
        <v>1007</v>
      </c>
    </row>
    <row r="380" spans="1:4" x14ac:dyDescent="0.3">
      <c r="A380" t="s">
        <v>1369</v>
      </c>
      <c r="B380" t="s">
        <v>385</v>
      </c>
      <c r="C380" s="2">
        <v>45563</v>
      </c>
      <c r="D380" t="s">
        <v>992</v>
      </c>
    </row>
    <row r="381" spans="1:4" x14ac:dyDescent="0.3">
      <c r="A381" t="s">
        <v>1370</v>
      </c>
      <c r="B381" t="s">
        <v>33</v>
      </c>
      <c r="C381" s="2">
        <v>45408</v>
      </c>
      <c r="D381" t="s">
        <v>2305</v>
      </c>
    </row>
    <row r="382" spans="1:4" x14ac:dyDescent="0.3">
      <c r="A382" t="s">
        <v>1371</v>
      </c>
      <c r="B382" t="s">
        <v>460</v>
      </c>
      <c r="C382" s="2">
        <v>45392</v>
      </c>
      <c r="D382" t="s">
        <v>1007</v>
      </c>
    </row>
    <row r="383" spans="1:4" x14ac:dyDescent="0.3">
      <c r="A383" t="s">
        <v>1372</v>
      </c>
      <c r="B383" t="s">
        <v>172</v>
      </c>
      <c r="C383" s="2">
        <v>45727</v>
      </c>
      <c r="D383" t="s">
        <v>1007</v>
      </c>
    </row>
    <row r="384" spans="1:4" x14ac:dyDescent="0.3">
      <c r="A384" t="s">
        <v>1373</v>
      </c>
      <c r="B384" t="s">
        <v>886</v>
      </c>
      <c r="C384" s="2">
        <v>45538</v>
      </c>
      <c r="D384" t="s">
        <v>1007</v>
      </c>
    </row>
    <row r="385" spans="1:4" x14ac:dyDescent="0.3">
      <c r="A385" t="s">
        <v>1374</v>
      </c>
      <c r="B385" t="s">
        <v>214</v>
      </c>
      <c r="C385" s="2">
        <v>45527</v>
      </c>
      <c r="D385" t="s">
        <v>990</v>
      </c>
    </row>
    <row r="386" spans="1:4" x14ac:dyDescent="0.3">
      <c r="A386" t="s">
        <v>1375</v>
      </c>
      <c r="B386" t="s">
        <v>351</v>
      </c>
      <c r="C386" s="2">
        <v>45787</v>
      </c>
      <c r="D386" t="s">
        <v>2305</v>
      </c>
    </row>
    <row r="387" spans="1:4" x14ac:dyDescent="0.3">
      <c r="A387" t="s">
        <v>1376</v>
      </c>
      <c r="B387" t="s">
        <v>197</v>
      </c>
      <c r="C387" s="2">
        <v>45362</v>
      </c>
      <c r="D387" t="s">
        <v>1007</v>
      </c>
    </row>
    <row r="388" spans="1:4" x14ac:dyDescent="0.3">
      <c r="A388" t="s">
        <v>1377</v>
      </c>
      <c r="B388" t="s">
        <v>817</v>
      </c>
      <c r="C388" s="2">
        <v>45413</v>
      </c>
      <c r="D388" t="s">
        <v>990</v>
      </c>
    </row>
    <row r="389" spans="1:4" x14ac:dyDescent="0.3">
      <c r="A389" t="s">
        <v>1378</v>
      </c>
      <c r="B389" t="s">
        <v>93</v>
      </c>
      <c r="C389" s="2">
        <v>45505</v>
      </c>
      <c r="D389" t="s">
        <v>995</v>
      </c>
    </row>
    <row r="390" spans="1:4" x14ac:dyDescent="0.3">
      <c r="A390" t="s">
        <v>1379</v>
      </c>
      <c r="B390" t="s">
        <v>926</v>
      </c>
      <c r="C390" s="2">
        <v>45445</v>
      </c>
      <c r="D390" t="s">
        <v>995</v>
      </c>
    </row>
    <row r="391" spans="1:4" x14ac:dyDescent="0.3">
      <c r="A391" t="s">
        <v>1380</v>
      </c>
      <c r="B391" t="s">
        <v>860</v>
      </c>
      <c r="C391" s="2">
        <v>45757</v>
      </c>
      <c r="D391" t="s">
        <v>995</v>
      </c>
    </row>
    <row r="392" spans="1:4" x14ac:dyDescent="0.3">
      <c r="A392" t="s">
        <v>1381</v>
      </c>
      <c r="B392" t="s">
        <v>239</v>
      </c>
      <c r="C392" s="2">
        <v>45761</v>
      </c>
      <c r="D392" t="s">
        <v>990</v>
      </c>
    </row>
    <row r="393" spans="1:4" x14ac:dyDescent="0.3">
      <c r="A393" t="s">
        <v>1382</v>
      </c>
      <c r="B393" t="s">
        <v>346</v>
      </c>
      <c r="C393" s="2">
        <v>45450</v>
      </c>
      <c r="D393" t="s">
        <v>990</v>
      </c>
    </row>
    <row r="394" spans="1:4" x14ac:dyDescent="0.3">
      <c r="A394" t="s">
        <v>1383</v>
      </c>
      <c r="B394" t="s">
        <v>29</v>
      </c>
      <c r="C394" s="2">
        <v>45714</v>
      </c>
      <c r="D394" t="s">
        <v>1007</v>
      </c>
    </row>
    <row r="395" spans="1:4" x14ac:dyDescent="0.3">
      <c r="A395" t="s">
        <v>1384</v>
      </c>
      <c r="B395" t="s">
        <v>486</v>
      </c>
      <c r="C395" s="2">
        <v>45542</v>
      </c>
      <c r="D395" t="s">
        <v>990</v>
      </c>
    </row>
    <row r="396" spans="1:4" x14ac:dyDescent="0.3">
      <c r="A396" t="s">
        <v>1385</v>
      </c>
      <c r="B396" t="s">
        <v>609</v>
      </c>
      <c r="C396" s="2">
        <v>45314</v>
      </c>
      <c r="D396" t="s">
        <v>990</v>
      </c>
    </row>
    <row r="397" spans="1:4" x14ac:dyDescent="0.3">
      <c r="A397" t="s">
        <v>1386</v>
      </c>
      <c r="B397" t="s">
        <v>210</v>
      </c>
      <c r="C397" s="2">
        <v>45298</v>
      </c>
      <c r="D397" t="s">
        <v>990</v>
      </c>
    </row>
    <row r="398" spans="1:4" x14ac:dyDescent="0.3">
      <c r="A398" t="s">
        <v>1387</v>
      </c>
      <c r="B398" t="s">
        <v>236</v>
      </c>
      <c r="C398" s="2">
        <v>45309</v>
      </c>
      <c r="D398" t="s">
        <v>995</v>
      </c>
    </row>
    <row r="399" spans="1:4" x14ac:dyDescent="0.3">
      <c r="A399" t="s">
        <v>1388</v>
      </c>
      <c r="B399" t="s">
        <v>515</v>
      </c>
      <c r="C399" s="2">
        <v>45473</v>
      </c>
      <c r="D399" t="s">
        <v>2305</v>
      </c>
    </row>
    <row r="400" spans="1:4" x14ac:dyDescent="0.3">
      <c r="A400" t="s">
        <v>1389</v>
      </c>
      <c r="B400" t="s">
        <v>51</v>
      </c>
      <c r="C400" s="2">
        <v>45780</v>
      </c>
      <c r="D400" t="s">
        <v>2305</v>
      </c>
    </row>
    <row r="401" spans="1:4" x14ac:dyDescent="0.3">
      <c r="A401" t="s">
        <v>1390</v>
      </c>
      <c r="B401" t="s">
        <v>238</v>
      </c>
      <c r="C401" s="2">
        <v>45697</v>
      </c>
      <c r="D401" t="s">
        <v>2305</v>
      </c>
    </row>
    <row r="402" spans="1:4" x14ac:dyDescent="0.3">
      <c r="A402" t="s">
        <v>1391</v>
      </c>
      <c r="B402" t="s">
        <v>232</v>
      </c>
      <c r="C402" s="2">
        <v>45329</v>
      </c>
      <c r="D402" t="s">
        <v>995</v>
      </c>
    </row>
    <row r="403" spans="1:4" x14ac:dyDescent="0.3">
      <c r="A403" t="s">
        <v>1392</v>
      </c>
      <c r="B403" t="s">
        <v>308</v>
      </c>
      <c r="C403" s="2">
        <v>45575</v>
      </c>
      <c r="D403" t="s">
        <v>990</v>
      </c>
    </row>
    <row r="404" spans="1:4" x14ac:dyDescent="0.3">
      <c r="A404" t="s">
        <v>1393</v>
      </c>
      <c r="B404" t="s">
        <v>297</v>
      </c>
      <c r="C404" s="2">
        <v>45593</v>
      </c>
      <c r="D404" t="s">
        <v>992</v>
      </c>
    </row>
    <row r="405" spans="1:4" x14ac:dyDescent="0.3">
      <c r="A405" t="s">
        <v>1394</v>
      </c>
      <c r="B405" t="s">
        <v>894</v>
      </c>
      <c r="C405" s="2">
        <v>45299</v>
      </c>
      <c r="D405" t="s">
        <v>990</v>
      </c>
    </row>
    <row r="406" spans="1:4" x14ac:dyDescent="0.3">
      <c r="A406" t="s">
        <v>1395</v>
      </c>
      <c r="B406" t="s">
        <v>310</v>
      </c>
      <c r="C406" s="2">
        <v>45452</v>
      </c>
      <c r="D406" t="s">
        <v>2305</v>
      </c>
    </row>
    <row r="407" spans="1:4" x14ac:dyDescent="0.3">
      <c r="A407" t="s">
        <v>1396</v>
      </c>
      <c r="B407" t="s">
        <v>72</v>
      </c>
      <c r="C407" s="2">
        <v>45701</v>
      </c>
      <c r="D407" t="s">
        <v>1007</v>
      </c>
    </row>
    <row r="408" spans="1:4" x14ac:dyDescent="0.3">
      <c r="A408" t="s">
        <v>1397</v>
      </c>
      <c r="B408" t="s">
        <v>373</v>
      </c>
      <c r="C408" s="2">
        <v>45609</v>
      </c>
      <c r="D408" t="s">
        <v>990</v>
      </c>
    </row>
    <row r="409" spans="1:4" x14ac:dyDescent="0.3">
      <c r="A409" t="s">
        <v>1398</v>
      </c>
      <c r="B409" t="s">
        <v>959</v>
      </c>
      <c r="C409" s="2">
        <v>45787</v>
      </c>
      <c r="D409" t="s">
        <v>2305</v>
      </c>
    </row>
    <row r="410" spans="1:4" x14ac:dyDescent="0.3">
      <c r="A410" t="s">
        <v>1399</v>
      </c>
      <c r="B410" t="s">
        <v>793</v>
      </c>
      <c r="C410" s="2">
        <v>45409</v>
      </c>
      <c r="D410" t="s">
        <v>1007</v>
      </c>
    </row>
    <row r="411" spans="1:4" x14ac:dyDescent="0.3">
      <c r="A411" t="s">
        <v>1400</v>
      </c>
      <c r="B411" t="s">
        <v>728</v>
      </c>
      <c r="C411" s="2">
        <v>45460</v>
      </c>
      <c r="D411" t="s">
        <v>995</v>
      </c>
    </row>
    <row r="412" spans="1:4" x14ac:dyDescent="0.3">
      <c r="A412" t="s">
        <v>1401</v>
      </c>
      <c r="B412" t="s">
        <v>629</v>
      </c>
      <c r="C412" s="2">
        <v>45749</v>
      </c>
      <c r="D412" t="s">
        <v>1007</v>
      </c>
    </row>
    <row r="413" spans="1:4" x14ac:dyDescent="0.3">
      <c r="A413" t="s">
        <v>1402</v>
      </c>
      <c r="B413" t="s">
        <v>431</v>
      </c>
      <c r="C413" s="2">
        <v>45378</v>
      </c>
      <c r="D413" t="s">
        <v>2305</v>
      </c>
    </row>
    <row r="414" spans="1:4" x14ac:dyDescent="0.3">
      <c r="A414" t="s">
        <v>1403</v>
      </c>
      <c r="B414" t="s">
        <v>670</v>
      </c>
      <c r="C414" s="2">
        <v>45587</v>
      </c>
      <c r="D414" t="s">
        <v>990</v>
      </c>
    </row>
    <row r="415" spans="1:4" x14ac:dyDescent="0.3">
      <c r="A415" t="s">
        <v>1404</v>
      </c>
      <c r="B415" t="s">
        <v>714</v>
      </c>
      <c r="C415" s="2">
        <v>45452</v>
      </c>
      <c r="D415" t="s">
        <v>990</v>
      </c>
    </row>
    <row r="416" spans="1:4" x14ac:dyDescent="0.3">
      <c r="A416" t="s">
        <v>1405</v>
      </c>
      <c r="B416" t="s">
        <v>975</v>
      </c>
      <c r="C416" s="2">
        <v>45462</v>
      </c>
      <c r="D416" t="s">
        <v>1007</v>
      </c>
    </row>
    <row r="417" spans="1:4" x14ac:dyDescent="0.3">
      <c r="A417" t="s">
        <v>1406</v>
      </c>
      <c r="B417" t="s">
        <v>503</v>
      </c>
      <c r="C417" s="2">
        <v>45527</v>
      </c>
      <c r="D417" t="s">
        <v>1007</v>
      </c>
    </row>
    <row r="418" spans="1:4" x14ac:dyDescent="0.3">
      <c r="A418" t="s">
        <v>1407</v>
      </c>
      <c r="B418" t="s">
        <v>301</v>
      </c>
      <c r="C418" s="2">
        <v>45839</v>
      </c>
      <c r="D418" t="s">
        <v>995</v>
      </c>
    </row>
    <row r="419" spans="1:4" x14ac:dyDescent="0.3">
      <c r="A419" t="s">
        <v>1408</v>
      </c>
      <c r="B419" t="s">
        <v>552</v>
      </c>
      <c r="C419" s="2">
        <v>45488</v>
      </c>
      <c r="D419" t="s">
        <v>1007</v>
      </c>
    </row>
    <row r="420" spans="1:4" x14ac:dyDescent="0.3">
      <c r="A420" t="s">
        <v>1409</v>
      </c>
      <c r="B420" t="s">
        <v>864</v>
      </c>
      <c r="C420" s="2">
        <v>45426</v>
      </c>
      <c r="D420" t="s">
        <v>995</v>
      </c>
    </row>
    <row r="421" spans="1:4" x14ac:dyDescent="0.3">
      <c r="A421" t="s">
        <v>1410</v>
      </c>
      <c r="B421" t="s">
        <v>77</v>
      </c>
      <c r="C421" s="2">
        <v>45760</v>
      </c>
      <c r="D421" t="s">
        <v>1007</v>
      </c>
    </row>
    <row r="422" spans="1:4" x14ac:dyDescent="0.3">
      <c r="A422" t="s">
        <v>1411</v>
      </c>
      <c r="B422" t="s">
        <v>408</v>
      </c>
      <c r="C422" s="2">
        <v>45688</v>
      </c>
      <c r="D422" t="s">
        <v>1007</v>
      </c>
    </row>
    <row r="423" spans="1:4" x14ac:dyDescent="0.3">
      <c r="A423" t="s">
        <v>1412</v>
      </c>
      <c r="B423" t="s">
        <v>732</v>
      </c>
      <c r="C423" s="2">
        <v>45697</v>
      </c>
      <c r="D423" t="s">
        <v>995</v>
      </c>
    </row>
    <row r="424" spans="1:4" x14ac:dyDescent="0.3">
      <c r="A424" t="s">
        <v>1413</v>
      </c>
      <c r="B424" t="s">
        <v>292</v>
      </c>
      <c r="C424" s="2">
        <v>45640</v>
      </c>
      <c r="D424" t="s">
        <v>992</v>
      </c>
    </row>
    <row r="425" spans="1:4" x14ac:dyDescent="0.3">
      <c r="A425" t="s">
        <v>1414</v>
      </c>
      <c r="B425" t="s">
        <v>689</v>
      </c>
      <c r="C425" s="2">
        <v>45670</v>
      </c>
      <c r="D425" t="s">
        <v>995</v>
      </c>
    </row>
    <row r="426" spans="1:4" x14ac:dyDescent="0.3">
      <c r="A426" t="s">
        <v>1415</v>
      </c>
      <c r="B426" t="s">
        <v>706</v>
      </c>
      <c r="C426" s="2">
        <v>45738</v>
      </c>
      <c r="D426" t="s">
        <v>990</v>
      </c>
    </row>
    <row r="427" spans="1:4" x14ac:dyDescent="0.3">
      <c r="A427" t="s">
        <v>1416</v>
      </c>
      <c r="B427" t="s">
        <v>676</v>
      </c>
      <c r="C427" s="2">
        <v>45322</v>
      </c>
      <c r="D427" t="s">
        <v>990</v>
      </c>
    </row>
    <row r="428" spans="1:4" x14ac:dyDescent="0.3">
      <c r="A428" t="s">
        <v>1417</v>
      </c>
      <c r="B428" t="s">
        <v>653</v>
      </c>
      <c r="C428" s="2">
        <v>45744</v>
      </c>
      <c r="D428" t="s">
        <v>990</v>
      </c>
    </row>
    <row r="429" spans="1:4" x14ac:dyDescent="0.3">
      <c r="A429" t="s">
        <v>1418</v>
      </c>
      <c r="B429" t="s">
        <v>494</v>
      </c>
      <c r="C429" s="2">
        <v>45706</v>
      </c>
      <c r="D429" t="s">
        <v>990</v>
      </c>
    </row>
    <row r="430" spans="1:4" x14ac:dyDescent="0.3">
      <c r="A430" t="s">
        <v>1419</v>
      </c>
      <c r="B430" t="s">
        <v>310</v>
      </c>
      <c r="C430" s="2">
        <v>45361</v>
      </c>
      <c r="D430" t="s">
        <v>1007</v>
      </c>
    </row>
    <row r="431" spans="1:4" x14ac:dyDescent="0.3">
      <c r="A431" t="s">
        <v>1420</v>
      </c>
      <c r="B431" t="s">
        <v>914</v>
      </c>
      <c r="C431" s="2">
        <v>45499</v>
      </c>
      <c r="D431" t="s">
        <v>990</v>
      </c>
    </row>
    <row r="432" spans="1:4" x14ac:dyDescent="0.3">
      <c r="A432" t="s">
        <v>1421</v>
      </c>
      <c r="B432" t="s">
        <v>611</v>
      </c>
      <c r="C432" s="2">
        <v>45767</v>
      </c>
      <c r="D432" t="s">
        <v>1007</v>
      </c>
    </row>
    <row r="433" spans="1:4" x14ac:dyDescent="0.3">
      <c r="A433" t="s">
        <v>1422</v>
      </c>
      <c r="B433" t="s">
        <v>297</v>
      </c>
      <c r="C433" s="2">
        <v>45357</v>
      </c>
      <c r="D433" t="s">
        <v>992</v>
      </c>
    </row>
    <row r="434" spans="1:4" x14ac:dyDescent="0.3">
      <c r="A434" t="s">
        <v>1423</v>
      </c>
      <c r="B434" t="s">
        <v>511</v>
      </c>
      <c r="C434" s="2">
        <v>45839</v>
      </c>
      <c r="D434" t="s">
        <v>990</v>
      </c>
    </row>
    <row r="435" spans="1:4" x14ac:dyDescent="0.3">
      <c r="A435" t="s">
        <v>1424</v>
      </c>
      <c r="B435" t="s">
        <v>158</v>
      </c>
      <c r="C435" s="2">
        <v>45763</v>
      </c>
      <c r="D435" t="s">
        <v>1007</v>
      </c>
    </row>
    <row r="436" spans="1:4" x14ac:dyDescent="0.3">
      <c r="A436" t="s">
        <v>1425</v>
      </c>
      <c r="B436" t="s">
        <v>367</v>
      </c>
      <c r="C436" s="2">
        <v>45388</v>
      </c>
      <c r="D436" t="s">
        <v>990</v>
      </c>
    </row>
    <row r="437" spans="1:4" x14ac:dyDescent="0.3">
      <c r="A437" t="s">
        <v>1426</v>
      </c>
      <c r="B437" t="s">
        <v>944</v>
      </c>
      <c r="C437" s="2">
        <v>45298</v>
      </c>
      <c r="D437" t="s">
        <v>990</v>
      </c>
    </row>
    <row r="438" spans="1:4" x14ac:dyDescent="0.3">
      <c r="A438" t="s">
        <v>1427</v>
      </c>
      <c r="B438" t="s">
        <v>146</v>
      </c>
      <c r="C438" s="2">
        <v>45721</v>
      </c>
      <c r="D438" t="s">
        <v>990</v>
      </c>
    </row>
    <row r="439" spans="1:4" x14ac:dyDescent="0.3">
      <c r="A439" t="s">
        <v>1428</v>
      </c>
      <c r="B439" t="s">
        <v>359</v>
      </c>
      <c r="C439" s="2">
        <v>45433</v>
      </c>
      <c r="D439" t="s">
        <v>1007</v>
      </c>
    </row>
    <row r="440" spans="1:4" x14ac:dyDescent="0.3">
      <c r="A440" t="s">
        <v>1429</v>
      </c>
      <c r="B440" t="s">
        <v>338</v>
      </c>
      <c r="C440" s="2">
        <v>45612</v>
      </c>
      <c r="D440" t="s">
        <v>995</v>
      </c>
    </row>
    <row r="441" spans="1:4" x14ac:dyDescent="0.3">
      <c r="A441" t="s">
        <v>1430</v>
      </c>
      <c r="B441" t="s">
        <v>49</v>
      </c>
      <c r="C441" s="2">
        <v>45403</v>
      </c>
      <c r="D441" t="s">
        <v>990</v>
      </c>
    </row>
    <row r="442" spans="1:4" x14ac:dyDescent="0.3">
      <c r="A442" t="s">
        <v>1431</v>
      </c>
      <c r="B442" t="s">
        <v>902</v>
      </c>
      <c r="C442" s="2">
        <v>45630</v>
      </c>
      <c r="D442" t="s">
        <v>992</v>
      </c>
    </row>
    <row r="443" spans="1:4" x14ac:dyDescent="0.3">
      <c r="A443" t="s">
        <v>1432</v>
      </c>
      <c r="B443" t="s">
        <v>359</v>
      </c>
      <c r="C443" s="2">
        <v>45623</v>
      </c>
      <c r="D443" t="s">
        <v>995</v>
      </c>
    </row>
    <row r="444" spans="1:4" x14ac:dyDescent="0.3">
      <c r="A444" t="s">
        <v>1433</v>
      </c>
      <c r="B444" t="s">
        <v>490</v>
      </c>
      <c r="C444" s="2">
        <v>45667</v>
      </c>
      <c r="D444" t="s">
        <v>995</v>
      </c>
    </row>
    <row r="445" spans="1:4" x14ac:dyDescent="0.3">
      <c r="A445" t="s">
        <v>1434</v>
      </c>
      <c r="B445" t="s">
        <v>107</v>
      </c>
      <c r="C445" s="2">
        <v>45332</v>
      </c>
      <c r="D445" t="s">
        <v>990</v>
      </c>
    </row>
    <row r="446" spans="1:4" x14ac:dyDescent="0.3">
      <c r="A446" t="s">
        <v>1435</v>
      </c>
      <c r="B446" t="s">
        <v>282</v>
      </c>
      <c r="C446" s="2">
        <v>45294</v>
      </c>
      <c r="D446" t="s">
        <v>992</v>
      </c>
    </row>
    <row r="447" spans="1:4" x14ac:dyDescent="0.3">
      <c r="A447" t="s">
        <v>1436</v>
      </c>
      <c r="B447" t="s">
        <v>38</v>
      </c>
      <c r="C447" s="2">
        <v>45619</v>
      </c>
      <c r="D447" t="s">
        <v>1007</v>
      </c>
    </row>
    <row r="448" spans="1:4" x14ac:dyDescent="0.3">
      <c r="A448" t="s">
        <v>1437</v>
      </c>
      <c r="B448" t="s">
        <v>433</v>
      </c>
      <c r="C448" s="2">
        <v>45456</v>
      </c>
      <c r="D448" t="s">
        <v>1007</v>
      </c>
    </row>
    <row r="449" spans="1:4" x14ac:dyDescent="0.3">
      <c r="A449" t="s">
        <v>1438</v>
      </c>
      <c r="B449" t="s">
        <v>978</v>
      </c>
      <c r="C449" s="2">
        <v>45499</v>
      </c>
      <c r="D449" t="s">
        <v>990</v>
      </c>
    </row>
    <row r="450" spans="1:4" x14ac:dyDescent="0.3">
      <c r="A450" t="s">
        <v>1439</v>
      </c>
      <c r="B450" t="s">
        <v>357</v>
      </c>
      <c r="C450" s="2">
        <v>45321</v>
      </c>
      <c r="D450" t="s">
        <v>1007</v>
      </c>
    </row>
    <row r="451" spans="1:4" x14ac:dyDescent="0.3">
      <c r="A451" t="s">
        <v>1440</v>
      </c>
      <c r="B451" t="s">
        <v>186</v>
      </c>
      <c r="C451" s="2">
        <v>45612</v>
      </c>
      <c r="D451" t="s">
        <v>990</v>
      </c>
    </row>
    <row r="452" spans="1:4" x14ac:dyDescent="0.3">
      <c r="A452" t="s">
        <v>1441</v>
      </c>
      <c r="B452" t="s">
        <v>494</v>
      </c>
      <c r="C452" s="2">
        <v>45598</v>
      </c>
      <c r="D452" t="s">
        <v>992</v>
      </c>
    </row>
    <row r="453" spans="1:4" x14ac:dyDescent="0.3">
      <c r="A453" t="s">
        <v>1442</v>
      </c>
      <c r="B453" t="s">
        <v>934</v>
      </c>
      <c r="C453" s="2">
        <v>45739</v>
      </c>
      <c r="D453" t="s">
        <v>1007</v>
      </c>
    </row>
    <row r="454" spans="1:4" x14ac:dyDescent="0.3">
      <c r="A454" t="s">
        <v>1443</v>
      </c>
      <c r="B454" t="s">
        <v>641</v>
      </c>
      <c r="C454" s="2">
        <v>45580</v>
      </c>
      <c r="D454" t="s">
        <v>990</v>
      </c>
    </row>
    <row r="455" spans="1:4" x14ac:dyDescent="0.3">
      <c r="A455" t="s">
        <v>1444</v>
      </c>
      <c r="B455" t="s">
        <v>123</v>
      </c>
      <c r="C455" s="2">
        <v>45504</v>
      </c>
      <c r="D455" t="s">
        <v>990</v>
      </c>
    </row>
    <row r="456" spans="1:4" x14ac:dyDescent="0.3">
      <c r="A456" t="s">
        <v>1445</v>
      </c>
      <c r="B456" t="s">
        <v>322</v>
      </c>
      <c r="C456" s="2">
        <v>45339</v>
      </c>
      <c r="D456" t="s">
        <v>995</v>
      </c>
    </row>
    <row r="457" spans="1:4" x14ac:dyDescent="0.3">
      <c r="A457" t="s">
        <v>1446</v>
      </c>
      <c r="B457" t="s">
        <v>430</v>
      </c>
      <c r="C457" s="2">
        <v>45365</v>
      </c>
      <c r="D457" t="s">
        <v>1007</v>
      </c>
    </row>
    <row r="458" spans="1:4" x14ac:dyDescent="0.3">
      <c r="A458" t="s">
        <v>1447</v>
      </c>
      <c r="B458" t="s">
        <v>722</v>
      </c>
      <c r="C458" s="2">
        <v>45708</v>
      </c>
      <c r="D458" t="s">
        <v>990</v>
      </c>
    </row>
    <row r="459" spans="1:4" x14ac:dyDescent="0.3">
      <c r="A459" t="s">
        <v>1448</v>
      </c>
      <c r="B459" t="s">
        <v>695</v>
      </c>
      <c r="C459" s="2">
        <v>45332</v>
      </c>
      <c r="D459" t="s">
        <v>995</v>
      </c>
    </row>
    <row r="460" spans="1:4" x14ac:dyDescent="0.3">
      <c r="A460" t="s">
        <v>1449</v>
      </c>
      <c r="B460" t="s">
        <v>668</v>
      </c>
      <c r="C460" s="2">
        <v>45409</v>
      </c>
      <c r="D460" t="s">
        <v>992</v>
      </c>
    </row>
    <row r="461" spans="1:4" x14ac:dyDescent="0.3">
      <c r="A461" t="s">
        <v>1450</v>
      </c>
      <c r="B461" t="s">
        <v>963</v>
      </c>
      <c r="C461" s="2">
        <v>45682</v>
      </c>
      <c r="D461" t="s">
        <v>992</v>
      </c>
    </row>
    <row r="462" spans="1:4" x14ac:dyDescent="0.3">
      <c r="A462" t="s">
        <v>1451</v>
      </c>
      <c r="B462" t="s">
        <v>914</v>
      </c>
      <c r="C462" s="2">
        <v>45578</v>
      </c>
      <c r="D462" t="s">
        <v>990</v>
      </c>
    </row>
    <row r="463" spans="1:4" x14ac:dyDescent="0.3">
      <c r="A463" t="s">
        <v>1452</v>
      </c>
      <c r="B463" t="s">
        <v>554</v>
      </c>
      <c r="C463" s="2">
        <v>45359</v>
      </c>
      <c r="D463" t="s">
        <v>1007</v>
      </c>
    </row>
    <row r="464" spans="1:4" x14ac:dyDescent="0.3">
      <c r="A464" t="s">
        <v>1453</v>
      </c>
      <c r="B464" t="s">
        <v>959</v>
      </c>
      <c r="C464" s="2">
        <v>45343</v>
      </c>
      <c r="D464" t="s">
        <v>990</v>
      </c>
    </row>
    <row r="465" spans="1:4" x14ac:dyDescent="0.3">
      <c r="A465" t="s">
        <v>1454</v>
      </c>
      <c r="B465" t="s">
        <v>310</v>
      </c>
      <c r="C465" s="2">
        <v>45613</v>
      </c>
      <c r="D465" t="s">
        <v>990</v>
      </c>
    </row>
    <row r="466" spans="1:4" x14ac:dyDescent="0.3">
      <c r="A466" t="s">
        <v>1455</v>
      </c>
      <c r="B466" t="s">
        <v>191</v>
      </c>
      <c r="C466" s="2">
        <v>45771</v>
      </c>
      <c r="D466" t="s">
        <v>995</v>
      </c>
    </row>
    <row r="467" spans="1:4" x14ac:dyDescent="0.3">
      <c r="A467" t="s">
        <v>1456</v>
      </c>
      <c r="B467" t="s">
        <v>254</v>
      </c>
      <c r="C467" s="2">
        <v>45322</v>
      </c>
      <c r="D467" t="s">
        <v>995</v>
      </c>
    </row>
    <row r="468" spans="1:4" x14ac:dyDescent="0.3">
      <c r="A468" t="s">
        <v>1457</v>
      </c>
      <c r="B468" t="s">
        <v>373</v>
      </c>
      <c r="C468" s="2">
        <v>45631</v>
      </c>
      <c r="D468" t="s">
        <v>990</v>
      </c>
    </row>
    <row r="469" spans="1:4" x14ac:dyDescent="0.3">
      <c r="A469" t="s">
        <v>1458</v>
      </c>
      <c r="B469" t="s">
        <v>307</v>
      </c>
      <c r="C469" s="2">
        <v>45754</v>
      </c>
      <c r="D469" t="s">
        <v>995</v>
      </c>
    </row>
    <row r="470" spans="1:4" x14ac:dyDescent="0.3">
      <c r="A470" t="s">
        <v>1459</v>
      </c>
      <c r="B470" t="s">
        <v>66</v>
      </c>
      <c r="C470" s="2">
        <v>45471</v>
      </c>
      <c r="D470" t="s">
        <v>995</v>
      </c>
    </row>
    <row r="471" spans="1:4" x14ac:dyDescent="0.3">
      <c r="A471" t="s">
        <v>1460</v>
      </c>
      <c r="B471" t="s">
        <v>890</v>
      </c>
      <c r="C471" s="2">
        <v>45732</v>
      </c>
      <c r="D471" t="s">
        <v>995</v>
      </c>
    </row>
    <row r="472" spans="1:4" x14ac:dyDescent="0.3">
      <c r="A472" t="s">
        <v>1461</v>
      </c>
      <c r="B472" t="s">
        <v>695</v>
      </c>
      <c r="C472" s="2">
        <v>45753</v>
      </c>
      <c r="D472" t="s">
        <v>2305</v>
      </c>
    </row>
    <row r="473" spans="1:4" x14ac:dyDescent="0.3">
      <c r="A473" t="s">
        <v>1462</v>
      </c>
      <c r="B473" t="s">
        <v>433</v>
      </c>
      <c r="C473" s="2">
        <v>45457</v>
      </c>
      <c r="D473" t="s">
        <v>1007</v>
      </c>
    </row>
    <row r="474" spans="1:4" x14ac:dyDescent="0.3">
      <c r="A474" t="s">
        <v>1463</v>
      </c>
      <c r="B474" t="s">
        <v>38</v>
      </c>
      <c r="C474" s="2">
        <v>45353</v>
      </c>
      <c r="D474" t="s">
        <v>990</v>
      </c>
    </row>
    <row r="475" spans="1:4" x14ac:dyDescent="0.3">
      <c r="A475" t="s">
        <v>1464</v>
      </c>
      <c r="B475" t="s">
        <v>708</v>
      </c>
      <c r="C475" s="2">
        <v>45322</v>
      </c>
      <c r="D475" t="s">
        <v>990</v>
      </c>
    </row>
    <row r="476" spans="1:4" x14ac:dyDescent="0.3">
      <c r="A476" t="s">
        <v>1465</v>
      </c>
      <c r="B476" t="s">
        <v>827</v>
      </c>
      <c r="C476" s="2">
        <v>45756</v>
      </c>
      <c r="D476" t="s">
        <v>995</v>
      </c>
    </row>
    <row r="477" spans="1:4" x14ac:dyDescent="0.3">
      <c r="A477" t="s">
        <v>1466</v>
      </c>
      <c r="B477" t="s">
        <v>70</v>
      </c>
      <c r="C477" s="2">
        <v>45420</v>
      </c>
      <c r="D477" t="s">
        <v>992</v>
      </c>
    </row>
    <row r="478" spans="1:4" x14ac:dyDescent="0.3">
      <c r="A478" t="s">
        <v>1467</v>
      </c>
      <c r="B478" t="s">
        <v>875</v>
      </c>
      <c r="C478" s="2">
        <v>45415</v>
      </c>
      <c r="D478" t="s">
        <v>990</v>
      </c>
    </row>
    <row r="479" spans="1:4" x14ac:dyDescent="0.3">
      <c r="A479" t="s">
        <v>1468</v>
      </c>
      <c r="B479" t="s">
        <v>416</v>
      </c>
      <c r="C479" s="2">
        <v>45458</v>
      </c>
      <c r="D479" t="s">
        <v>992</v>
      </c>
    </row>
    <row r="480" spans="1:4" x14ac:dyDescent="0.3">
      <c r="A480" t="s">
        <v>1469</v>
      </c>
      <c r="B480" t="s">
        <v>603</v>
      </c>
      <c r="C480" s="2">
        <v>45742</v>
      </c>
      <c r="D480" t="s">
        <v>995</v>
      </c>
    </row>
    <row r="481" spans="1:4" x14ac:dyDescent="0.3">
      <c r="A481" t="s">
        <v>1470</v>
      </c>
      <c r="B481" t="s">
        <v>322</v>
      </c>
      <c r="C481" s="2">
        <v>45536</v>
      </c>
      <c r="D481" t="s">
        <v>995</v>
      </c>
    </row>
    <row r="482" spans="1:4" x14ac:dyDescent="0.3">
      <c r="A482" t="s">
        <v>1471</v>
      </c>
      <c r="B482" t="s">
        <v>607</v>
      </c>
      <c r="C482" s="2">
        <v>45436</v>
      </c>
      <c r="D482" t="s">
        <v>990</v>
      </c>
    </row>
    <row r="483" spans="1:4" x14ac:dyDescent="0.3">
      <c r="A483" t="s">
        <v>1472</v>
      </c>
      <c r="B483" t="s">
        <v>13</v>
      </c>
      <c r="C483" s="2">
        <v>45540</v>
      </c>
      <c r="D483" t="s">
        <v>995</v>
      </c>
    </row>
    <row r="484" spans="1:4" x14ac:dyDescent="0.3">
      <c r="A484" t="s">
        <v>1473</v>
      </c>
      <c r="B484" t="s">
        <v>647</v>
      </c>
      <c r="C484" s="2">
        <v>45641</v>
      </c>
      <c r="D484" t="s">
        <v>2305</v>
      </c>
    </row>
    <row r="485" spans="1:4" x14ac:dyDescent="0.3">
      <c r="A485" t="s">
        <v>1474</v>
      </c>
      <c r="B485" t="s">
        <v>433</v>
      </c>
      <c r="C485" s="2">
        <v>45588</v>
      </c>
      <c r="D485" t="s">
        <v>995</v>
      </c>
    </row>
    <row r="486" spans="1:4" x14ac:dyDescent="0.3">
      <c r="A486" t="s">
        <v>1475</v>
      </c>
      <c r="B486" t="s">
        <v>728</v>
      </c>
      <c r="C486" s="2">
        <v>45315</v>
      </c>
      <c r="D486" t="s">
        <v>995</v>
      </c>
    </row>
    <row r="487" spans="1:4" x14ac:dyDescent="0.3">
      <c r="A487" t="s">
        <v>1476</v>
      </c>
      <c r="B487" t="s">
        <v>877</v>
      </c>
      <c r="C487" s="2">
        <v>45734</v>
      </c>
      <c r="D487" t="s">
        <v>992</v>
      </c>
    </row>
    <row r="488" spans="1:4" x14ac:dyDescent="0.3">
      <c r="A488" t="s">
        <v>1477</v>
      </c>
      <c r="B488" t="s">
        <v>59</v>
      </c>
      <c r="C488" s="2">
        <v>45704</v>
      </c>
      <c r="D488" t="s">
        <v>995</v>
      </c>
    </row>
    <row r="489" spans="1:4" x14ac:dyDescent="0.3">
      <c r="A489" t="s">
        <v>1478</v>
      </c>
      <c r="B489" t="s">
        <v>26</v>
      </c>
      <c r="C489" s="2">
        <v>45360</v>
      </c>
      <c r="D489" t="s">
        <v>995</v>
      </c>
    </row>
    <row r="490" spans="1:4" x14ac:dyDescent="0.3">
      <c r="A490" t="s">
        <v>1479</v>
      </c>
      <c r="B490" t="s">
        <v>978</v>
      </c>
      <c r="C490" s="2">
        <v>45668</v>
      </c>
      <c r="D490" t="s">
        <v>1007</v>
      </c>
    </row>
    <row r="491" spans="1:4" x14ac:dyDescent="0.3">
      <c r="A491" t="s">
        <v>1480</v>
      </c>
      <c r="B491" t="s">
        <v>346</v>
      </c>
      <c r="C491" s="2">
        <v>45529</v>
      </c>
      <c r="D491" t="s">
        <v>990</v>
      </c>
    </row>
    <row r="492" spans="1:4" x14ac:dyDescent="0.3">
      <c r="A492" t="s">
        <v>1481</v>
      </c>
      <c r="B492" t="s">
        <v>191</v>
      </c>
      <c r="C492" s="2">
        <v>45504</v>
      </c>
      <c r="D492" t="s">
        <v>990</v>
      </c>
    </row>
    <row r="493" spans="1:4" x14ac:dyDescent="0.3">
      <c r="A493" t="s">
        <v>1482</v>
      </c>
      <c r="B493" t="s">
        <v>678</v>
      </c>
      <c r="C493" s="2">
        <v>45750</v>
      </c>
      <c r="D493" t="s">
        <v>995</v>
      </c>
    </row>
    <row r="494" spans="1:4" x14ac:dyDescent="0.3">
      <c r="A494" t="s">
        <v>1483</v>
      </c>
      <c r="B494" t="s">
        <v>412</v>
      </c>
      <c r="C494" s="2">
        <v>45902</v>
      </c>
      <c r="D494" t="s">
        <v>1007</v>
      </c>
    </row>
    <row r="495" spans="1:4" x14ac:dyDescent="0.3">
      <c r="A495" t="s">
        <v>1484</v>
      </c>
      <c r="B495" t="s">
        <v>85</v>
      </c>
      <c r="C495" s="2">
        <v>45568</v>
      </c>
      <c r="D495" t="s">
        <v>995</v>
      </c>
    </row>
    <row r="496" spans="1:4" x14ac:dyDescent="0.3">
      <c r="A496" t="s">
        <v>1485</v>
      </c>
      <c r="B496" t="s">
        <v>867</v>
      </c>
      <c r="C496" s="2">
        <v>45649</v>
      </c>
      <c r="D496" t="s">
        <v>1007</v>
      </c>
    </row>
    <row r="497" spans="1:4" x14ac:dyDescent="0.3">
      <c r="A497" t="s">
        <v>1486</v>
      </c>
      <c r="B497" t="s">
        <v>107</v>
      </c>
      <c r="C497" s="2">
        <v>45749</v>
      </c>
      <c r="D497" t="s">
        <v>1007</v>
      </c>
    </row>
    <row r="498" spans="1:4" x14ac:dyDescent="0.3">
      <c r="A498" t="s">
        <v>1487</v>
      </c>
      <c r="B498" t="s">
        <v>230</v>
      </c>
      <c r="C498" s="2">
        <v>45353</v>
      </c>
      <c r="D498" t="s">
        <v>995</v>
      </c>
    </row>
    <row r="499" spans="1:4" x14ac:dyDescent="0.3">
      <c r="A499" t="s">
        <v>1488</v>
      </c>
      <c r="B499" t="s">
        <v>864</v>
      </c>
      <c r="C499" s="2">
        <v>45293</v>
      </c>
      <c r="D499" t="s">
        <v>995</v>
      </c>
    </row>
    <row r="500" spans="1:4" x14ac:dyDescent="0.3">
      <c r="A500" t="s">
        <v>1489</v>
      </c>
      <c r="B500" t="s">
        <v>305</v>
      </c>
      <c r="C500" s="2">
        <v>45616</v>
      </c>
      <c r="D500" t="s">
        <v>1007</v>
      </c>
    </row>
    <row r="501" spans="1:4" x14ac:dyDescent="0.3">
      <c r="A501" t="s">
        <v>1490</v>
      </c>
      <c r="B501" t="s">
        <v>714</v>
      </c>
      <c r="C501" s="2">
        <v>45721</v>
      </c>
      <c r="D501" t="s">
        <v>1007</v>
      </c>
    </row>
    <row r="502" spans="1:4" x14ac:dyDescent="0.3">
      <c r="A502" t="s">
        <v>1491</v>
      </c>
      <c r="B502" t="s">
        <v>704</v>
      </c>
      <c r="C502" s="2">
        <v>45788</v>
      </c>
      <c r="D502" t="s">
        <v>995</v>
      </c>
    </row>
    <row r="503" spans="1:4" x14ac:dyDescent="0.3">
      <c r="A503" t="s">
        <v>1492</v>
      </c>
      <c r="B503" t="s">
        <v>156</v>
      </c>
      <c r="C503" s="2">
        <v>45431</v>
      </c>
      <c r="D503" t="s">
        <v>995</v>
      </c>
    </row>
    <row r="504" spans="1:4" x14ac:dyDescent="0.3">
      <c r="A504" t="s">
        <v>1493</v>
      </c>
      <c r="B504" t="s">
        <v>38</v>
      </c>
      <c r="C504" s="2">
        <v>45427</v>
      </c>
      <c r="D504" t="s">
        <v>1007</v>
      </c>
    </row>
    <row r="505" spans="1:4" x14ac:dyDescent="0.3">
      <c r="A505" t="s">
        <v>1494</v>
      </c>
      <c r="B505" t="s">
        <v>97</v>
      </c>
      <c r="C505" s="2">
        <v>45569</v>
      </c>
      <c r="D505" t="s">
        <v>1007</v>
      </c>
    </row>
    <row r="506" spans="1:4" x14ac:dyDescent="0.3">
      <c r="A506" t="s">
        <v>1495</v>
      </c>
      <c r="B506" t="s">
        <v>823</v>
      </c>
      <c r="C506" s="2">
        <v>45871</v>
      </c>
      <c r="D506" t="s">
        <v>990</v>
      </c>
    </row>
    <row r="507" spans="1:4" x14ac:dyDescent="0.3">
      <c r="A507" t="s">
        <v>1496</v>
      </c>
      <c r="B507" t="s">
        <v>540</v>
      </c>
      <c r="C507" s="2">
        <v>45297</v>
      </c>
      <c r="D507" t="s">
        <v>1007</v>
      </c>
    </row>
    <row r="508" spans="1:4" x14ac:dyDescent="0.3">
      <c r="A508" t="s">
        <v>1497</v>
      </c>
      <c r="B508" t="s">
        <v>914</v>
      </c>
      <c r="C508" s="2">
        <v>45570</v>
      </c>
      <c r="D508" t="s">
        <v>990</v>
      </c>
    </row>
    <row r="509" spans="1:4" x14ac:dyDescent="0.3">
      <c r="A509" t="s">
        <v>1498</v>
      </c>
      <c r="B509" t="s">
        <v>829</v>
      </c>
      <c r="C509" s="2">
        <v>45739</v>
      </c>
      <c r="D509" t="s">
        <v>992</v>
      </c>
    </row>
    <row r="510" spans="1:4" x14ac:dyDescent="0.3">
      <c r="A510" t="s">
        <v>1499</v>
      </c>
      <c r="B510" t="s">
        <v>805</v>
      </c>
      <c r="C510" s="2">
        <v>45508</v>
      </c>
      <c r="D510" t="s">
        <v>990</v>
      </c>
    </row>
    <row r="511" spans="1:4" x14ac:dyDescent="0.3">
      <c r="A511" t="s">
        <v>1500</v>
      </c>
      <c r="B511" t="s">
        <v>773</v>
      </c>
      <c r="C511" s="2">
        <v>45790</v>
      </c>
      <c r="D511" t="s">
        <v>990</v>
      </c>
    </row>
    <row r="512" spans="1:4" x14ac:dyDescent="0.3">
      <c r="A512" t="s">
        <v>1501</v>
      </c>
      <c r="B512" t="s">
        <v>777</v>
      </c>
      <c r="C512" s="2">
        <v>45743</v>
      </c>
      <c r="D512" t="s">
        <v>995</v>
      </c>
    </row>
    <row r="513" spans="1:4" x14ac:dyDescent="0.3">
      <c r="A513" t="s">
        <v>1502</v>
      </c>
      <c r="B513" t="s">
        <v>15</v>
      </c>
      <c r="C513" s="2">
        <v>45327</v>
      </c>
      <c r="D513" t="s">
        <v>992</v>
      </c>
    </row>
    <row r="514" spans="1:4" x14ac:dyDescent="0.3">
      <c r="A514" t="s">
        <v>1503</v>
      </c>
      <c r="B514" t="s">
        <v>761</v>
      </c>
      <c r="C514" s="2">
        <v>45415</v>
      </c>
      <c r="D514" t="s">
        <v>1007</v>
      </c>
    </row>
    <row r="515" spans="1:4" x14ac:dyDescent="0.3">
      <c r="A515" t="s">
        <v>1504</v>
      </c>
      <c r="B515" t="s">
        <v>184</v>
      </c>
      <c r="C515" s="2">
        <v>45841</v>
      </c>
      <c r="D515" t="s">
        <v>1007</v>
      </c>
    </row>
    <row r="516" spans="1:4" x14ac:dyDescent="0.3">
      <c r="A516" t="s">
        <v>1505</v>
      </c>
      <c r="B516" t="s">
        <v>109</v>
      </c>
      <c r="C516" s="2">
        <v>45499</v>
      </c>
      <c r="D516" t="s">
        <v>990</v>
      </c>
    </row>
    <row r="517" spans="1:4" x14ac:dyDescent="0.3">
      <c r="A517" t="s">
        <v>1506</v>
      </c>
      <c r="B517" t="s">
        <v>892</v>
      </c>
      <c r="C517" s="2">
        <v>45514</v>
      </c>
      <c r="D517" t="s">
        <v>990</v>
      </c>
    </row>
    <row r="518" spans="1:4" x14ac:dyDescent="0.3">
      <c r="A518" t="s">
        <v>1507</v>
      </c>
      <c r="B518" t="s">
        <v>918</v>
      </c>
      <c r="C518" s="2">
        <v>45996</v>
      </c>
      <c r="D518" t="s">
        <v>1007</v>
      </c>
    </row>
    <row r="519" spans="1:4" x14ac:dyDescent="0.3">
      <c r="A519" t="s">
        <v>1508</v>
      </c>
      <c r="B519" t="s">
        <v>953</v>
      </c>
      <c r="C519" s="2">
        <v>45674</v>
      </c>
      <c r="D519" t="s">
        <v>2305</v>
      </c>
    </row>
    <row r="520" spans="1:4" x14ac:dyDescent="0.3">
      <c r="A520" t="s">
        <v>1509</v>
      </c>
      <c r="B520" t="s">
        <v>691</v>
      </c>
      <c r="C520" s="2">
        <v>45595</v>
      </c>
      <c r="D520" t="s">
        <v>990</v>
      </c>
    </row>
    <row r="521" spans="1:4" x14ac:dyDescent="0.3">
      <c r="A521" t="s">
        <v>1510</v>
      </c>
      <c r="B521" t="s">
        <v>477</v>
      </c>
      <c r="C521" s="2">
        <v>45714</v>
      </c>
      <c r="D521" t="s">
        <v>990</v>
      </c>
    </row>
    <row r="522" spans="1:4" x14ac:dyDescent="0.3">
      <c r="A522" t="s">
        <v>1511</v>
      </c>
      <c r="B522" t="s">
        <v>716</v>
      </c>
      <c r="C522" s="2">
        <v>45656</v>
      </c>
      <c r="D522" t="s">
        <v>990</v>
      </c>
    </row>
    <row r="523" spans="1:4" x14ac:dyDescent="0.3">
      <c r="A523" t="s">
        <v>1512</v>
      </c>
      <c r="B523" t="s">
        <v>538</v>
      </c>
      <c r="C523" s="2">
        <v>45546</v>
      </c>
      <c r="D523" t="s">
        <v>990</v>
      </c>
    </row>
    <row r="524" spans="1:4" x14ac:dyDescent="0.3">
      <c r="A524" t="s">
        <v>1513</v>
      </c>
      <c r="B524" t="s">
        <v>154</v>
      </c>
      <c r="C524" s="2">
        <v>45613</v>
      </c>
      <c r="D524" t="s">
        <v>995</v>
      </c>
    </row>
    <row r="525" spans="1:4" x14ac:dyDescent="0.3">
      <c r="A525" t="s">
        <v>1514</v>
      </c>
      <c r="B525" t="s">
        <v>536</v>
      </c>
      <c r="C525" s="2">
        <v>45426</v>
      </c>
      <c r="D525" t="s">
        <v>990</v>
      </c>
    </row>
    <row r="526" spans="1:4" x14ac:dyDescent="0.3">
      <c r="A526" t="s">
        <v>1515</v>
      </c>
      <c r="B526" t="s">
        <v>961</v>
      </c>
      <c r="C526" s="2">
        <v>45584</v>
      </c>
      <c r="D526" t="s">
        <v>995</v>
      </c>
    </row>
    <row r="527" spans="1:4" x14ac:dyDescent="0.3">
      <c r="A527" t="s">
        <v>1516</v>
      </c>
      <c r="B527" t="s">
        <v>142</v>
      </c>
      <c r="C527" s="2">
        <v>45766</v>
      </c>
      <c r="D527" t="s">
        <v>990</v>
      </c>
    </row>
    <row r="528" spans="1:4" x14ac:dyDescent="0.3">
      <c r="A528" t="s">
        <v>1517</v>
      </c>
      <c r="B528" t="s">
        <v>418</v>
      </c>
      <c r="C528" s="2">
        <v>45562</v>
      </c>
      <c r="D528" t="s">
        <v>990</v>
      </c>
    </row>
    <row r="529" spans="1:4" x14ac:dyDescent="0.3">
      <c r="A529" t="s">
        <v>1518</v>
      </c>
      <c r="B529" t="s">
        <v>485</v>
      </c>
      <c r="C529" s="2">
        <v>45636</v>
      </c>
      <c r="D529" t="s">
        <v>995</v>
      </c>
    </row>
    <row r="530" spans="1:4" x14ac:dyDescent="0.3">
      <c r="A530" t="s">
        <v>1519</v>
      </c>
      <c r="B530" t="s">
        <v>928</v>
      </c>
      <c r="C530" s="2">
        <v>45382</v>
      </c>
      <c r="D530" t="s">
        <v>1007</v>
      </c>
    </row>
    <row r="531" spans="1:4" x14ac:dyDescent="0.3">
      <c r="A531" t="s">
        <v>1520</v>
      </c>
      <c r="B531" t="s">
        <v>651</v>
      </c>
      <c r="C531" s="2">
        <v>45487</v>
      </c>
      <c r="D531" t="s">
        <v>990</v>
      </c>
    </row>
    <row r="532" spans="1:4" x14ac:dyDescent="0.3">
      <c r="A532" t="s">
        <v>1521</v>
      </c>
      <c r="B532" t="s">
        <v>254</v>
      </c>
      <c r="C532" s="2">
        <v>45501</v>
      </c>
      <c r="D532" t="s">
        <v>992</v>
      </c>
    </row>
    <row r="533" spans="1:4" x14ac:dyDescent="0.3">
      <c r="A533" t="s">
        <v>1522</v>
      </c>
      <c r="B533" t="s">
        <v>758</v>
      </c>
      <c r="C533" s="2">
        <v>45344</v>
      </c>
      <c r="D533" t="s">
        <v>990</v>
      </c>
    </row>
    <row r="534" spans="1:4" x14ac:dyDescent="0.3">
      <c r="A534" t="s">
        <v>1523</v>
      </c>
      <c r="B534" t="s">
        <v>611</v>
      </c>
      <c r="C534" s="2">
        <v>45523</v>
      </c>
      <c r="D534" t="s">
        <v>1007</v>
      </c>
    </row>
    <row r="535" spans="1:4" x14ac:dyDescent="0.3">
      <c r="A535" t="s">
        <v>1524</v>
      </c>
      <c r="B535" t="s">
        <v>556</v>
      </c>
      <c r="C535" s="2">
        <v>45494</v>
      </c>
      <c r="D535" t="s">
        <v>2305</v>
      </c>
    </row>
    <row r="536" spans="1:4" x14ac:dyDescent="0.3">
      <c r="A536" t="s">
        <v>1525</v>
      </c>
      <c r="B536" t="s">
        <v>234</v>
      </c>
      <c r="C536" s="2">
        <v>45522</v>
      </c>
      <c r="D536" t="s">
        <v>2305</v>
      </c>
    </row>
    <row r="537" spans="1:4" x14ac:dyDescent="0.3">
      <c r="A537" t="s">
        <v>1526</v>
      </c>
      <c r="B537" t="s">
        <v>357</v>
      </c>
      <c r="C537" s="2">
        <v>45680</v>
      </c>
      <c r="D537" t="s">
        <v>995</v>
      </c>
    </row>
    <row r="538" spans="1:4" x14ac:dyDescent="0.3">
      <c r="A538" t="s">
        <v>1527</v>
      </c>
      <c r="B538" t="s">
        <v>17</v>
      </c>
      <c r="C538" s="2">
        <v>45640</v>
      </c>
      <c r="D538" t="s">
        <v>990</v>
      </c>
    </row>
    <row r="539" spans="1:4" x14ac:dyDescent="0.3">
      <c r="A539" t="s">
        <v>1528</v>
      </c>
      <c r="B539" t="s">
        <v>609</v>
      </c>
      <c r="C539" s="2">
        <v>45558</v>
      </c>
      <c r="D539" t="s">
        <v>995</v>
      </c>
    </row>
    <row r="540" spans="1:4" x14ac:dyDescent="0.3">
      <c r="A540" t="s">
        <v>1529</v>
      </c>
      <c r="B540" t="s">
        <v>748</v>
      </c>
      <c r="C540" s="2">
        <v>45559</v>
      </c>
      <c r="D540" t="s">
        <v>990</v>
      </c>
    </row>
    <row r="541" spans="1:4" x14ac:dyDescent="0.3">
      <c r="A541" t="s">
        <v>1530</v>
      </c>
      <c r="B541" t="s">
        <v>511</v>
      </c>
      <c r="C541" s="2">
        <v>45566</v>
      </c>
      <c r="D541" t="s">
        <v>995</v>
      </c>
    </row>
    <row r="542" spans="1:4" x14ac:dyDescent="0.3">
      <c r="A542" t="s">
        <v>1531</v>
      </c>
      <c r="B542" t="s">
        <v>4</v>
      </c>
      <c r="C542" s="2">
        <v>45584</v>
      </c>
      <c r="D542" t="s">
        <v>1007</v>
      </c>
    </row>
    <row r="543" spans="1:4" x14ac:dyDescent="0.3">
      <c r="A543" t="s">
        <v>1532</v>
      </c>
      <c r="B543" t="s">
        <v>365</v>
      </c>
      <c r="C543" s="2">
        <v>45418</v>
      </c>
      <c r="D543" t="s">
        <v>992</v>
      </c>
    </row>
    <row r="544" spans="1:4" x14ac:dyDescent="0.3">
      <c r="A544" t="s">
        <v>1533</v>
      </c>
      <c r="B544" t="s">
        <v>655</v>
      </c>
      <c r="C544" s="2">
        <v>45422</v>
      </c>
      <c r="D544" t="s">
        <v>992</v>
      </c>
    </row>
    <row r="545" spans="1:4" x14ac:dyDescent="0.3">
      <c r="A545" t="s">
        <v>1534</v>
      </c>
      <c r="B545" t="s">
        <v>882</v>
      </c>
      <c r="C545" s="2">
        <v>45338</v>
      </c>
      <c r="D545" t="s">
        <v>2305</v>
      </c>
    </row>
    <row r="546" spans="1:4" x14ac:dyDescent="0.3">
      <c r="A546" t="s">
        <v>1535</v>
      </c>
      <c r="B546" t="s">
        <v>188</v>
      </c>
      <c r="C546" s="2">
        <v>45395</v>
      </c>
      <c r="D546" t="s">
        <v>990</v>
      </c>
    </row>
    <row r="547" spans="1:4" x14ac:dyDescent="0.3">
      <c r="A547" t="s">
        <v>1536</v>
      </c>
      <c r="B547" t="s">
        <v>587</v>
      </c>
      <c r="C547" s="2">
        <v>45608</v>
      </c>
      <c r="D547" t="s">
        <v>1007</v>
      </c>
    </row>
    <row r="548" spans="1:4" x14ac:dyDescent="0.3">
      <c r="A548" t="s">
        <v>1537</v>
      </c>
      <c r="B548" t="s">
        <v>892</v>
      </c>
      <c r="C548" s="2">
        <v>45484</v>
      </c>
      <c r="D548" t="s">
        <v>1007</v>
      </c>
    </row>
    <row r="549" spans="1:4" x14ac:dyDescent="0.3">
      <c r="A549" t="s">
        <v>1538</v>
      </c>
      <c r="B549" t="s">
        <v>597</v>
      </c>
      <c r="C549" s="2">
        <v>45788</v>
      </c>
      <c r="D549" t="s">
        <v>990</v>
      </c>
    </row>
    <row r="550" spans="1:4" x14ac:dyDescent="0.3">
      <c r="A550" t="s">
        <v>1539</v>
      </c>
      <c r="B550" t="s">
        <v>519</v>
      </c>
      <c r="C550" s="2">
        <v>45472</v>
      </c>
      <c r="D550" t="s">
        <v>990</v>
      </c>
    </row>
    <row r="551" spans="1:4" x14ac:dyDescent="0.3">
      <c r="A551" t="s">
        <v>1540</v>
      </c>
      <c r="B551" t="s">
        <v>268</v>
      </c>
      <c r="C551" s="2">
        <v>45765</v>
      </c>
      <c r="D551" t="s">
        <v>995</v>
      </c>
    </row>
    <row r="552" spans="1:4" x14ac:dyDescent="0.3">
      <c r="A552" t="s">
        <v>1541</v>
      </c>
      <c r="B552" t="s">
        <v>752</v>
      </c>
      <c r="C552" s="2">
        <v>45324</v>
      </c>
      <c r="D552" t="s">
        <v>995</v>
      </c>
    </row>
    <row r="553" spans="1:4" x14ac:dyDescent="0.3">
      <c r="A553" t="s">
        <v>1542</v>
      </c>
      <c r="B553" t="s">
        <v>666</v>
      </c>
      <c r="C553" s="2">
        <v>45732</v>
      </c>
      <c r="D553" t="s">
        <v>1007</v>
      </c>
    </row>
    <row r="554" spans="1:4" x14ac:dyDescent="0.3">
      <c r="A554" t="s">
        <v>1543</v>
      </c>
      <c r="B554" t="s">
        <v>898</v>
      </c>
      <c r="C554" s="2">
        <v>45486</v>
      </c>
      <c r="D554" t="s">
        <v>990</v>
      </c>
    </row>
    <row r="555" spans="1:4" x14ac:dyDescent="0.3">
      <c r="A555" t="s">
        <v>1544</v>
      </c>
      <c r="B555" t="s">
        <v>441</v>
      </c>
      <c r="C555" s="2">
        <v>45771</v>
      </c>
      <c r="D555" t="s">
        <v>1007</v>
      </c>
    </row>
    <row r="556" spans="1:4" x14ac:dyDescent="0.3">
      <c r="A556" t="s">
        <v>1545</v>
      </c>
      <c r="B556" t="s">
        <v>226</v>
      </c>
      <c r="C556" s="2">
        <v>45595</v>
      </c>
      <c r="D556" t="s">
        <v>2305</v>
      </c>
    </row>
    <row r="557" spans="1:4" x14ac:dyDescent="0.3">
      <c r="A557" t="s">
        <v>1546</v>
      </c>
      <c r="B557" t="s">
        <v>932</v>
      </c>
      <c r="C557" s="2">
        <v>45650</v>
      </c>
      <c r="D557" t="s">
        <v>990</v>
      </c>
    </row>
    <row r="558" spans="1:4" x14ac:dyDescent="0.3">
      <c r="A558" t="s">
        <v>1547</v>
      </c>
      <c r="B558" t="s">
        <v>953</v>
      </c>
      <c r="C558" s="2">
        <v>45382</v>
      </c>
      <c r="D558" t="s">
        <v>2305</v>
      </c>
    </row>
    <row r="559" spans="1:4" x14ac:dyDescent="0.3">
      <c r="A559" t="s">
        <v>1548</v>
      </c>
      <c r="B559" t="s">
        <v>803</v>
      </c>
      <c r="C559" s="2">
        <v>45543</v>
      </c>
      <c r="D559" t="s">
        <v>1007</v>
      </c>
    </row>
    <row r="560" spans="1:4" x14ac:dyDescent="0.3">
      <c r="A560" t="s">
        <v>1549</v>
      </c>
      <c r="B560" t="s">
        <v>471</v>
      </c>
      <c r="C560" s="2">
        <v>45671</v>
      </c>
      <c r="D560" t="s">
        <v>990</v>
      </c>
    </row>
    <row r="561" spans="1:4" x14ac:dyDescent="0.3">
      <c r="A561" t="s">
        <v>1550</v>
      </c>
      <c r="B561" t="s">
        <v>91</v>
      </c>
      <c r="C561" s="2">
        <v>45765</v>
      </c>
      <c r="D561" t="s">
        <v>992</v>
      </c>
    </row>
    <row r="562" spans="1:4" x14ac:dyDescent="0.3">
      <c r="A562" t="s">
        <v>1551</v>
      </c>
      <c r="B562" t="s">
        <v>668</v>
      </c>
      <c r="C562" s="2">
        <v>45685</v>
      </c>
      <c r="D562" t="s">
        <v>2305</v>
      </c>
    </row>
    <row r="563" spans="1:4" x14ac:dyDescent="0.3">
      <c r="A563" t="s">
        <v>1552</v>
      </c>
      <c r="B563" t="s">
        <v>245</v>
      </c>
      <c r="C563" s="2">
        <v>45338</v>
      </c>
      <c r="D563" t="s">
        <v>1007</v>
      </c>
    </row>
    <row r="564" spans="1:4" x14ac:dyDescent="0.3">
      <c r="A564" t="s">
        <v>1553</v>
      </c>
      <c r="B564" t="s">
        <v>38</v>
      </c>
      <c r="C564" s="2">
        <v>45344</v>
      </c>
      <c r="D564" t="s">
        <v>1007</v>
      </c>
    </row>
    <row r="565" spans="1:4" x14ac:dyDescent="0.3">
      <c r="A565" t="s">
        <v>1554</v>
      </c>
      <c r="B565" t="s">
        <v>439</v>
      </c>
      <c r="C565" s="2">
        <v>45580</v>
      </c>
      <c r="D565" t="s">
        <v>1007</v>
      </c>
    </row>
    <row r="566" spans="1:4" x14ac:dyDescent="0.3">
      <c r="A566" t="s">
        <v>1555</v>
      </c>
      <c r="B566" t="s">
        <v>408</v>
      </c>
      <c r="C566" s="2">
        <v>45656</v>
      </c>
      <c r="D566" t="s">
        <v>2305</v>
      </c>
    </row>
    <row r="567" spans="1:4" x14ac:dyDescent="0.3">
      <c r="A567" t="s">
        <v>1556</v>
      </c>
      <c r="B567" t="s">
        <v>121</v>
      </c>
      <c r="C567" s="2">
        <v>45514</v>
      </c>
      <c r="D567" t="s">
        <v>990</v>
      </c>
    </row>
    <row r="568" spans="1:4" x14ac:dyDescent="0.3">
      <c r="A568" t="s">
        <v>1557</v>
      </c>
      <c r="B568" t="s">
        <v>290</v>
      </c>
      <c r="C568" s="2">
        <v>45500</v>
      </c>
      <c r="D568" t="s">
        <v>995</v>
      </c>
    </row>
    <row r="569" spans="1:4" x14ac:dyDescent="0.3">
      <c r="A569" t="s">
        <v>1558</v>
      </c>
      <c r="B569" t="s">
        <v>649</v>
      </c>
      <c r="C569" s="2">
        <v>45463</v>
      </c>
      <c r="D569" t="s">
        <v>1007</v>
      </c>
    </row>
    <row r="570" spans="1:4" x14ac:dyDescent="0.3">
      <c r="A570" t="s">
        <v>1559</v>
      </c>
      <c r="B570" t="s">
        <v>381</v>
      </c>
      <c r="C570" s="2">
        <v>45567</v>
      </c>
      <c r="D570" t="s">
        <v>992</v>
      </c>
    </row>
    <row r="571" spans="1:4" x14ac:dyDescent="0.3">
      <c r="A571" t="s">
        <v>1560</v>
      </c>
      <c r="B571" t="s">
        <v>184</v>
      </c>
      <c r="C571" s="2">
        <v>45452</v>
      </c>
      <c r="D571" t="s">
        <v>992</v>
      </c>
    </row>
    <row r="572" spans="1:4" x14ac:dyDescent="0.3">
      <c r="A572" t="s">
        <v>1561</v>
      </c>
      <c r="B572" t="s">
        <v>603</v>
      </c>
      <c r="C572" s="2">
        <v>45576</v>
      </c>
      <c r="D572" t="s">
        <v>990</v>
      </c>
    </row>
    <row r="573" spans="1:4" x14ac:dyDescent="0.3">
      <c r="A573" t="s">
        <v>1562</v>
      </c>
      <c r="B573" t="s">
        <v>113</v>
      </c>
      <c r="C573" s="2">
        <v>45449</v>
      </c>
      <c r="D573" t="s">
        <v>995</v>
      </c>
    </row>
    <row r="574" spans="1:4" x14ac:dyDescent="0.3">
      <c r="A574" t="s">
        <v>1563</v>
      </c>
      <c r="B574" t="s">
        <v>767</v>
      </c>
      <c r="C574" s="2">
        <v>45702</v>
      </c>
      <c r="D574" t="s">
        <v>992</v>
      </c>
    </row>
    <row r="575" spans="1:4" x14ac:dyDescent="0.3">
      <c r="A575" t="s">
        <v>1564</v>
      </c>
      <c r="B575" t="s">
        <v>617</v>
      </c>
      <c r="C575" s="2">
        <v>45395</v>
      </c>
      <c r="D575" t="s">
        <v>1007</v>
      </c>
    </row>
    <row r="576" spans="1:4" x14ac:dyDescent="0.3">
      <c r="A576" t="s">
        <v>1565</v>
      </c>
      <c r="B576" t="s">
        <v>424</v>
      </c>
      <c r="C576" s="2">
        <v>45301</v>
      </c>
      <c r="D576" t="s">
        <v>990</v>
      </c>
    </row>
    <row r="577" spans="1:4" x14ac:dyDescent="0.3">
      <c r="A577" t="s">
        <v>1566</v>
      </c>
      <c r="B577" t="s">
        <v>936</v>
      </c>
      <c r="C577" s="2">
        <v>45628</v>
      </c>
      <c r="D577" t="s">
        <v>995</v>
      </c>
    </row>
    <row r="578" spans="1:4" x14ac:dyDescent="0.3">
      <c r="A578" t="s">
        <v>1567</v>
      </c>
      <c r="B578" t="s">
        <v>738</v>
      </c>
      <c r="C578" s="2">
        <v>45768</v>
      </c>
      <c r="D578" t="s">
        <v>995</v>
      </c>
    </row>
    <row r="579" spans="1:4" x14ac:dyDescent="0.3">
      <c r="A579" t="s">
        <v>1568</v>
      </c>
      <c r="B579" t="s">
        <v>920</v>
      </c>
      <c r="C579" s="2">
        <v>45762</v>
      </c>
      <c r="D579" t="s">
        <v>1007</v>
      </c>
    </row>
    <row r="580" spans="1:4" x14ac:dyDescent="0.3">
      <c r="A580" t="s">
        <v>1569</v>
      </c>
      <c r="B580" t="s">
        <v>635</v>
      </c>
      <c r="C580" s="2">
        <v>45413</v>
      </c>
      <c r="D580" t="s">
        <v>1007</v>
      </c>
    </row>
    <row r="581" spans="1:4" x14ac:dyDescent="0.3">
      <c r="A581" t="s">
        <v>1570</v>
      </c>
      <c r="B581" t="s">
        <v>825</v>
      </c>
      <c r="C581" s="2">
        <v>45693</v>
      </c>
      <c r="D581" t="s">
        <v>990</v>
      </c>
    </row>
    <row r="582" spans="1:4" x14ac:dyDescent="0.3">
      <c r="A582" t="s">
        <v>1571</v>
      </c>
      <c r="B582" t="s">
        <v>81</v>
      </c>
      <c r="C582" s="2">
        <v>45432</v>
      </c>
      <c r="D582" t="s">
        <v>2305</v>
      </c>
    </row>
    <row r="583" spans="1:4" x14ac:dyDescent="0.3">
      <c r="A583" t="s">
        <v>1572</v>
      </c>
      <c r="B583" t="s">
        <v>589</v>
      </c>
      <c r="C583" s="2">
        <v>45630</v>
      </c>
      <c r="D583" t="s">
        <v>995</v>
      </c>
    </row>
    <row r="584" spans="1:4" x14ac:dyDescent="0.3">
      <c r="A584" t="s">
        <v>1573</v>
      </c>
      <c r="B584" t="s">
        <v>916</v>
      </c>
      <c r="C584" s="2">
        <v>45499</v>
      </c>
      <c r="D584" t="s">
        <v>2305</v>
      </c>
    </row>
    <row r="585" spans="1:4" x14ac:dyDescent="0.3">
      <c r="A585" t="s">
        <v>1574</v>
      </c>
      <c r="B585" t="s">
        <v>416</v>
      </c>
      <c r="C585" s="2">
        <v>45741</v>
      </c>
      <c r="D585" t="s">
        <v>1007</v>
      </c>
    </row>
    <row r="586" spans="1:4" x14ac:dyDescent="0.3">
      <c r="A586" t="s">
        <v>1575</v>
      </c>
      <c r="B586" t="s">
        <v>369</v>
      </c>
      <c r="C586" s="2">
        <v>45573</v>
      </c>
      <c r="D586" t="s">
        <v>1007</v>
      </c>
    </row>
    <row r="587" spans="1:4" x14ac:dyDescent="0.3">
      <c r="A587" t="s">
        <v>1576</v>
      </c>
      <c r="B587" t="s">
        <v>109</v>
      </c>
      <c r="C587" s="2">
        <v>45362</v>
      </c>
      <c r="D587" t="s">
        <v>2305</v>
      </c>
    </row>
    <row r="588" spans="1:4" x14ac:dyDescent="0.3">
      <c r="A588" t="s">
        <v>1577</v>
      </c>
      <c r="B588" t="s">
        <v>369</v>
      </c>
      <c r="C588" s="2">
        <v>45505</v>
      </c>
      <c r="D588" t="s">
        <v>995</v>
      </c>
    </row>
    <row r="589" spans="1:4" x14ac:dyDescent="0.3">
      <c r="A589" t="s">
        <v>1578</v>
      </c>
      <c r="B589" t="s">
        <v>268</v>
      </c>
      <c r="C589" s="2">
        <v>45405</v>
      </c>
      <c r="D589" t="s">
        <v>992</v>
      </c>
    </row>
    <row r="590" spans="1:4" x14ac:dyDescent="0.3">
      <c r="A590" t="s">
        <v>1579</v>
      </c>
      <c r="B590" t="s">
        <v>431</v>
      </c>
      <c r="C590" s="2">
        <v>45565</v>
      </c>
      <c r="D590" t="s">
        <v>995</v>
      </c>
    </row>
    <row r="591" spans="1:4" x14ac:dyDescent="0.3">
      <c r="A591" t="s">
        <v>1580</v>
      </c>
      <c r="B591" t="s">
        <v>422</v>
      </c>
      <c r="C591" s="2">
        <v>45556</v>
      </c>
      <c r="D591" t="s">
        <v>2305</v>
      </c>
    </row>
    <row r="592" spans="1:4" x14ac:dyDescent="0.3">
      <c r="A592" t="s">
        <v>1581</v>
      </c>
      <c r="B592" t="s">
        <v>201</v>
      </c>
      <c r="C592" s="2">
        <v>45395</v>
      </c>
      <c r="D592" t="s">
        <v>1007</v>
      </c>
    </row>
    <row r="593" spans="1:4" x14ac:dyDescent="0.3">
      <c r="A593" t="s">
        <v>1582</v>
      </c>
      <c r="B593" t="s">
        <v>837</v>
      </c>
      <c r="C593" s="2">
        <v>45406</v>
      </c>
      <c r="D593" t="s">
        <v>992</v>
      </c>
    </row>
    <row r="594" spans="1:4" x14ac:dyDescent="0.3">
      <c r="A594" t="s">
        <v>1583</v>
      </c>
      <c r="B594" t="s">
        <v>892</v>
      </c>
      <c r="C594" s="2">
        <v>45643</v>
      </c>
      <c r="D594" t="s">
        <v>995</v>
      </c>
    </row>
    <row r="595" spans="1:4" x14ac:dyDescent="0.3">
      <c r="A595" t="s">
        <v>1584</v>
      </c>
      <c r="B595" t="s">
        <v>125</v>
      </c>
      <c r="C595" s="2">
        <v>45765</v>
      </c>
      <c r="D595" t="s">
        <v>995</v>
      </c>
    </row>
    <row r="596" spans="1:4" x14ac:dyDescent="0.3">
      <c r="A596" t="s">
        <v>1585</v>
      </c>
      <c r="B596" t="s">
        <v>93</v>
      </c>
      <c r="C596" s="2">
        <v>45373</v>
      </c>
      <c r="D596" t="s">
        <v>992</v>
      </c>
    </row>
    <row r="597" spans="1:4" x14ac:dyDescent="0.3">
      <c r="A597" t="s">
        <v>1586</v>
      </c>
      <c r="B597" t="s">
        <v>473</v>
      </c>
      <c r="C597" s="2">
        <v>45739</v>
      </c>
      <c r="D597" t="s">
        <v>990</v>
      </c>
    </row>
    <row r="598" spans="1:4" x14ac:dyDescent="0.3">
      <c r="A598" t="s">
        <v>1587</v>
      </c>
      <c r="B598" t="s">
        <v>316</v>
      </c>
      <c r="C598" s="2">
        <v>45450</v>
      </c>
      <c r="D598" t="s">
        <v>990</v>
      </c>
    </row>
    <row r="599" spans="1:4" x14ac:dyDescent="0.3">
      <c r="A599" t="s">
        <v>1588</v>
      </c>
      <c r="B599" t="s">
        <v>437</v>
      </c>
      <c r="C599" s="2">
        <v>45369</v>
      </c>
      <c r="D599" t="s">
        <v>995</v>
      </c>
    </row>
    <row r="600" spans="1:4" x14ac:dyDescent="0.3">
      <c r="A600" t="s">
        <v>1589</v>
      </c>
      <c r="B600" t="s">
        <v>789</v>
      </c>
      <c r="C600" s="2">
        <v>45790</v>
      </c>
      <c r="D600" t="s">
        <v>990</v>
      </c>
    </row>
    <row r="601" spans="1:4" x14ac:dyDescent="0.3">
      <c r="A601" t="s">
        <v>1590</v>
      </c>
      <c r="B601" t="s">
        <v>767</v>
      </c>
      <c r="C601" s="2">
        <v>45371</v>
      </c>
      <c r="D601" t="s">
        <v>992</v>
      </c>
    </row>
    <row r="602" spans="1:4" x14ac:dyDescent="0.3">
      <c r="A602" t="s">
        <v>1591</v>
      </c>
      <c r="B602" t="s">
        <v>454</v>
      </c>
      <c r="C602" s="2">
        <v>45303</v>
      </c>
      <c r="D602" t="s">
        <v>1007</v>
      </c>
    </row>
    <row r="603" spans="1:4" x14ac:dyDescent="0.3">
      <c r="A603" t="s">
        <v>1592</v>
      </c>
      <c r="B603" t="s">
        <v>404</v>
      </c>
      <c r="C603" s="2">
        <v>45529</v>
      </c>
      <c r="D603" t="s">
        <v>995</v>
      </c>
    </row>
    <row r="604" spans="1:4" x14ac:dyDescent="0.3">
      <c r="A604" t="s">
        <v>1593</v>
      </c>
      <c r="B604" t="s">
        <v>867</v>
      </c>
      <c r="C604" s="2">
        <v>45462</v>
      </c>
      <c r="D604" t="s">
        <v>990</v>
      </c>
    </row>
    <row r="605" spans="1:4" x14ac:dyDescent="0.3">
      <c r="A605" t="s">
        <v>1594</v>
      </c>
      <c r="B605" t="s">
        <v>239</v>
      </c>
      <c r="C605" s="2">
        <v>45311</v>
      </c>
      <c r="D605" t="s">
        <v>1007</v>
      </c>
    </row>
    <row r="606" spans="1:4" x14ac:dyDescent="0.3">
      <c r="A606" t="s">
        <v>1595</v>
      </c>
      <c r="B606" t="s">
        <v>430</v>
      </c>
      <c r="C606" s="2">
        <v>45303</v>
      </c>
      <c r="D606" t="s">
        <v>1007</v>
      </c>
    </row>
    <row r="607" spans="1:4" x14ac:dyDescent="0.3">
      <c r="A607" t="s">
        <v>1596</v>
      </c>
      <c r="B607" t="s">
        <v>587</v>
      </c>
      <c r="C607" s="2">
        <v>45542</v>
      </c>
      <c r="D607" t="s">
        <v>1007</v>
      </c>
    </row>
    <row r="608" spans="1:4" x14ac:dyDescent="0.3">
      <c r="A608" t="s">
        <v>1597</v>
      </c>
      <c r="B608" t="s">
        <v>441</v>
      </c>
      <c r="C608" s="2">
        <v>45747</v>
      </c>
      <c r="D608" t="s">
        <v>995</v>
      </c>
    </row>
    <row r="609" spans="1:4" x14ac:dyDescent="0.3">
      <c r="A609" t="s">
        <v>1598</v>
      </c>
      <c r="B609" t="s">
        <v>977</v>
      </c>
      <c r="C609" s="2">
        <v>45435</v>
      </c>
      <c r="D609" t="s">
        <v>1007</v>
      </c>
    </row>
    <row r="610" spans="1:4" x14ac:dyDescent="0.3">
      <c r="A610" t="s">
        <v>1599</v>
      </c>
      <c r="B610" t="s">
        <v>412</v>
      </c>
      <c r="C610" s="2">
        <v>45363</v>
      </c>
      <c r="D610" t="s">
        <v>992</v>
      </c>
    </row>
    <row r="611" spans="1:4" x14ac:dyDescent="0.3">
      <c r="A611" t="s">
        <v>1600</v>
      </c>
      <c r="B611" t="s">
        <v>462</v>
      </c>
      <c r="C611" s="2">
        <v>45588</v>
      </c>
      <c r="D611" t="s">
        <v>1007</v>
      </c>
    </row>
    <row r="612" spans="1:4" x14ac:dyDescent="0.3">
      <c r="A612" t="s">
        <v>1601</v>
      </c>
      <c r="B612" t="s">
        <v>212</v>
      </c>
      <c r="C612" s="2">
        <v>45787</v>
      </c>
      <c r="D612" t="s">
        <v>990</v>
      </c>
    </row>
    <row r="613" spans="1:4" x14ac:dyDescent="0.3">
      <c r="A613" t="s">
        <v>1602</v>
      </c>
      <c r="B613" t="s">
        <v>398</v>
      </c>
      <c r="C613" s="2">
        <v>45775</v>
      </c>
      <c r="D613" t="s">
        <v>992</v>
      </c>
    </row>
    <row r="614" spans="1:4" x14ac:dyDescent="0.3">
      <c r="A614" t="s">
        <v>1603</v>
      </c>
      <c r="B614" t="s">
        <v>111</v>
      </c>
      <c r="C614" s="2">
        <v>45380</v>
      </c>
      <c r="D614" t="s">
        <v>990</v>
      </c>
    </row>
    <row r="615" spans="1:4" x14ac:dyDescent="0.3">
      <c r="A615" t="s">
        <v>1604</v>
      </c>
      <c r="B615" t="s">
        <v>906</v>
      </c>
      <c r="C615" s="2">
        <v>45538</v>
      </c>
      <c r="D615" t="s">
        <v>990</v>
      </c>
    </row>
    <row r="616" spans="1:4" x14ac:dyDescent="0.3">
      <c r="A616" t="s">
        <v>1605</v>
      </c>
      <c r="B616" t="s">
        <v>734</v>
      </c>
      <c r="C616" s="2">
        <v>45383</v>
      </c>
      <c r="D616" t="s">
        <v>992</v>
      </c>
    </row>
    <row r="617" spans="1:4" x14ac:dyDescent="0.3">
      <c r="A617" t="s">
        <v>1606</v>
      </c>
      <c r="B617" t="s">
        <v>150</v>
      </c>
      <c r="C617" s="2">
        <v>45778</v>
      </c>
      <c r="D617" t="s">
        <v>2305</v>
      </c>
    </row>
    <row r="618" spans="1:4" x14ac:dyDescent="0.3">
      <c r="A618" t="s">
        <v>1607</v>
      </c>
      <c r="B618" t="s">
        <v>201</v>
      </c>
      <c r="C618" s="2">
        <v>45674</v>
      </c>
      <c r="D618" t="s">
        <v>1007</v>
      </c>
    </row>
    <row r="619" spans="1:4" x14ac:dyDescent="0.3">
      <c r="A619" t="s">
        <v>1608</v>
      </c>
      <c r="B619" t="s">
        <v>332</v>
      </c>
      <c r="C619" s="2">
        <v>45596</v>
      </c>
      <c r="D619" t="s">
        <v>2305</v>
      </c>
    </row>
    <row r="620" spans="1:4" x14ac:dyDescent="0.3">
      <c r="A620" t="s">
        <v>1609</v>
      </c>
      <c r="B620" t="s">
        <v>81</v>
      </c>
      <c r="C620" s="2">
        <v>45309</v>
      </c>
      <c r="D620" t="s">
        <v>1007</v>
      </c>
    </row>
    <row r="621" spans="1:4" x14ac:dyDescent="0.3">
      <c r="A621" t="s">
        <v>1610</v>
      </c>
      <c r="B621" t="s">
        <v>833</v>
      </c>
      <c r="C621" s="2">
        <v>45623</v>
      </c>
      <c r="D621" t="s">
        <v>995</v>
      </c>
    </row>
    <row r="622" spans="1:4" x14ac:dyDescent="0.3">
      <c r="A622" t="s">
        <v>1611</v>
      </c>
      <c r="B622" t="s">
        <v>839</v>
      </c>
      <c r="C622" s="2">
        <v>45587</v>
      </c>
      <c r="D622" t="s">
        <v>1007</v>
      </c>
    </row>
    <row r="623" spans="1:4" x14ac:dyDescent="0.3">
      <c r="A623" t="s">
        <v>1612</v>
      </c>
      <c r="B623" t="s">
        <v>756</v>
      </c>
      <c r="C623" s="2">
        <v>45839</v>
      </c>
      <c r="D623" t="s">
        <v>995</v>
      </c>
    </row>
    <row r="624" spans="1:4" x14ac:dyDescent="0.3">
      <c r="A624" t="s">
        <v>1613</v>
      </c>
      <c r="B624" t="s">
        <v>726</v>
      </c>
      <c r="C624" s="2">
        <v>45378</v>
      </c>
      <c r="D624" t="s">
        <v>1007</v>
      </c>
    </row>
    <row r="625" spans="1:4" x14ac:dyDescent="0.3">
      <c r="A625" t="s">
        <v>1614</v>
      </c>
      <c r="B625" t="s">
        <v>670</v>
      </c>
      <c r="C625" s="2">
        <v>45352</v>
      </c>
      <c r="D625" t="s">
        <v>2305</v>
      </c>
    </row>
    <row r="626" spans="1:4" x14ac:dyDescent="0.3">
      <c r="A626" t="s">
        <v>1615</v>
      </c>
      <c r="B626" t="s">
        <v>613</v>
      </c>
      <c r="C626" s="2">
        <v>45368</v>
      </c>
      <c r="D626" t="s">
        <v>1007</v>
      </c>
    </row>
    <row r="627" spans="1:4" x14ac:dyDescent="0.3">
      <c r="A627" t="s">
        <v>1616</v>
      </c>
      <c r="B627" t="s">
        <v>224</v>
      </c>
      <c r="C627" s="2">
        <v>45742</v>
      </c>
      <c r="D627" t="s">
        <v>1007</v>
      </c>
    </row>
    <row r="628" spans="1:4" x14ac:dyDescent="0.3">
      <c r="A628" t="s">
        <v>1617</v>
      </c>
      <c r="B628" t="s">
        <v>314</v>
      </c>
      <c r="C628" s="2">
        <v>45546</v>
      </c>
      <c r="D628" t="s">
        <v>1007</v>
      </c>
    </row>
    <row r="629" spans="1:4" x14ac:dyDescent="0.3">
      <c r="A629" t="s">
        <v>1618</v>
      </c>
      <c r="B629" t="s">
        <v>657</v>
      </c>
      <c r="C629" s="2">
        <v>45531</v>
      </c>
      <c r="D629" t="s">
        <v>995</v>
      </c>
    </row>
    <row r="630" spans="1:4" x14ac:dyDescent="0.3">
      <c r="A630" t="s">
        <v>1619</v>
      </c>
      <c r="B630" t="s">
        <v>95</v>
      </c>
      <c r="C630" s="2">
        <v>45551</v>
      </c>
      <c r="D630" t="s">
        <v>990</v>
      </c>
    </row>
    <row r="631" spans="1:4" x14ac:dyDescent="0.3">
      <c r="A631" t="s">
        <v>1620</v>
      </c>
      <c r="B631" t="s">
        <v>404</v>
      </c>
      <c r="C631" s="2">
        <v>45437</v>
      </c>
      <c r="D631" t="s">
        <v>995</v>
      </c>
    </row>
    <row r="632" spans="1:4" x14ac:dyDescent="0.3">
      <c r="A632" t="s">
        <v>1621</v>
      </c>
      <c r="B632" t="s">
        <v>264</v>
      </c>
      <c r="C632" s="2">
        <v>45757</v>
      </c>
      <c r="D632" t="s">
        <v>995</v>
      </c>
    </row>
    <row r="633" spans="1:4" x14ac:dyDescent="0.3">
      <c r="A633" t="s">
        <v>1622</v>
      </c>
      <c r="B633" t="s">
        <v>201</v>
      </c>
      <c r="C633" s="2">
        <v>45299</v>
      </c>
      <c r="D633" t="s">
        <v>1007</v>
      </c>
    </row>
    <row r="634" spans="1:4" x14ac:dyDescent="0.3">
      <c r="A634" t="s">
        <v>1623</v>
      </c>
      <c r="B634" t="s">
        <v>609</v>
      </c>
      <c r="C634" s="2">
        <v>45902</v>
      </c>
      <c r="D634" t="s">
        <v>995</v>
      </c>
    </row>
    <row r="635" spans="1:4" x14ac:dyDescent="0.3">
      <c r="A635" t="s">
        <v>1624</v>
      </c>
      <c r="B635" t="s">
        <v>466</v>
      </c>
      <c r="C635" s="2">
        <v>45336</v>
      </c>
      <c r="D635" t="s">
        <v>995</v>
      </c>
    </row>
    <row r="636" spans="1:4" x14ac:dyDescent="0.3">
      <c r="A636" t="s">
        <v>1625</v>
      </c>
      <c r="B636" t="s">
        <v>534</v>
      </c>
      <c r="C636" s="2">
        <v>45307</v>
      </c>
      <c r="D636" t="s">
        <v>990</v>
      </c>
    </row>
    <row r="637" spans="1:4" x14ac:dyDescent="0.3">
      <c r="A637" t="s">
        <v>1626</v>
      </c>
      <c r="B637" t="s">
        <v>230</v>
      </c>
      <c r="C637" s="2">
        <v>45441</v>
      </c>
      <c r="D637" t="s">
        <v>1007</v>
      </c>
    </row>
    <row r="638" spans="1:4" x14ac:dyDescent="0.3">
      <c r="A638" t="s">
        <v>1627</v>
      </c>
      <c r="B638" t="s">
        <v>180</v>
      </c>
      <c r="C638" s="2">
        <v>45424</v>
      </c>
      <c r="D638" t="s">
        <v>995</v>
      </c>
    </row>
    <row r="639" spans="1:4" x14ac:dyDescent="0.3">
      <c r="A639" t="s">
        <v>1628</v>
      </c>
      <c r="B639" t="s">
        <v>475</v>
      </c>
      <c r="C639" s="2">
        <v>45387</v>
      </c>
      <c r="D639" t="s">
        <v>1007</v>
      </c>
    </row>
    <row r="640" spans="1:4" x14ac:dyDescent="0.3">
      <c r="A640" t="s">
        <v>1629</v>
      </c>
      <c r="B640" t="s">
        <v>497</v>
      </c>
      <c r="C640" s="2">
        <v>45475</v>
      </c>
      <c r="D640" t="s">
        <v>990</v>
      </c>
    </row>
    <row r="641" spans="1:4" x14ac:dyDescent="0.3">
      <c r="A641" t="s">
        <v>1630</v>
      </c>
      <c r="B641" t="s">
        <v>207</v>
      </c>
      <c r="C641" s="2">
        <v>45313</v>
      </c>
      <c r="D641" t="s">
        <v>995</v>
      </c>
    </row>
    <row r="642" spans="1:4" x14ac:dyDescent="0.3">
      <c r="A642" t="s">
        <v>1631</v>
      </c>
      <c r="B642" t="s">
        <v>613</v>
      </c>
      <c r="C642" s="2">
        <v>45467</v>
      </c>
      <c r="D642" t="s">
        <v>2305</v>
      </c>
    </row>
    <row r="643" spans="1:4" x14ac:dyDescent="0.3">
      <c r="A643" t="s">
        <v>1632</v>
      </c>
      <c r="B643" t="s">
        <v>375</v>
      </c>
      <c r="C643" s="2">
        <v>45297</v>
      </c>
      <c r="D643" t="s">
        <v>990</v>
      </c>
    </row>
    <row r="644" spans="1:4" x14ac:dyDescent="0.3">
      <c r="A644" t="s">
        <v>1633</v>
      </c>
      <c r="B644" t="s">
        <v>821</v>
      </c>
      <c r="C644" s="2">
        <v>45308</v>
      </c>
      <c r="D644" t="s">
        <v>995</v>
      </c>
    </row>
    <row r="645" spans="1:4" x14ac:dyDescent="0.3">
      <c r="A645" t="s">
        <v>1634</v>
      </c>
      <c r="B645" t="s">
        <v>305</v>
      </c>
      <c r="C645" s="2">
        <v>45931</v>
      </c>
      <c r="D645" t="s">
        <v>995</v>
      </c>
    </row>
    <row r="646" spans="1:4" x14ac:dyDescent="0.3">
      <c r="A646" t="s">
        <v>1635</v>
      </c>
      <c r="B646" t="s">
        <v>310</v>
      </c>
      <c r="C646" s="2">
        <v>45700</v>
      </c>
      <c r="D646" t="s">
        <v>995</v>
      </c>
    </row>
    <row r="647" spans="1:4" x14ac:dyDescent="0.3">
      <c r="A647" t="s">
        <v>1636</v>
      </c>
      <c r="B647" t="s">
        <v>416</v>
      </c>
      <c r="C647" s="2">
        <v>45393</v>
      </c>
      <c r="D647" t="s">
        <v>990</v>
      </c>
    </row>
    <row r="648" spans="1:4" x14ac:dyDescent="0.3">
      <c r="A648" t="s">
        <v>1637</v>
      </c>
      <c r="B648" t="s">
        <v>144</v>
      </c>
      <c r="C648" s="2">
        <v>45293</v>
      </c>
      <c r="D648" t="s">
        <v>1007</v>
      </c>
    </row>
    <row r="649" spans="1:4" x14ac:dyDescent="0.3">
      <c r="A649" t="s">
        <v>1638</v>
      </c>
      <c r="B649" t="s">
        <v>579</v>
      </c>
      <c r="C649" s="2">
        <v>45561</v>
      </c>
      <c r="D649" t="s">
        <v>1007</v>
      </c>
    </row>
    <row r="650" spans="1:4" x14ac:dyDescent="0.3">
      <c r="A650" t="s">
        <v>1639</v>
      </c>
      <c r="B650" t="s">
        <v>137</v>
      </c>
      <c r="C650" s="2">
        <v>45600</v>
      </c>
      <c r="D650" t="s">
        <v>1007</v>
      </c>
    </row>
    <row r="651" spans="1:4" x14ac:dyDescent="0.3">
      <c r="A651" t="s">
        <v>1640</v>
      </c>
      <c r="B651" t="s">
        <v>738</v>
      </c>
      <c r="C651" s="2">
        <v>45694</v>
      </c>
      <c r="D651" t="s">
        <v>1007</v>
      </c>
    </row>
    <row r="652" spans="1:4" x14ac:dyDescent="0.3">
      <c r="A652" t="s">
        <v>1641</v>
      </c>
      <c r="B652" t="s">
        <v>704</v>
      </c>
      <c r="C652" s="2">
        <v>45590</v>
      </c>
      <c r="D652" t="s">
        <v>2305</v>
      </c>
    </row>
    <row r="653" spans="1:4" x14ac:dyDescent="0.3">
      <c r="A653" t="s">
        <v>1642</v>
      </c>
      <c r="B653" t="s">
        <v>441</v>
      </c>
      <c r="C653" s="2">
        <v>45361</v>
      </c>
      <c r="D653" t="s">
        <v>992</v>
      </c>
    </row>
    <row r="654" spans="1:4" x14ac:dyDescent="0.3">
      <c r="A654" t="s">
        <v>1643</v>
      </c>
      <c r="B654" t="s">
        <v>117</v>
      </c>
      <c r="C654" s="2">
        <v>45673</v>
      </c>
      <c r="D654" t="s">
        <v>995</v>
      </c>
    </row>
    <row r="655" spans="1:4" x14ac:dyDescent="0.3">
      <c r="A655" t="s">
        <v>1644</v>
      </c>
      <c r="B655" t="s">
        <v>877</v>
      </c>
      <c r="C655" s="2">
        <v>45489</v>
      </c>
      <c r="D655" t="s">
        <v>992</v>
      </c>
    </row>
    <row r="656" spans="1:4" x14ac:dyDescent="0.3">
      <c r="A656" t="s">
        <v>1645</v>
      </c>
      <c r="B656" t="s">
        <v>241</v>
      </c>
      <c r="C656" s="2">
        <v>45326</v>
      </c>
      <c r="D656" t="s">
        <v>995</v>
      </c>
    </row>
    <row r="657" spans="1:4" x14ac:dyDescent="0.3">
      <c r="A657" t="s">
        <v>1646</v>
      </c>
      <c r="B657" t="s">
        <v>486</v>
      </c>
      <c r="C657" s="2">
        <v>45600</v>
      </c>
      <c r="D657" t="s">
        <v>2305</v>
      </c>
    </row>
    <row r="658" spans="1:4" x14ac:dyDescent="0.3">
      <c r="A658" t="s">
        <v>1647</v>
      </c>
      <c r="B658" t="s">
        <v>481</v>
      </c>
      <c r="C658" s="2">
        <v>45741</v>
      </c>
      <c r="D658" t="s">
        <v>1007</v>
      </c>
    </row>
    <row r="659" spans="1:4" x14ac:dyDescent="0.3">
      <c r="A659" t="s">
        <v>1648</v>
      </c>
      <c r="B659" t="s">
        <v>791</v>
      </c>
      <c r="C659" s="2">
        <v>45631</v>
      </c>
      <c r="D659" t="s">
        <v>990</v>
      </c>
    </row>
    <row r="660" spans="1:4" x14ac:dyDescent="0.3">
      <c r="A660" t="s">
        <v>1649</v>
      </c>
      <c r="B660" t="s">
        <v>765</v>
      </c>
      <c r="C660" s="2">
        <v>45499</v>
      </c>
      <c r="D660" t="s">
        <v>995</v>
      </c>
    </row>
    <row r="661" spans="1:4" x14ac:dyDescent="0.3">
      <c r="A661" t="s">
        <v>1650</v>
      </c>
      <c r="B661" t="s">
        <v>685</v>
      </c>
      <c r="C661" s="2">
        <v>45424</v>
      </c>
      <c r="D661" t="s">
        <v>990</v>
      </c>
    </row>
    <row r="662" spans="1:4" x14ac:dyDescent="0.3">
      <c r="A662" t="s">
        <v>1651</v>
      </c>
      <c r="B662" t="s">
        <v>617</v>
      </c>
      <c r="C662" s="2">
        <v>45294</v>
      </c>
      <c r="D662" t="s">
        <v>2305</v>
      </c>
    </row>
    <row r="663" spans="1:4" x14ac:dyDescent="0.3">
      <c r="A663" t="s">
        <v>1652</v>
      </c>
      <c r="B663" t="s">
        <v>40</v>
      </c>
      <c r="C663" s="2">
        <v>45778</v>
      </c>
      <c r="D663" t="s">
        <v>2305</v>
      </c>
    </row>
    <row r="664" spans="1:4" x14ac:dyDescent="0.3">
      <c r="A664" t="s">
        <v>1653</v>
      </c>
      <c r="B664" t="s">
        <v>845</v>
      </c>
      <c r="C664" s="2">
        <v>45502</v>
      </c>
      <c r="D664" t="s">
        <v>992</v>
      </c>
    </row>
    <row r="665" spans="1:4" x14ac:dyDescent="0.3">
      <c r="A665" t="s">
        <v>1654</v>
      </c>
      <c r="B665" t="s">
        <v>922</v>
      </c>
      <c r="C665" s="2">
        <v>45366</v>
      </c>
      <c r="D665" t="s">
        <v>995</v>
      </c>
    </row>
    <row r="666" spans="1:4" x14ac:dyDescent="0.3">
      <c r="A666" t="s">
        <v>1655</v>
      </c>
      <c r="B666" t="s">
        <v>178</v>
      </c>
      <c r="C666" s="2">
        <v>45473</v>
      </c>
      <c r="D666" t="s">
        <v>2305</v>
      </c>
    </row>
    <row r="667" spans="1:4" x14ac:dyDescent="0.3">
      <c r="A667" t="s">
        <v>1656</v>
      </c>
      <c r="B667" t="s">
        <v>75</v>
      </c>
      <c r="C667" s="2">
        <v>45441</v>
      </c>
      <c r="D667" t="s">
        <v>1007</v>
      </c>
    </row>
    <row r="668" spans="1:4" x14ac:dyDescent="0.3">
      <c r="A668" t="s">
        <v>1657</v>
      </c>
      <c r="B668" t="s">
        <v>548</v>
      </c>
      <c r="C668" s="2">
        <v>45416</v>
      </c>
      <c r="D668" t="s">
        <v>2305</v>
      </c>
    </row>
    <row r="669" spans="1:4" x14ac:dyDescent="0.3">
      <c r="A669" t="s">
        <v>1658</v>
      </c>
      <c r="B669" t="s">
        <v>823</v>
      </c>
      <c r="C669" s="2">
        <v>45394</v>
      </c>
      <c r="D669" t="s">
        <v>995</v>
      </c>
    </row>
    <row r="670" spans="1:4" x14ac:dyDescent="0.3">
      <c r="A670" t="s">
        <v>1659</v>
      </c>
      <c r="B670" t="s">
        <v>251</v>
      </c>
      <c r="C670" s="2">
        <v>45402</v>
      </c>
      <c r="D670" t="s">
        <v>1007</v>
      </c>
    </row>
    <row r="671" spans="1:4" x14ac:dyDescent="0.3">
      <c r="A671" t="s">
        <v>1660</v>
      </c>
      <c r="B671" t="s">
        <v>758</v>
      </c>
      <c r="C671" s="2">
        <v>45713</v>
      </c>
      <c r="D671" t="s">
        <v>990</v>
      </c>
    </row>
    <row r="672" spans="1:4" x14ac:dyDescent="0.3">
      <c r="A672" t="s">
        <v>1661</v>
      </c>
      <c r="B672" t="s">
        <v>548</v>
      </c>
      <c r="C672" s="2">
        <v>45462</v>
      </c>
      <c r="D672" t="s">
        <v>990</v>
      </c>
    </row>
    <row r="673" spans="1:4" x14ac:dyDescent="0.3">
      <c r="A673" t="s">
        <v>1662</v>
      </c>
      <c r="B673" t="s">
        <v>344</v>
      </c>
      <c r="C673" s="2">
        <v>45406</v>
      </c>
      <c r="D673" t="s">
        <v>990</v>
      </c>
    </row>
    <row r="674" spans="1:4" x14ac:dyDescent="0.3">
      <c r="A674" t="s">
        <v>1663</v>
      </c>
      <c r="B674" t="s">
        <v>623</v>
      </c>
      <c r="C674" s="2">
        <v>45547</v>
      </c>
      <c r="D674" t="s">
        <v>995</v>
      </c>
    </row>
    <row r="675" spans="1:4" x14ac:dyDescent="0.3">
      <c r="A675" t="s">
        <v>1664</v>
      </c>
      <c r="B675" t="s">
        <v>334</v>
      </c>
      <c r="C675" s="2">
        <v>45492</v>
      </c>
      <c r="D675" t="s">
        <v>1007</v>
      </c>
    </row>
    <row r="676" spans="1:4" x14ac:dyDescent="0.3">
      <c r="A676" t="s">
        <v>1665</v>
      </c>
      <c r="B676" t="s">
        <v>4</v>
      </c>
      <c r="C676" s="2">
        <v>45728</v>
      </c>
      <c r="D676" t="s">
        <v>1007</v>
      </c>
    </row>
    <row r="677" spans="1:4" x14ac:dyDescent="0.3">
      <c r="A677" t="s">
        <v>1666</v>
      </c>
      <c r="B677" t="s">
        <v>497</v>
      </c>
      <c r="C677" s="2">
        <v>45524</v>
      </c>
      <c r="D677" t="s">
        <v>992</v>
      </c>
    </row>
    <row r="678" spans="1:4" x14ac:dyDescent="0.3">
      <c r="A678" t="s">
        <v>1667</v>
      </c>
      <c r="B678" t="s">
        <v>710</v>
      </c>
      <c r="C678" s="2">
        <v>45638</v>
      </c>
      <c r="D678" t="s">
        <v>990</v>
      </c>
    </row>
    <row r="679" spans="1:4" x14ac:dyDescent="0.3">
      <c r="A679" t="s">
        <v>1668</v>
      </c>
      <c r="B679" t="s">
        <v>280</v>
      </c>
      <c r="C679" s="2">
        <v>45767</v>
      </c>
      <c r="D679" t="s">
        <v>990</v>
      </c>
    </row>
    <row r="680" spans="1:4" x14ac:dyDescent="0.3">
      <c r="A680" t="s">
        <v>1669</v>
      </c>
      <c r="B680" t="s">
        <v>162</v>
      </c>
      <c r="C680" s="2">
        <v>45555</v>
      </c>
      <c r="D680" t="s">
        <v>990</v>
      </c>
    </row>
    <row r="681" spans="1:4" x14ac:dyDescent="0.3">
      <c r="A681" t="s">
        <v>1670</v>
      </c>
      <c r="B681" t="s">
        <v>894</v>
      </c>
      <c r="C681" s="2">
        <v>45428</v>
      </c>
      <c r="D681" t="s">
        <v>990</v>
      </c>
    </row>
    <row r="682" spans="1:4" x14ac:dyDescent="0.3">
      <c r="A682" t="s">
        <v>1671</v>
      </c>
      <c r="B682" t="s">
        <v>617</v>
      </c>
      <c r="C682" s="2">
        <v>45394</v>
      </c>
      <c r="D682" t="s">
        <v>990</v>
      </c>
    </row>
    <row r="683" spans="1:4" x14ac:dyDescent="0.3">
      <c r="A683" t="s">
        <v>1672</v>
      </c>
      <c r="B683" t="s">
        <v>131</v>
      </c>
      <c r="C683" s="2">
        <v>45904</v>
      </c>
      <c r="D683" t="s">
        <v>2305</v>
      </c>
    </row>
    <row r="684" spans="1:4" x14ac:dyDescent="0.3">
      <c r="A684" t="s">
        <v>1673</v>
      </c>
      <c r="B684" t="s">
        <v>312</v>
      </c>
      <c r="C684" s="2">
        <v>45419</v>
      </c>
      <c r="D684" t="s">
        <v>1007</v>
      </c>
    </row>
    <row r="685" spans="1:4" x14ac:dyDescent="0.3">
      <c r="A685" t="s">
        <v>1674</v>
      </c>
      <c r="B685" t="s">
        <v>125</v>
      </c>
      <c r="C685" s="2">
        <v>45740</v>
      </c>
      <c r="D685" t="s">
        <v>1007</v>
      </c>
    </row>
    <row r="686" spans="1:4" x14ac:dyDescent="0.3">
      <c r="A686" t="s">
        <v>1675</v>
      </c>
      <c r="B686" t="s">
        <v>761</v>
      </c>
      <c r="C686" s="2">
        <v>45521</v>
      </c>
      <c r="D686" t="s">
        <v>995</v>
      </c>
    </row>
    <row r="687" spans="1:4" x14ac:dyDescent="0.3">
      <c r="A687" t="s">
        <v>1676</v>
      </c>
      <c r="B687" t="s">
        <v>924</v>
      </c>
      <c r="C687" s="2">
        <v>45309</v>
      </c>
      <c r="D687" t="s">
        <v>2305</v>
      </c>
    </row>
    <row r="688" spans="1:4" x14ac:dyDescent="0.3">
      <c r="A688" t="s">
        <v>1677</v>
      </c>
      <c r="B688" t="s">
        <v>284</v>
      </c>
      <c r="C688" s="2">
        <v>45295</v>
      </c>
      <c r="D688" t="s">
        <v>995</v>
      </c>
    </row>
    <row r="689" spans="1:4" x14ac:dyDescent="0.3">
      <c r="A689" t="s">
        <v>1678</v>
      </c>
      <c r="B689" t="s">
        <v>385</v>
      </c>
      <c r="C689" s="2">
        <v>45592</v>
      </c>
      <c r="D689" t="s">
        <v>1007</v>
      </c>
    </row>
    <row r="690" spans="1:4" x14ac:dyDescent="0.3">
      <c r="A690" t="s">
        <v>1679</v>
      </c>
      <c r="B690" t="s">
        <v>791</v>
      </c>
      <c r="C690" s="2">
        <v>45380</v>
      </c>
      <c r="D690" t="s">
        <v>992</v>
      </c>
    </row>
    <row r="691" spans="1:4" x14ac:dyDescent="0.3">
      <c r="A691" t="s">
        <v>1680</v>
      </c>
      <c r="B691" t="s">
        <v>490</v>
      </c>
      <c r="C691" s="2">
        <v>45441</v>
      </c>
      <c r="D691" t="s">
        <v>1007</v>
      </c>
    </row>
    <row r="692" spans="1:4" x14ac:dyDescent="0.3">
      <c r="A692" t="s">
        <v>1681</v>
      </c>
      <c r="B692" t="s">
        <v>848</v>
      </c>
      <c r="C692" s="2">
        <v>45572</v>
      </c>
      <c r="D692" t="s">
        <v>1007</v>
      </c>
    </row>
    <row r="693" spans="1:4" x14ac:dyDescent="0.3">
      <c r="A693" t="s">
        <v>1682</v>
      </c>
      <c r="B693" t="s">
        <v>767</v>
      </c>
      <c r="C693" s="2">
        <v>45544</v>
      </c>
      <c r="D693" t="s">
        <v>990</v>
      </c>
    </row>
    <row r="694" spans="1:4" x14ac:dyDescent="0.3">
      <c r="A694" t="s">
        <v>1683</v>
      </c>
      <c r="B694" t="s">
        <v>562</v>
      </c>
      <c r="C694" s="2">
        <v>45457</v>
      </c>
      <c r="D694" t="s">
        <v>2305</v>
      </c>
    </row>
    <row r="695" spans="1:4" x14ac:dyDescent="0.3">
      <c r="A695" t="s">
        <v>1684</v>
      </c>
      <c r="B695" t="s">
        <v>107</v>
      </c>
      <c r="C695" s="2">
        <v>45932</v>
      </c>
      <c r="D695" t="s">
        <v>990</v>
      </c>
    </row>
    <row r="696" spans="1:4" x14ac:dyDescent="0.3">
      <c r="A696" t="s">
        <v>1685</v>
      </c>
      <c r="B696" t="s">
        <v>290</v>
      </c>
      <c r="C696" s="2">
        <v>45630</v>
      </c>
      <c r="D696" t="s">
        <v>1007</v>
      </c>
    </row>
    <row r="697" spans="1:4" x14ac:dyDescent="0.3">
      <c r="A697" t="s">
        <v>1686</v>
      </c>
      <c r="B697" t="s">
        <v>334</v>
      </c>
      <c r="C697" s="2">
        <v>45449</v>
      </c>
      <c r="D697" t="s">
        <v>995</v>
      </c>
    </row>
    <row r="698" spans="1:4" x14ac:dyDescent="0.3">
      <c r="A698" t="s">
        <v>1687</v>
      </c>
      <c r="B698" t="s">
        <v>631</v>
      </c>
      <c r="C698" s="2">
        <v>45756</v>
      </c>
      <c r="D698" t="s">
        <v>992</v>
      </c>
    </row>
    <row r="699" spans="1:4" x14ac:dyDescent="0.3">
      <c r="A699" t="s">
        <v>1688</v>
      </c>
      <c r="B699" t="s">
        <v>773</v>
      </c>
      <c r="C699" s="2">
        <v>45689</v>
      </c>
      <c r="D699" t="s">
        <v>995</v>
      </c>
    </row>
    <row r="700" spans="1:4" x14ac:dyDescent="0.3">
      <c r="A700" t="s">
        <v>1689</v>
      </c>
      <c r="B700" t="s">
        <v>550</v>
      </c>
      <c r="C700" s="2">
        <v>45450</v>
      </c>
      <c r="D700" t="s">
        <v>995</v>
      </c>
    </row>
    <row r="701" spans="1:4" x14ac:dyDescent="0.3">
      <c r="A701" t="s">
        <v>1690</v>
      </c>
      <c r="B701" t="s">
        <v>649</v>
      </c>
      <c r="C701" s="2">
        <v>45767</v>
      </c>
      <c r="D701" t="s">
        <v>990</v>
      </c>
    </row>
    <row r="702" spans="1:4" x14ac:dyDescent="0.3">
      <c r="A702" t="s">
        <v>1691</v>
      </c>
      <c r="B702" t="s">
        <v>228</v>
      </c>
      <c r="C702" s="2">
        <v>45640</v>
      </c>
      <c r="D702" t="s">
        <v>990</v>
      </c>
    </row>
    <row r="703" spans="1:4" x14ac:dyDescent="0.3">
      <c r="A703" t="s">
        <v>1692</v>
      </c>
      <c r="B703" t="s">
        <v>795</v>
      </c>
      <c r="C703" s="2">
        <v>45455</v>
      </c>
      <c r="D703" t="s">
        <v>2305</v>
      </c>
    </row>
    <row r="704" spans="1:4" x14ac:dyDescent="0.3">
      <c r="A704" t="s">
        <v>1693</v>
      </c>
      <c r="B704" t="s">
        <v>540</v>
      </c>
      <c r="C704" s="2">
        <v>45349</v>
      </c>
      <c r="D704" t="s">
        <v>2305</v>
      </c>
    </row>
    <row r="705" spans="1:4" x14ac:dyDescent="0.3">
      <c r="A705" t="s">
        <v>1694</v>
      </c>
      <c r="B705" t="s">
        <v>359</v>
      </c>
      <c r="C705" s="2">
        <v>45720</v>
      </c>
      <c r="D705" t="s">
        <v>995</v>
      </c>
    </row>
    <row r="706" spans="1:4" x14ac:dyDescent="0.3">
      <c r="A706" t="s">
        <v>1695</v>
      </c>
      <c r="B706" t="s">
        <v>637</v>
      </c>
      <c r="C706" s="2">
        <v>45314</v>
      </c>
      <c r="D706" t="s">
        <v>992</v>
      </c>
    </row>
    <row r="707" spans="1:4" x14ac:dyDescent="0.3">
      <c r="A707" t="s">
        <v>1696</v>
      </c>
      <c r="B707" t="s">
        <v>948</v>
      </c>
      <c r="C707" s="2">
        <v>45394</v>
      </c>
      <c r="D707" t="s">
        <v>990</v>
      </c>
    </row>
    <row r="708" spans="1:4" x14ac:dyDescent="0.3">
      <c r="A708" t="s">
        <v>1697</v>
      </c>
      <c r="B708" t="s">
        <v>164</v>
      </c>
      <c r="C708" s="2">
        <v>45432</v>
      </c>
      <c r="D708" t="s">
        <v>990</v>
      </c>
    </row>
    <row r="709" spans="1:4" x14ac:dyDescent="0.3">
      <c r="A709" t="s">
        <v>1698</v>
      </c>
      <c r="B709" t="s">
        <v>799</v>
      </c>
      <c r="C709" s="2">
        <v>45563</v>
      </c>
      <c r="D709" t="s">
        <v>1007</v>
      </c>
    </row>
    <row r="710" spans="1:4" x14ac:dyDescent="0.3">
      <c r="A710" t="s">
        <v>1699</v>
      </c>
      <c r="B710" t="s">
        <v>525</v>
      </c>
      <c r="C710" s="2">
        <v>45522</v>
      </c>
      <c r="D710" t="s">
        <v>1007</v>
      </c>
    </row>
    <row r="711" spans="1:4" x14ac:dyDescent="0.3">
      <c r="A711" t="s">
        <v>1700</v>
      </c>
      <c r="B711" t="s">
        <v>617</v>
      </c>
      <c r="C711" s="2">
        <v>45473</v>
      </c>
      <c r="D711" t="s">
        <v>990</v>
      </c>
    </row>
    <row r="712" spans="1:4" x14ac:dyDescent="0.3">
      <c r="A712" t="s">
        <v>1701</v>
      </c>
      <c r="B712" t="s">
        <v>536</v>
      </c>
      <c r="C712" s="2">
        <v>45416</v>
      </c>
      <c r="D712" t="s">
        <v>1007</v>
      </c>
    </row>
    <row r="713" spans="1:4" x14ac:dyDescent="0.3">
      <c r="A713" t="s">
        <v>1702</v>
      </c>
      <c r="B713" t="s">
        <v>833</v>
      </c>
      <c r="C713" s="2">
        <v>45719</v>
      </c>
      <c r="D713" t="s">
        <v>1007</v>
      </c>
    </row>
    <row r="714" spans="1:4" x14ac:dyDescent="0.3">
      <c r="A714" t="s">
        <v>1703</v>
      </c>
      <c r="B714" t="s">
        <v>621</v>
      </c>
      <c r="C714" s="2">
        <v>45376</v>
      </c>
      <c r="D714" t="s">
        <v>995</v>
      </c>
    </row>
    <row r="715" spans="1:4" x14ac:dyDescent="0.3">
      <c r="A715" t="s">
        <v>1704</v>
      </c>
      <c r="B715" t="s">
        <v>245</v>
      </c>
      <c r="C715" s="2">
        <v>45688</v>
      </c>
      <c r="D715" t="s">
        <v>990</v>
      </c>
    </row>
    <row r="716" spans="1:4" x14ac:dyDescent="0.3">
      <c r="A716" t="s">
        <v>1705</v>
      </c>
      <c r="B716" t="s">
        <v>689</v>
      </c>
      <c r="C716" s="2">
        <v>45496</v>
      </c>
      <c r="D716" t="s">
        <v>2305</v>
      </c>
    </row>
    <row r="717" spans="1:4" x14ac:dyDescent="0.3">
      <c r="A717" t="s">
        <v>1706</v>
      </c>
      <c r="B717" t="s">
        <v>680</v>
      </c>
      <c r="C717" s="2">
        <v>45471</v>
      </c>
      <c r="D717" t="s">
        <v>995</v>
      </c>
    </row>
    <row r="718" spans="1:4" x14ac:dyDescent="0.3">
      <c r="A718" t="s">
        <v>1707</v>
      </c>
      <c r="B718" t="s">
        <v>835</v>
      </c>
      <c r="C718" s="2">
        <v>45634</v>
      </c>
      <c r="D718" t="s">
        <v>995</v>
      </c>
    </row>
    <row r="719" spans="1:4" x14ac:dyDescent="0.3">
      <c r="A719" t="s">
        <v>1708</v>
      </c>
      <c r="B719" t="s">
        <v>435</v>
      </c>
      <c r="C719" s="2">
        <v>45465</v>
      </c>
      <c r="D719" t="s">
        <v>1007</v>
      </c>
    </row>
    <row r="720" spans="1:4" x14ac:dyDescent="0.3">
      <c r="A720" t="s">
        <v>1709</v>
      </c>
      <c r="B720" t="s">
        <v>835</v>
      </c>
      <c r="C720" s="2">
        <v>45384</v>
      </c>
      <c r="D720" t="s">
        <v>1007</v>
      </c>
    </row>
    <row r="721" spans="1:4" x14ac:dyDescent="0.3">
      <c r="A721" t="s">
        <v>1710</v>
      </c>
      <c r="B721" t="s">
        <v>479</v>
      </c>
      <c r="C721" s="2">
        <v>45587</v>
      </c>
      <c r="D721" t="s">
        <v>990</v>
      </c>
    </row>
    <row r="722" spans="1:4" x14ac:dyDescent="0.3">
      <c r="A722" t="s">
        <v>1711</v>
      </c>
      <c r="B722" t="s">
        <v>437</v>
      </c>
      <c r="C722" s="2">
        <v>45585</v>
      </c>
      <c r="D722" t="s">
        <v>992</v>
      </c>
    </row>
    <row r="723" spans="1:4" x14ac:dyDescent="0.3">
      <c r="A723" t="s">
        <v>1712</v>
      </c>
      <c r="B723" t="s">
        <v>274</v>
      </c>
      <c r="C723" s="2">
        <v>45369</v>
      </c>
      <c r="D723" t="s">
        <v>995</v>
      </c>
    </row>
    <row r="724" spans="1:4" x14ac:dyDescent="0.3">
      <c r="A724" t="s">
        <v>1713</v>
      </c>
      <c r="B724" t="s">
        <v>864</v>
      </c>
      <c r="C724" s="2">
        <v>45355</v>
      </c>
      <c r="D724" t="s">
        <v>1007</v>
      </c>
    </row>
    <row r="725" spans="1:4" x14ac:dyDescent="0.3">
      <c r="A725" t="s">
        <v>1714</v>
      </c>
      <c r="B725" t="s">
        <v>769</v>
      </c>
      <c r="C725" s="2">
        <v>45741</v>
      </c>
      <c r="D725" t="s">
        <v>995</v>
      </c>
    </row>
    <row r="726" spans="1:4" x14ac:dyDescent="0.3">
      <c r="A726" t="s">
        <v>1715</v>
      </c>
      <c r="B726" t="s">
        <v>775</v>
      </c>
      <c r="C726" s="2">
        <v>45605</v>
      </c>
      <c r="D726" t="s">
        <v>1007</v>
      </c>
    </row>
    <row r="727" spans="1:4" x14ac:dyDescent="0.3">
      <c r="A727" t="s">
        <v>1716</v>
      </c>
      <c r="B727" t="s">
        <v>552</v>
      </c>
      <c r="C727" s="2">
        <v>45603</v>
      </c>
      <c r="D727" t="s">
        <v>995</v>
      </c>
    </row>
    <row r="728" spans="1:4" x14ac:dyDescent="0.3">
      <c r="A728" t="s">
        <v>1717</v>
      </c>
      <c r="B728" t="s">
        <v>625</v>
      </c>
      <c r="C728" s="2">
        <v>45340</v>
      </c>
      <c r="D728" t="s">
        <v>1007</v>
      </c>
    </row>
    <row r="729" spans="1:4" x14ac:dyDescent="0.3">
      <c r="A729" t="s">
        <v>1718</v>
      </c>
      <c r="B729" t="s">
        <v>726</v>
      </c>
      <c r="C729" s="2">
        <v>45627</v>
      </c>
      <c r="D729" t="s">
        <v>1007</v>
      </c>
    </row>
    <row r="730" spans="1:4" x14ac:dyDescent="0.3">
      <c r="A730" t="s">
        <v>1719</v>
      </c>
      <c r="B730" t="s">
        <v>253</v>
      </c>
      <c r="C730" s="2">
        <v>45721</v>
      </c>
      <c r="D730" t="s">
        <v>995</v>
      </c>
    </row>
    <row r="731" spans="1:4" x14ac:dyDescent="0.3">
      <c r="A731" t="s">
        <v>1720</v>
      </c>
      <c r="B731" t="s">
        <v>10</v>
      </c>
      <c r="C731" s="2">
        <v>45526</v>
      </c>
      <c r="D731" t="s">
        <v>995</v>
      </c>
    </row>
    <row r="732" spans="1:4" x14ac:dyDescent="0.3">
      <c r="A732" t="s">
        <v>1721</v>
      </c>
      <c r="B732" t="s">
        <v>900</v>
      </c>
      <c r="C732" s="2">
        <v>45432</v>
      </c>
      <c r="D732" t="s">
        <v>1007</v>
      </c>
    </row>
    <row r="733" spans="1:4" x14ac:dyDescent="0.3">
      <c r="A733" t="s">
        <v>1722</v>
      </c>
      <c r="B733" t="s">
        <v>898</v>
      </c>
      <c r="C733" s="2">
        <v>45594</v>
      </c>
      <c r="D733" t="s">
        <v>1007</v>
      </c>
    </row>
    <row r="734" spans="1:4" x14ac:dyDescent="0.3">
      <c r="A734" t="s">
        <v>1723</v>
      </c>
      <c r="B734" t="s">
        <v>89</v>
      </c>
      <c r="C734" s="2">
        <v>45567</v>
      </c>
      <c r="D734" t="s">
        <v>1007</v>
      </c>
    </row>
    <row r="735" spans="1:4" x14ac:dyDescent="0.3">
      <c r="A735" t="s">
        <v>1724</v>
      </c>
      <c r="B735" t="s">
        <v>975</v>
      </c>
      <c r="C735" s="2">
        <v>45406</v>
      </c>
      <c r="D735" t="s">
        <v>990</v>
      </c>
    </row>
    <row r="736" spans="1:4" x14ac:dyDescent="0.3">
      <c r="A736" t="s">
        <v>1725</v>
      </c>
      <c r="B736" t="s">
        <v>668</v>
      </c>
      <c r="C736" s="2">
        <v>45563</v>
      </c>
      <c r="D736" t="s">
        <v>995</v>
      </c>
    </row>
    <row r="737" spans="1:4" x14ac:dyDescent="0.3">
      <c r="A737" t="s">
        <v>1726</v>
      </c>
      <c r="B737" t="s">
        <v>445</v>
      </c>
      <c r="C737" s="2">
        <v>45576</v>
      </c>
      <c r="D737" t="s">
        <v>992</v>
      </c>
    </row>
    <row r="738" spans="1:4" x14ac:dyDescent="0.3">
      <c r="A738" t="s">
        <v>1727</v>
      </c>
      <c r="B738" t="s">
        <v>70</v>
      </c>
      <c r="C738" s="2">
        <v>45406</v>
      </c>
      <c r="D738" t="s">
        <v>1007</v>
      </c>
    </row>
    <row r="739" spans="1:4" x14ac:dyDescent="0.3">
      <c r="A739" t="s">
        <v>1728</v>
      </c>
      <c r="B739" t="s">
        <v>950</v>
      </c>
      <c r="C739" s="2">
        <v>45429</v>
      </c>
      <c r="D739" t="s">
        <v>990</v>
      </c>
    </row>
    <row r="740" spans="1:4" x14ac:dyDescent="0.3">
      <c r="A740" t="s">
        <v>1729</v>
      </c>
      <c r="B740" t="s">
        <v>137</v>
      </c>
      <c r="C740" s="2">
        <v>45721</v>
      </c>
      <c r="D740" t="s">
        <v>992</v>
      </c>
    </row>
    <row r="741" spans="1:4" x14ac:dyDescent="0.3">
      <c r="A741" t="s">
        <v>1730</v>
      </c>
      <c r="B741" t="s">
        <v>190</v>
      </c>
      <c r="C741" s="2">
        <v>45591</v>
      </c>
      <c r="D741" t="s">
        <v>990</v>
      </c>
    </row>
    <row r="742" spans="1:4" x14ac:dyDescent="0.3">
      <c r="A742" t="s">
        <v>1731</v>
      </c>
      <c r="B742" t="s">
        <v>787</v>
      </c>
      <c r="C742" s="2">
        <v>45554</v>
      </c>
      <c r="D742" t="s">
        <v>990</v>
      </c>
    </row>
    <row r="743" spans="1:4" x14ac:dyDescent="0.3">
      <c r="A743" t="s">
        <v>1732</v>
      </c>
      <c r="B743" t="s">
        <v>460</v>
      </c>
      <c r="C743" s="2">
        <v>45633</v>
      </c>
      <c r="D743" t="s">
        <v>990</v>
      </c>
    </row>
    <row r="744" spans="1:4" x14ac:dyDescent="0.3">
      <c r="A744" t="s">
        <v>1733</v>
      </c>
      <c r="B744" t="s">
        <v>666</v>
      </c>
      <c r="C744" s="2">
        <v>45628</v>
      </c>
      <c r="D744" t="s">
        <v>1007</v>
      </c>
    </row>
    <row r="745" spans="1:4" x14ac:dyDescent="0.3">
      <c r="A745" t="s">
        <v>1734</v>
      </c>
      <c r="B745" t="s">
        <v>963</v>
      </c>
      <c r="C745" s="2">
        <v>45586</v>
      </c>
      <c r="D745" t="s">
        <v>990</v>
      </c>
    </row>
    <row r="746" spans="1:4" x14ac:dyDescent="0.3">
      <c r="A746" t="s">
        <v>1735</v>
      </c>
      <c r="B746" t="s">
        <v>914</v>
      </c>
      <c r="C746" s="2">
        <v>45966</v>
      </c>
      <c r="D746" t="s">
        <v>2305</v>
      </c>
    </row>
    <row r="747" spans="1:4" x14ac:dyDescent="0.3">
      <c r="A747" t="s">
        <v>1736</v>
      </c>
      <c r="B747" t="s">
        <v>391</v>
      </c>
      <c r="C747" s="2">
        <v>45466</v>
      </c>
      <c r="D747" t="s">
        <v>995</v>
      </c>
    </row>
    <row r="748" spans="1:4" x14ac:dyDescent="0.3">
      <c r="A748" t="s">
        <v>1737</v>
      </c>
      <c r="B748" t="s">
        <v>234</v>
      </c>
      <c r="C748" s="2">
        <v>45498</v>
      </c>
      <c r="D748" t="s">
        <v>992</v>
      </c>
    </row>
    <row r="749" spans="1:4" x14ac:dyDescent="0.3">
      <c r="A749" t="s">
        <v>1738</v>
      </c>
      <c r="B749" t="s">
        <v>396</v>
      </c>
      <c r="C749" s="2">
        <v>45537</v>
      </c>
      <c r="D749" t="s">
        <v>1007</v>
      </c>
    </row>
    <row r="750" spans="1:4" x14ac:dyDescent="0.3">
      <c r="A750" t="s">
        <v>1739</v>
      </c>
      <c r="B750" t="s">
        <v>884</v>
      </c>
      <c r="C750" s="2">
        <v>45690</v>
      </c>
      <c r="D750" t="s">
        <v>995</v>
      </c>
    </row>
    <row r="751" spans="1:4" x14ac:dyDescent="0.3">
      <c r="A751" t="s">
        <v>1740</v>
      </c>
      <c r="B751" t="s">
        <v>536</v>
      </c>
      <c r="C751" s="2">
        <v>45395</v>
      </c>
      <c r="D751" t="s">
        <v>992</v>
      </c>
    </row>
    <row r="752" spans="1:4" x14ac:dyDescent="0.3">
      <c r="A752" t="s">
        <v>1741</v>
      </c>
      <c r="B752" t="s">
        <v>55</v>
      </c>
      <c r="C752" s="2">
        <v>45763</v>
      </c>
      <c r="D752" t="s">
        <v>1007</v>
      </c>
    </row>
    <row r="753" spans="1:4" x14ac:dyDescent="0.3">
      <c r="A753" t="s">
        <v>1742</v>
      </c>
      <c r="B753" t="s">
        <v>137</v>
      </c>
      <c r="C753" s="2">
        <v>45473</v>
      </c>
      <c r="D753" t="s">
        <v>990</v>
      </c>
    </row>
    <row r="754" spans="1:4" x14ac:dyDescent="0.3">
      <c r="A754" t="s">
        <v>1743</v>
      </c>
      <c r="B754" t="s">
        <v>33</v>
      </c>
      <c r="C754" s="2">
        <v>45719</v>
      </c>
      <c r="D754" t="s">
        <v>992</v>
      </c>
    </row>
    <row r="755" spans="1:4" x14ac:dyDescent="0.3">
      <c r="A755" t="s">
        <v>1744</v>
      </c>
      <c r="B755" t="s">
        <v>716</v>
      </c>
      <c r="C755" s="2">
        <v>45613</v>
      </c>
      <c r="D755" t="s">
        <v>990</v>
      </c>
    </row>
    <row r="756" spans="1:4" x14ac:dyDescent="0.3">
      <c r="A756" t="s">
        <v>1745</v>
      </c>
      <c r="B756" t="s">
        <v>716</v>
      </c>
      <c r="C756" s="2">
        <v>45448</v>
      </c>
      <c r="D756" t="s">
        <v>1007</v>
      </c>
    </row>
    <row r="757" spans="1:4" x14ac:dyDescent="0.3">
      <c r="A757" t="s">
        <v>1746</v>
      </c>
      <c r="B757" t="s">
        <v>359</v>
      </c>
      <c r="C757" s="2">
        <v>45645</v>
      </c>
      <c r="D757" t="s">
        <v>990</v>
      </c>
    </row>
    <row r="758" spans="1:4" x14ac:dyDescent="0.3">
      <c r="A758" t="s">
        <v>1747</v>
      </c>
      <c r="B758" t="s">
        <v>68</v>
      </c>
      <c r="C758" s="2">
        <v>45703</v>
      </c>
      <c r="D758" t="s">
        <v>2305</v>
      </c>
    </row>
    <row r="759" spans="1:4" x14ac:dyDescent="0.3">
      <c r="A759" t="s">
        <v>1748</v>
      </c>
      <c r="B759" t="s">
        <v>214</v>
      </c>
      <c r="C759" s="2">
        <v>45467</v>
      </c>
      <c r="D759" t="s">
        <v>995</v>
      </c>
    </row>
    <row r="760" spans="1:4" x14ac:dyDescent="0.3">
      <c r="A760" t="s">
        <v>1749</v>
      </c>
      <c r="B760" t="s">
        <v>734</v>
      </c>
      <c r="C760" s="2">
        <v>45690</v>
      </c>
      <c r="D760" t="s">
        <v>2305</v>
      </c>
    </row>
    <row r="761" spans="1:4" x14ac:dyDescent="0.3">
      <c r="A761" t="s">
        <v>1750</v>
      </c>
      <c r="B761" t="s">
        <v>176</v>
      </c>
      <c r="C761" s="2">
        <v>45758</v>
      </c>
      <c r="D761" t="s">
        <v>990</v>
      </c>
    </row>
    <row r="762" spans="1:4" x14ac:dyDescent="0.3">
      <c r="A762" t="s">
        <v>1751</v>
      </c>
      <c r="B762" t="s">
        <v>959</v>
      </c>
      <c r="C762" s="2">
        <v>45751</v>
      </c>
      <c r="D762" t="s">
        <v>1007</v>
      </c>
    </row>
    <row r="763" spans="1:4" x14ac:dyDescent="0.3">
      <c r="A763" t="s">
        <v>1752</v>
      </c>
      <c r="B763" t="s">
        <v>509</v>
      </c>
      <c r="C763" s="2">
        <v>45552</v>
      </c>
      <c r="D763" t="s">
        <v>995</v>
      </c>
    </row>
    <row r="764" spans="1:4" x14ac:dyDescent="0.3">
      <c r="A764" t="s">
        <v>1753</v>
      </c>
      <c r="B764" t="s">
        <v>714</v>
      </c>
      <c r="C764" s="2">
        <v>45509</v>
      </c>
      <c r="D764" t="s">
        <v>1007</v>
      </c>
    </row>
    <row r="765" spans="1:4" x14ac:dyDescent="0.3">
      <c r="A765" t="s">
        <v>1754</v>
      </c>
      <c r="B765" t="s">
        <v>395</v>
      </c>
      <c r="C765" s="2">
        <v>45655</v>
      </c>
      <c r="D765" t="s">
        <v>990</v>
      </c>
    </row>
    <row r="766" spans="1:4" x14ac:dyDescent="0.3">
      <c r="A766" t="s">
        <v>1755</v>
      </c>
      <c r="B766" t="s">
        <v>775</v>
      </c>
      <c r="C766" s="2">
        <v>45374</v>
      </c>
      <c r="D766" t="s">
        <v>995</v>
      </c>
    </row>
    <row r="767" spans="1:4" x14ac:dyDescent="0.3">
      <c r="A767" t="s">
        <v>1756</v>
      </c>
      <c r="B767" t="s">
        <v>286</v>
      </c>
      <c r="C767" s="2">
        <v>45298</v>
      </c>
      <c r="D767" t="s">
        <v>995</v>
      </c>
    </row>
    <row r="768" spans="1:4" x14ac:dyDescent="0.3">
      <c r="A768" t="s">
        <v>1757</v>
      </c>
      <c r="B768" t="s">
        <v>765</v>
      </c>
      <c r="C768" s="2">
        <v>45306</v>
      </c>
      <c r="D768" t="s">
        <v>1007</v>
      </c>
    </row>
    <row r="769" spans="1:4" x14ac:dyDescent="0.3">
      <c r="A769" t="s">
        <v>1758</v>
      </c>
      <c r="B769" t="s">
        <v>934</v>
      </c>
      <c r="C769" s="2">
        <v>45691</v>
      </c>
      <c r="D769" t="s">
        <v>995</v>
      </c>
    </row>
    <row r="770" spans="1:4" x14ac:dyDescent="0.3">
      <c r="A770" t="s">
        <v>1759</v>
      </c>
      <c r="B770" t="s">
        <v>152</v>
      </c>
      <c r="C770" s="2">
        <v>45731</v>
      </c>
      <c r="D770" t="s">
        <v>990</v>
      </c>
    </row>
    <row r="771" spans="1:4" x14ac:dyDescent="0.3">
      <c r="A771" t="s">
        <v>1760</v>
      </c>
      <c r="B771" t="s">
        <v>930</v>
      </c>
      <c r="C771" s="2">
        <v>45421</v>
      </c>
      <c r="D771" t="s">
        <v>995</v>
      </c>
    </row>
    <row r="772" spans="1:4" x14ac:dyDescent="0.3">
      <c r="A772" t="s">
        <v>1761</v>
      </c>
      <c r="B772" t="s">
        <v>20</v>
      </c>
      <c r="C772" s="2">
        <v>45416</v>
      </c>
      <c r="D772" t="s">
        <v>990</v>
      </c>
    </row>
    <row r="773" spans="1:4" x14ac:dyDescent="0.3">
      <c r="A773" t="s">
        <v>1762</v>
      </c>
      <c r="B773" t="s">
        <v>771</v>
      </c>
      <c r="C773" s="2">
        <v>45742</v>
      </c>
      <c r="D773" t="s">
        <v>1007</v>
      </c>
    </row>
    <row r="774" spans="1:4" x14ac:dyDescent="0.3">
      <c r="A774" t="s">
        <v>1763</v>
      </c>
      <c r="B774" t="s">
        <v>262</v>
      </c>
      <c r="C774" s="2">
        <v>45775</v>
      </c>
      <c r="D774" t="s">
        <v>2305</v>
      </c>
    </row>
    <row r="775" spans="1:4" x14ac:dyDescent="0.3">
      <c r="A775" t="s">
        <v>1764</v>
      </c>
      <c r="B775" t="s">
        <v>920</v>
      </c>
      <c r="C775" s="2">
        <v>45584</v>
      </c>
      <c r="D775" t="s">
        <v>2305</v>
      </c>
    </row>
    <row r="776" spans="1:4" x14ac:dyDescent="0.3">
      <c r="A776" t="s">
        <v>1765</v>
      </c>
      <c r="B776" t="s">
        <v>146</v>
      </c>
      <c r="C776" s="2">
        <v>45583</v>
      </c>
      <c r="D776" t="s">
        <v>1007</v>
      </c>
    </row>
    <row r="777" spans="1:4" x14ac:dyDescent="0.3">
      <c r="A777" t="s">
        <v>1766</v>
      </c>
      <c r="B777" t="s">
        <v>948</v>
      </c>
      <c r="C777" s="2">
        <v>45378</v>
      </c>
      <c r="D777" t="s">
        <v>995</v>
      </c>
    </row>
    <row r="778" spans="1:4" x14ac:dyDescent="0.3">
      <c r="A778" t="s">
        <v>1767</v>
      </c>
      <c r="B778" t="s">
        <v>946</v>
      </c>
      <c r="C778" s="2">
        <v>45646</v>
      </c>
      <c r="D778" t="s">
        <v>995</v>
      </c>
    </row>
    <row r="779" spans="1:4" x14ac:dyDescent="0.3">
      <c r="A779" t="s">
        <v>1768</v>
      </c>
      <c r="B779" t="s">
        <v>247</v>
      </c>
      <c r="C779" s="2">
        <v>45757</v>
      </c>
      <c r="D779" t="s">
        <v>990</v>
      </c>
    </row>
    <row r="780" spans="1:4" x14ac:dyDescent="0.3">
      <c r="A780" t="s">
        <v>1769</v>
      </c>
      <c r="B780" t="s">
        <v>137</v>
      </c>
      <c r="C780" s="2">
        <v>45650</v>
      </c>
      <c r="D780" t="s">
        <v>995</v>
      </c>
    </row>
    <row r="781" spans="1:4" x14ac:dyDescent="0.3">
      <c r="A781" t="s">
        <v>1770</v>
      </c>
      <c r="B781" t="s">
        <v>15</v>
      </c>
      <c r="C781" s="2">
        <v>45492</v>
      </c>
      <c r="D781" t="s">
        <v>995</v>
      </c>
    </row>
    <row r="782" spans="1:4" x14ac:dyDescent="0.3">
      <c r="A782" t="s">
        <v>1771</v>
      </c>
      <c r="B782" t="s">
        <v>87</v>
      </c>
      <c r="C782" s="2">
        <v>45416</v>
      </c>
      <c r="D782" t="s">
        <v>995</v>
      </c>
    </row>
    <row r="783" spans="1:4" x14ac:dyDescent="0.3">
      <c r="A783" t="s">
        <v>1772</v>
      </c>
      <c r="B783" t="s">
        <v>4</v>
      </c>
      <c r="C783" s="2">
        <v>45311</v>
      </c>
      <c r="D783" t="s">
        <v>1007</v>
      </c>
    </row>
    <row r="784" spans="1:4" x14ac:dyDescent="0.3">
      <c r="A784" t="s">
        <v>1773</v>
      </c>
      <c r="B784" t="s">
        <v>811</v>
      </c>
      <c r="C784" s="2">
        <v>45415</v>
      </c>
      <c r="D784" t="s">
        <v>1007</v>
      </c>
    </row>
    <row r="785" spans="1:4" x14ac:dyDescent="0.3">
      <c r="A785" t="s">
        <v>1774</v>
      </c>
      <c r="B785" t="s">
        <v>835</v>
      </c>
      <c r="C785" s="2">
        <v>45426</v>
      </c>
      <c r="D785" t="s">
        <v>995</v>
      </c>
    </row>
    <row r="786" spans="1:4" x14ac:dyDescent="0.3">
      <c r="A786" t="s">
        <v>1775</v>
      </c>
      <c r="B786" t="s">
        <v>944</v>
      </c>
      <c r="C786" s="2">
        <v>45301</v>
      </c>
      <c r="D786" t="s">
        <v>1007</v>
      </c>
    </row>
    <row r="787" spans="1:4" x14ac:dyDescent="0.3">
      <c r="A787" t="s">
        <v>1776</v>
      </c>
      <c r="B787" t="s">
        <v>203</v>
      </c>
      <c r="C787" s="2">
        <v>45387</v>
      </c>
      <c r="D787" t="s">
        <v>995</v>
      </c>
    </row>
    <row r="788" spans="1:4" x14ac:dyDescent="0.3">
      <c r="A788" t="s">
        <v>1777</v>
      </c>
      <c r="B788" t="s">
        <v>655</v>
      </c>
      <c r="C788" s="2">
        <v>45346</v>
      </c>
      <c r="D788" t="s">
        <v>990</v>
      </c>
    </row>
    <row r="789" spans="1:4" x14ac:dyDescent="0.3">
      <c r="A789" t="s">
        <v>1778</v>
      </c>
      <c r="B789" t="s">
        <v>8</v>
      </c>
      <c r="C789" s="2">
        <v>45328</v>
      </c>
      <c r="D789" t="s">
        <v>1007</v>
      </c>
    </row>
    <row r="790" spans="1:4" x14ac:dyDescent="0.3">
      <c r="A790" t="s">
        <v>1779</v>
      </c>
      <c r="B790" t="s">
        <v>978</v>
      </c>
      <c r="C790" s="2">
        <v>45579</v>
      </c>
      <c r="D790" t="s">
        <v>1007</v>
      </c>
    </row>
    <row r="791" spans="1:4" x14ac:dyDescent="0.3">
      <c r="A791" t="s">
        <v>1780</v>
      </c>
      <c r="B791" t="s">
        <v>119</v>
      </c>
      <c r="C791" s="2">
        <v>45394</v>
      </c>
      <c r="D791" t="s">
        <v>992</v>
      </c>
    </row>
    <row r="792" spans="1:4" x14ac:dyDescent="0.3">
      <c r="A792" t="s">
        <v>1781</v>
      </c>
      <c r="B792" t="s">
        <v>922</v>
      </c>
      <c r="C792" s="2">
        <v>45495</v>
      </c>
      <c r="D792" t="s">
        <v>1007</v>
      </c>
    </row>
    <row r="793" spans="1:4" x14ac:dyDescent="0.3">
      <c r="A793" t="s">
        <v>1782</v>
      </c>
      <c r="B793" t="s">
        <v>426</v>
      </c>
      <c r="C793" s="2">
        <v>45304</v>
      </c>
      <c r="D793" t="s">
        <v>2305</v>
      </c>
    </row>
    <row r="794" spans="1:4" x14ac:dyDescent="0.3">
      <c r="A794" t="s">
        <v>1783</v>
      </c>
      <c r="B794" t="s">
        <v>426</v>
      </c>
      <c r="C794" s="2">
        <v>45354</v>
      </c>
      <c r="D794" t="s">
        <v>995</v>
      </c>
    </row>
    <row r="795" spans="1:4" x14ac:dyDescent="0.3">
      <c r="A795" t="s">
        <v>1784</v>
      </c>
      <c r="B795" t="s">
        <v>866</v>
      </c>
      <c r="C795" s="2">
        <v>45348</v>
      </c>
      <c r="D795" t="s">
        <v>1007</v>
      </c>
    </row>
    <row r="796" spans="1:4" x14ac:dyDescent="0.3">
      <c r="A796" t="s">
        <v>1785</v>
      </c>
      <c r="B796" t="s">
        <v>710</v>
      </c>
      <c r="C796" s="2">
        <v>45638</v>
      </c>
      <c r="D796" t="s">
        <v>1007</v>
      </c>
    </row>
    <row r="797" spans="1:4" x14ac:dyDescent="0.3">
      <c r="A797" t="s">
        <v>1786</v>
      </c>
      <c r="B797" t="s">
        <v>485</v>
      </c>
      <c r="C797" s="2">
        <v>45727</v>
      </c>
      <c r="D797" t="s">
        <v>1007</v>
      </c>
    </row>
    <row r="798" spans="1:4" x14ac:dyDescent="0.3">
      <c r="A798" t="s">
        <v>1787</v>
      </c>
      <c r="B798" t="s">
        <v>742</v>
      </c>
      <c r="C798" s="2">
        <v>45432</v>
      </c>
      <c r="D798" t="s">
        <v>992</v>
      </c>
    </row>
    <row r="799" spans="1:4" x14ac:dyDescent="0.3">
      <c r="A799" t="s">
        <v>1788</v>
      </c>
      <c r="B799" t="s">
        <v>597</v>
      </c>
      <c r="C799" s="2">
        <v>45367</v>
      </c>
      <c r="D799" t="s">
        <v>990</v>
      </c>
    </row>
    <row r="800" spans="1:4" x14ac:dyDescent="0.3">
      <c r="A800" t="s">
        <v>1789</v>
      </c>
      <c r="B800" t="s">
        <v>393</v>
      </c>
      <c r="C800" s="2">
        <v>45295</v>
      </c>
      <c r="D800" t="s">
        <v>1007</v>
      </c>
    </row>
    <row r="801" spans="1:4" x14ac:dyDescent="0.3">
      <c r="A801" t="s">
        <v>1790</v>
      </c>
      <c r="B801" t="s">
        <v>97</v>
      </c>
      <c r="C801" s="2">
        <v>45350</v>
      </c>
      <c r="D801" t="s">
        <v>995</v>
      </c>
    </row>
    <row r="802" spans="1:4" x14ac:dyDescent="0.3">
      <c r="A802" t="s">
        <v>1791</v>
      </c>
      <c r="B802" t="s">
        <v>777</v>
      </c>
      <c r="C802" s="2">
        <v>45525</v>
      </c>
      <c r="D802" t="s">
        <v>995</v>
      </c>
    </row>
    <row r="803" spans="1:4" x14ac:dyDescent="0.3">
      <c r="A803" t="s">
        <v>1792</v>
      </c>
      <c r="B803" t="s">
        <v>170</v>
      </c>
      <c r="C803" s="2">
        <v>45759</v>
      </c>
      <c r="D803" t="s">
        <v>1007</v>
      </c>
    </row>
    <row r="804" spans="1:4" x14ac:dyDescent="0.3">
      <c r="A804" t="s">
        <v>1793</v>
      </c>
      <c r="B804" t="s">
        <v>70</v>
      </c>
      <c r="C804" s="2">
        <v>45547</v>
      </c>
      <c r="D804" t="s">
        <v>995</v>
      </c>
    </row>
    <row r="805" spans="1:4" x14ac:dyDescent="0.3">
      <c r="A805" t="s">
        <v>1794</v>
      </c>
      <c r="B805" t="s">
        <v>869</v>
      </c>
      <c r="C805" s="2">
        <v>45702</v>
      </c>
      <c r="D805" t="s">
        <v>995</v>
      </c>
    </row>
    <row r="806" spans="1:4" x14ac:dyDescent="0.3">
      <c r="A806" t="s">
        <v>1795</v>
      </c>
      <c r="B806" t="s">
        <v>593</v>
      </c>
      <c r="C806" s="2">
        <v>45518</v>
      </c>
      <c r="D806" t="s">
        <v>995</v>
      </c>
    </row>
    <row r="807" spans="1:4" x14ac:dyDescent="0.3">
      <c r="A807" t="s">
        <v>1796</v>
      </c>
      <c r="B807" t="s">
        <v>511</v>
      </c>
      <c r="C807" s="2">
        <v>45695</v>
      </c>
      <c r="D807" t="s">
        <v>990</v>
      </c>
    </row>
    <row r="808" spans="1:4" x14ac:dyDescent="0.3">
      <c r="A808" t="s">
        <v>1797</v>
      </c>
      <c r="B808" t="s">
        <v>66</v>
      </c>
      <c r="C808" s="2">
        <v>45458</v>
      </c>
      <c r="D808" t="s">
        <v>1007</v>
      </c>
    </row>
    <row r="809" spans="1:4" x14ac:dyDescent="0.3">
      <c r="A809" t="s">
        <v>1798</v>
      </c>
      <c r="B809" t="s">
        <v>334</v>
      </c>
      <c r="C809" s="2">
        <v>45518</v>
      </c>
      <c r="D809" t="s">
        <v>2305</v>
      </c>
    </row>
    <row r="810" spans="1:4" x14ac:dyDescent="0.3">
      <c r="A810" t="s">
        <v>1799</v>
      </c>
      <c r="B810" t="s">
        <v>659</v>
      </c>
      <c r="C810" s="2">
        <v>45432</v>
      </c>
      <c r="D810" t="s">
        <v>1007</v>
      </c>
    </row>
    <row r="811" spans="1:4" x14ac:dyDescent="0.3">
      <c r="A811" t="s">
        <v>1800</v>
      </c>
      <c r="B811" t="s">
        <v>833</v>
      </c>
      <c r="C811" s="2">
        <v>45567</v>
      </c>
      <c r="D811" t="s">
        <v>990</v>
      </c>
    </row>
    <row r="812" spans="1:4" x14ac:dyDescent="0.3">
      <c r="A812" t="s">
        <v>1801</v>
      </c>
      <c r="B812" t="s">
        <v>469</v>
      </c>
      <c r="C812" s="2">
        <v>45570</v>
      </c>
      <c r="D812" t="s">
        <v>990</v>
      </c>
    </row>
    <row r="813" spans="1:4" x14ac:dyDescent="0.3">
      <c r="A813" t="s">
        <v>1802</v>
      </c>
      <c r="B813" t="s">
        <v>6</v>
      </c>
      <c r="C813" s="2">
        <v>45686</v>
      </c>
      <c r="D813" t="s">
        <v>990</v>
      </c>
    </row>
    <row r="814" spans="1:4" x14ac:dyDescent="0.3">
      <c r="A814" t="s">
        <v>1803</v>
      </c>
      <c r="B814" t="s">
        <v>170</v>
      </c>
      <c r="C814" s="2">
        <v>45564</v>
      </c>
      <c r="D814" t="s">
        <v>1007</v>
      </c>
    </row>
    <row r="815" spans="1:4" x14ac:dyDescent="0.3">
      <c r="A815" t="s">
        <v>1804</v>
      </c>
      <c r="B815" t="s">
        <v>81</v>
      </c>
      <c r="C815" s="2">
        <v>45714</v>
      </c>
      <c r="D815" t="s">
        <v>990</v>
      </c>
    </row>
    <row r="816" spans="1:4" x14ac:dyDescent="0.3">
      <c r="A816" t="s">
        <v>1805</v>
      </c>
      <c r="B816" t="s">
        <v>682</v>
      </c>
      <c r="C816" s="2">
        <v>45479</v>
      </c>
      <c r="D816" t="s">
        <v>1007</v>
      </c>
    </row>
    <row r="817" spans="1:4" x14ac:dyDescent="0.3">
      <c r="A817" t="s">
        <v>1806</v>
      </c>
      <c r="B817" t="s">
        <v>924</v>
      </c>
      <c r="C817" s="2">
        <v>45374</v>
      </c>
      <c r="D817" t="s">
        <v>1007</v>
      </c>
    </row>
    <row r="818" spans="1:4" x14ac:dyDescent="0.3">
      <c r="A818" t="s">
        <v>1807</v>
      </c>
      <c r="B818" t="s">
        <v>496</v>
      </c>
      <c r="C818" s="2">
        <v>45772</v>
      </c>
      <c r="D818" t="s">
        <v>1007</v>
      </c>
    </row>
    <row r="819" spans="1:4" x14ac:dyDescent="0.3">
      <c r="A819" t="s">
        <v>1808</v>
      </c>
      <c r="B819" t="s">
        <v>433</v>
      </c>
      <c r="C819" s="2">
        <v>45403</v>
      </c>
      <c r="D819" t="s">
        <v>1007</v>
      </c>
    </row>
    <row r="820" spans="1:4" x14ac:dyDescent="0.3">
      <c r="A820" t="s">
        <v>1809</v>
      </c>
      <c r="B820" t="s">
        <v>526</v>
      </c>
      <c r="C820" s="2">
        <v>45512</v>
      </c>
      <c r="D820" t="s">
        <v>1007</v>
      </c>
    </row>
    <row r="821" spans="1:4" x14ac:dyDescent="0.3">
      <c r="A821" t="s">
        <v>1810</v>
      </c>
      <c r="B821" t="s">
        <v>361</v>
      </c>
      <c r="C821" s="2">
        <v>45604</v>
      </c>
      <c r="D821" t="s">
        <v>995</v>
      </c>
    </row>
    <row r="822" spans="1:4" x14ac:dyDescent="0.3">
      <c r="A822" t="s">
        <v>1811</v>
      </c>
      <c r="B822" t="s">
        <v>575</v>
      </c>
      <c r="C822" s="2">
        <v>45677</v>
      </c>
      <c r="D822" t="s">
        <v>995</v>
      </c>
    </row>
    <row r="823" spans="1:4" x14ac:dyDescent="0.3">
      <c r="A823" t="s">
        <v>1812</v>
      </c>
      <c r="B823" t="s">
        <v>689</v>
      </c>
      <c r="C823" s="2">
        <v>45423</v>
      </c>
      <c r="D823" t="s">
        <v>1007</v>
      </c>
    </row>
    <row r="824" spans="1:4" x14ac:dyDescent="0.3">
      <c r="A824" t="s">
        <v>1813</v>
      </c>
      <c r="B824" t="s">
        <v>428</v>
      </c>
      <c r="C824" s="2">
        <v>45620</v>
      </c>
      <c r="D824" t="s">
        <v>995</v>
      </c>
    </row>
    <row r="825" spans="1:4" x14ac:dyDescent="0.3">
      <c r="A825" t="s">
        <v>1814</v>
      </c>
      <c r="B825" t="s">
        <v>150</v>
      </c>
      <c r="C825" s="2">
        <v>45598</v>
      </c>
      <c r="D825" t="s">
        <v>990</v>
      </c>
    </row>
    <row r="826" spans="1:4" x14ac:dyDescent="0.3">
      <c r="A826" t="s">
        <v>1815</v>
      </c>
      <c r="B826" t="s">
        <v>615</v>
      </c>
      <c r="C826" s="2">
        <v>45331</v>
      </c>
      <c r="D826" t="s">
        <v>1007</v>
      </c>
    </row>
    <row r="827" spans="1:4" x14ac:dyDescent="0.3">
      <c r="A827" t="s">
        <v>1816</v>
      </c>
      <c r="B827" t="s">
        <v>35</v>
      </c>
      <c r="C827" s="2">
        <v>45329</v>
      </c>
      <c r="D827" t="s">
        <v>1007</v>
      </c>
    </row>
    <row r="828" spans="1:4" x14ac:dyDescent="0.3">
      <c r="A828" t="s">
        <v>1817</v>
      </c>
      <c r="B828" t="s">
        <v>294</v>
      </c>
      <c r="C828" s="2">
        <v>45577</v>
      </c>
      <c r="D828" t="s">
        <v>2305</v>
      </c>
    </row>
    <row r="829" spans="1:4" x14ac:dyDescent="0.3">
      <c r="A829" t="s">
        <v>1818</v>
      </c>
      <c r="B829" t="s">
        <v>554</v>
      </c>
      <c r="C829" s="2">
        <v>45763</v>
      </c>
      <c r="D829" t="s">
        <v>995</v>
      </c>
    </row>
    <row r="830" spans="1:4" x14ac:dyDescent="0.3">
      <c r="A830" t="s">
        <v>1819</v>
      </c>
      <c r="B830" t="s">
        <v>210</v>
      </c>
      <c r="C830" s="2">
        <v>45422</v>
      </c>
      <c r="D830" t="s">
        <v>990</v>
      </c>
    </row>
    <row r="831" spans="1:4" x14ac:dyDescent="0.3">
      <c r="A831" t="s">
        <v>1820</v>
      </c>
      <c r="B831" t="s">
        <v>825</v>
      </c>
      <c r="C831" s="2">
        <v>45648</v>
      </c>
      <c r="D831" t="s">
        <v>995</v>
      </c>
    </row>
    <row r="832" spans="1:4" x14ac:dyDescent="0.3">
      <c r="A832" t="s">
        <v>1821</v>
      </c>
      <c r="B832" t="s">
        <v>896</v>
      </c>
      <c r="C832" s="2">
        <v>45664</v>
      </c>
      <c r="D832" t="s">
        <v>2305</v>
      </c>
    </row>
    <row r="833" spans="1:4" x14ac:dyDescent="0.3">
      <c r="A833" t="s">
        <v>1822</v>
      </c>
      <c r="B833" t="s">
        <v>691</v>
      </c>
      <c r="C833" s="2">
        <v>45457</v>
      </c>
      <c r="D833" t="s">
        <v>1007</v>
      </c>
    </row>
    <row r="834" spans="1:4" x14ac:dyDescent="0.3">
      <c r="A834" t="s">
        <v>1823</v>
      </c>
      <c r="B834" t="s">
        <v>783</v>
      </c>
      <c r="C834" s="2">
        <v>45716</v>
      </c>
      <c r="D834" t="s">
        <v>1007</v>
      </c>
    </row>
    <row r="835" spans="1:4" x14ac:dyDescent="0.3">
      <c r="A835" t="s">
        <v>1824</v>
      </c>
      <c r="B835" t="s">
        <v>426</v>
      </c>
      <c r="C835" s="2">
        <v>45703</v>
      </c>
      <c r="D835" t="s">
        <v>990</v>
      </c>
    </row>
    <row r="836" spans="1:4" x14ac:dyDescent="0.3">
      <c r="A836" t="s">
        <v>1825</v>
      </c>
      <c r="B836" t="s">
        <v>562</v>
      </c>
      <c r="C836" s="2">
        <v>45611</v>
      </c>
      <c r="D836" t="s">
        <v>995</v>
      </c>
    </row>
    <row r="837" spans="1:4" x14ac:dyDescent="0.3">
      <c r="A837" t="s">
        <v>1826</v>
      </c>
      <c r="B837" t="s">
        <v>156</v>
      </c>
      <c r="C837" s="2">
        <v>45755</v>
      </c>
      <c r="D837" t="s">
        <v>995</v>
      </c>
    </row>
    <row r="838" spans="1:4" x14ac:dyDescent="0.3">
      <c r="A838" t="s">
        <v>1827</v>
      </c>
      <c r="B838" t="s">
        <v>631</v>
      </c>
      <c r="C838" s="2">
        <v>45630</v>
      </c>
      <c r="D838" t="s">
        <v>995</v>
      </c>
    </row>
    <row r="839" spans="1:4" x14ac:dyDescent="0.3">
      <c r="A839" t="s">
        <v>1828</v>
      </c>
      <c r="B839" t="s">
        <v>101</v>
      </c>
      <c r="C839" s="2">
        <v>45365</v>
      </c>
      <c r="D839" t="s">
        <v>1007</v>
      </c>
    </row>
    <row r="840" spans="1:4" x14ac:dyDescent="0.3">
      <c r="A840" t="s">
        <v>1829</v>
      </c>
      <c r="B840" t="s">
        <v>125</v>
      </c>
      <c r="C840" s="2">
        <v>45488</v>
      </c>
      <c r="D840" t="s">
        <v>1007</v>
      </c>
    </row>
    <row r="841" spans="1:4" x14ac:dyDescent="0.3">
      <c r="A841" t="s">
        <v>1830</v>
      </c>
      <c r="B841" t="s">
        <v>454</v>
      </c>
      <c r="C841" s="2">
        <v>45323</v>
      </c>
      <c r="D841" t="s">
        <v>992</v>
      </c>
    </row>
    <row r="842" spans="1:4" x14ac:dyDescent="0.3">
      <c r="A842" t="s">
        <v>1831</v>
      </c>
      <c r="B842" t="s">
        <v>38</v>
      </c>
      <c r="C842" s="2">
        <v>45429</v>
      </c>
      <c r="D842" t="s">
        <v>990</v>
      </c>
    </row>
    <row r="843" spans="1:4" x14ac:dyDescent="0.3">
      <c r="A843" t="s">
        <v>1832</v>
      </c>
      <c r="B843" t="s">
        <v>734</v>
      </c>
      <c r="C843" s="2">
        <v>45392</v>
      </c>
      <c r="D843" t="s">
        <v>995</v>
      </c>
    </row>
    <row r="844" spans="1:4" x14ac:dyDescent="0.3">
      <c r="A844" t="s">
        <v>1833</v>
      </c>
      <c r="B844" t="s">
        <v>286</v>
      </c>
      <c r="C844" s="2">
        <v>45511</v>
      </c>
      <c r="D844" t="s">
        <v>992</v>
      </c>
    </row>
    <row r="845" spans="1:4" x14ac:dyDescent="0.3">
      <c r="A845" t="s">
        <v>1834</v>
      </c>
      <c r="B845" t="s">
        <v>748</v>
      </c>
      <c r="C845" s="2">
        <v>45479</v>
      </c>
      <c r="D845" t="s">
        <v>1007</v>
      </c>
    </row>
    <row r="846" spans="1:4" x14ac:dyDescent="0.3">
      <c r="A846" t="s">
        <v>1835</v>
      </c>
      <c r="B846" t="s">
        <v>503</v>
      </c>
      <c r="C846" s="2">
        <v>45757</v>
      </c>
      <c r="D846" t="s">
        <v>992</v>
      </c>
    </row>
    <row r="847" spans="1:4" x14ac:dyDescent="0.3">
      <c r="A847" t="s">
        <v>1836</v>
      </c>
      <c r="B847" t="s">
        <v>767</v>
      </c>
      <c r="C847" s="2">
        <v>45769</v>
      </c>
      <c r="D847" t="s">
        <v>995</v>
      </c>
    </row>
    <row r="848" spans="1:4" x14ac:dyDescent="0.3">
      <c r="A848" t="s">
        <v>1837</v>
      </c>
      <c r="B848" t="s">
        <v>396</v>
      </c>
      <c r="C848" s="2">
        <v>45745</v>
      </c>
      <c r="D848" t="s">
        <v>990</v>
      </c>
    </row>
    <row r="849" spans="1:4" x14ac:dyDescent="0.3">
      <c r="A849" t="s">
        <v>1838</v>
      </c>
      <c r="B849" t="s">
        <v>738</v>
      </c>
      <c r="C849" s="2">
        <v>45356</v>
      </c>
      <c r="D849" t="s">
        <v>2305</v>
      </c>
    </row>
    <row r="850" spans="1:4" x14ac:dyDescent="0.3">
      <c r="A850" t="s">
        <v>1839</v>
      </c>
      <c r="B850" t="s">
        <v>532</v>
      </c>
      <c r="C850" s="2">
        <v>45737</v>
      </c>
      <c r="D850" t="s">
        <v>1007</v>
      </c>
    </row>
    <row r="851" spans="1:4" x14ac:dyDescent="0.3">
      <c r="A851" t="s">
        <v>1840</v>
      </c>
      <c r="B851" t="s">
        <v>208</v>
      </c>
      <c r="C851" s="2">
        <v>45631</v>
      </c>
      <c r="D851" t="s">
        <v>990</v>
      </c>
    </row>
    <row r="852" spans="1:4" x14ac:dyDescent="0.3">
      <c r="A852" t="s">
        <v>1841</v>
      </c>
      <c r="B852" t="s">
        <v>477</v>
      </c>
      <c r="C852" s="2">
        <v>45436</v>
      </c>
      <c r="D852" t="s">
        <v>2305</v>
      </c>
    </row>
    <row r="853" spans="1:4" x14ac:dyDescent="0.3">
      <c r="A853" t="s">
        <v>1842</v>
      </c>
      <c r="B853" t="s">
        <v>882</v>
      </c>
      <c r="C853" s="2">
        <v>45541</v>
      </c>
      <c r="D853" t="s">
        <v>1007</v>
      </c>
    </row>
    <row r="854" spans="1:4" x14ac:dyDescent="0.3">
      <c r="A854" t="s">
        <v>1843</v>
      </c>
      <c r="B854" t="s">
        <v>926</v>
      </c>
      <c r="C854" s="2">
        <v>45606</v>
      </c>
      <c r="D854" t="s">
        <v>2305</v>
      </c>
    </row>
    <row r="855" spans="1:4" x14ac:dyDescent="0.3">
      <c r="A855" t="s">
        <v>1844</v>
      </c>
      <c r="B855" t="s">
        <v>197</v>
      </c>
      <c r="C855" s="2">
        <v>45499</v>
      </c>
      <c r="D855" t="s">
        <v>2305</v>
      </c>
    </row>
    <row r="856" spans="1:4" x14ac:dyDescent="0.3">
      <c r="A856" t="s">
        <v>1845</v>
      </c>
      <c r="B856" t="s">
        <v>967</v>
      </c>
      <c r="C856" s="2">
        <v>45764</v>
      </c>
      <c r="D856" t="s">
        <v>995</v>
      </c>
    </row>
    <row r="857" spans="1:4" x14ac:dyDescent="0.3">
      <c r="A857" t="s">
        <v>1846</v>
      </c>
      <c r="B857" t="s">
        <v>860</v>
      </c>
      <c r="C857" s="2">
        <v>45517</v>
      </c>
      <c r="D857" t="s">
        <v>1007</v>
      </c>
    </row>
    <row r="858" spans="1:4" x14ac:dyDescent="0.3">
      <c r="A858" t="s">
        <v>1847</v>
      </c>
      <c r="B858" t="s">
        <v>391</v>
      </c>
      <c r="C858" s="2">
        <v>45326</v>
      </c>
      <c r="D858" t="s">
        <v>990</v>
      </c>
    </row>
    <row r="859" spans="1:4" x14ac:dyDescent="0.3">
      <c r="A859" t="s">
        <v>1848</v>
      </c>
      <c r="B859" t="s">
        <v>894</v>
      </c>
      <c r="C859" s="2">
        <v>45532</v>
      </c>
      <c r="D859" t="s">
        <v>990</v>
      </c>
    </row>
    <row r="860" spans="1:4" x14ac:dyDescent="0.3">
      <c r="A860" t="s">
        <v>1849</v>
      </c>
      <c r="B860" t="s">
        <v>125</v>
      </c>
      <c r="C860" s="2">
        <v>45445</v>
      </c>
      <c r="D860" t="s">
        <v>995</v>
      </c>
    </row>
    <row r="861" spans="1:4" x14ac:dyDescent="0.3">
      <c r="A861" t="s">
        <v>1850</v>
      </c>
      <c r="B861" t="s">
        <v>975</v>
      </c>
      <c r="C861" s="2">
        <v>45673</v>
      </c>
      <c r="D861" t="s">
        <v>990</v>
      </c>
    </row>
    <row r="862" spans="1:4" x14ac:dyDescent="0.3">
      <c r="A862" t="s">
        <v>1851</v>
      </c>
      <c r="B862" t="s">
        <v>230</v>
      </c>
      <c r="C862" s="2">
        <v>45322</v>
      </c>
      <c r="D862" t="s">
        <v>1007</v>
      </c>
    </row>
    <row r="863" spans="1:4" x14ac:dyDescent="0.3">
      <c r="A863" t="s">
        <v>1852</v>
      </c>
      <c r="B863" t="s">
        <v>486</v>
      </c>
      <c r="C863" s="2">
        <v>45559</v>
      </c>
      <c r="D863" t="s">
        <v>990</v>
      </c>
    </row>
    <row r="864" spans="1:4" x14ac:dyDescent="0.3">
      <c r="A864" t="s">
        <v>1853</v>
      </c>
      <c r="B864" t="s">
        <v>433</v>
      </c>
      <c r="C864" s="2">
        <v>45343</v>
      </c>
      <c r="D864" t="s">
        <v>2305</v>
      </c>
    </row>
    <row r="865" spans="1:4" x14ac:dyDescent="0.3">
      <c r="A865" t="s">
        <v>1854</v>
      </c>
      <c r="B865" t="s">
        <v>536</v>
      </c>
      <c r="C865" s="2">
        <v>45531</v>
      </c>
      <c r="D865" t="s">
        <v>995</v>
      </c>
    </row>
    <row r="866" spans="1:4" x14ac:dyDescent="0.3">
      <c r="A866" t="s">
        <v>1855</v>
      </c>
      <c r="B866" t="s">
        <v>160</v>
      </c>
      <c r="C866" s="2">
        <v>45705</v>
      </c>
      <c r="D866" t="s">
        <v>990</v>
      </c>
    </row>
    <row r="867" spans="1:4" x14ac:dyDescent="0.3">
      <c r="A867" t="s">
        <v>1856</v>
      </c>
      <c r="B867" t="s">
        <v>207</v>
      </c>
      <c r="C867" s="2">
        <v>45397</v>
      </c>
      <c r="D867" t="s">
        <v>990</v>
      </c>
    </row>
    <row r="868" spans="1:4" x14ac:dyDescent="0.3">
      <c r="A868" t="s">
        <v>1857</v>
      </c>
      <c r="B868" t="s">
        <v>146</v>
      </c>
      <c r="C868" s="2">
        <v>45325</v>
      </c>
      <c r="D868" t="s">
        <v>2305</v>
      </c>
    </row>
    <row r="869" spans="1:4" x14ac:dyDescent="0.3">
      <c r="A869" t="s">
        <v>1858</v>
      </c>
      <c r="B869" t="s">
        <v>971</v>
      </c>
      <c r="C869" s="2">
        <v>45423</v>
      </c>
      <c r="D869" t="s">
        <v>1007</v>
      </c>
    </row>
    <row r="870" spans="1:4" x14ac:dyDescent="0.3">
      <c r="A870" t="s">
        <v>1859</v>
      </c>
      <c r="B870" t="s">
        <v>59</v>
      </c>
      <c r="C870" s="2">
        <v>45621</v>
      </c>
      <c r="D870" t="s">
        <v>1007</v>
      </c>
    </row>
    <row r="871" spans="1:4" x14ac:dyDescent="0.3">
      <c r="A871" t="s">
        <v>1860</v>
      </c>
      <c r="B871" t="s">
        <v>475</v>
      </c>
      <c r="C871" s="2">
        <v>45687</v>
      </c>
      <c r="D871" t="s">
        <v>995</v>
      </c>
    </row>
    <row r="872" spans="1:4" x14ac:dyDescent="0.3">
      <c r="A872" t="s">
        <v>1861</v>
      </c>
      <c r="B872" t="s">
        <v>736</v>
      </c>
      <c r="C872" s="2">
        <v>45366</v>
      </c>
      <c r="D872" t="s">
        <v>990</v>
      </c>
    </row>
    <row r="873" spans="1:4" x14ac:dyDescent="0.3">
      <c r="A873" t="s">
        <v>1862</v>
      </c>
      <c r="B873" t="s">
        <v>93</v>
      </c>
      <c r="C873" s="2">
        <v>45730</v>
      </c>
      <c r="D873" t="s">
        <v>995</v>
      </c>
    </row>
    <row r="874" spans="1:4" x14ac:dyDescent="0.3">
      <c r="A874" t="s">
        <v>1863</v>
      </c>
      <c r="B874" t="s">
        <v>462</v>
      </c>
      <c r="C874" s="2">
        <v>45536</v>
      </c>
      <c r="D874" t="s">
        <v>2305</v>
      </c>
    </row>
    <row r="875" spans="1:4" x14ac:dyDescent="0.3">
      <c r="A875" t="s">
        <v>1864</v>
      </c>
      <c r="B875" t="s">
        <v>174</v>
      </c>
      <c r="C875" s="2">
        <v>45522</v>
      </c>
      <c r="D875" t="s">
        <v>1007</v>
      </c>
    </row>
    <row r="876" spans="1:4" x14ac:dyDescent="0.3">
      <c r="A876" t="s">
        <v>1865</v>
      </c>
      <c r="B876" t="s">
        <v>577</v>
      </c>
      <c r="C876" s="2">
        <v>45516</v>
      </c>
      <c r="D876" t="s">
        <v>995</v>
      </c>
    </row>
    <row r="877" spans="1:4" x14ac:dyDescent="0.3">
      <c r="A877" t="s">
        <v>1866</v>
      </c>
      <c r="B877" t="s">
        <v>615</v>
      </c>
      <c r="C877" s="2">
        <v>45675</v>
      </c>
      <c r="D877" t="s">
        <v>995</v>
      </c>
    </row>
    <row r="878" spans="1:4" x14ac:dyDescent="0.3">
      <c r="A878" t="s">
        <v>1867</v>
      </c>
      <c r="B878" t="s">
        <v>142</v>
      </c>
      <c r="C878" s="2">
        <v>45497</v>
      </c>
      <c r="D878" t="s">
        <v>995</v>
      </c>
    </row>
    <row r="879" spans="1:4" x14ac:dyDescent="0.3">
      <c r="A879" t="s">
        <v>1868</v>
      </c>
      <c r="B879" t="s">
        <v>31</v>
      </c>
      <c r="C879" s="2">
        <v>45476</v>
      </c>
      <c r="D879" t="s">
        <v>995</v>
      </c>
    </row>
    <row r="880" spans="1:4" x14ac:dyDescent="0.3">
      <c r="A880" t="s">
        <v>1869</v>
      </c>
      <c r="B880" t="s">
        <v>142</v>
      </c>
      <c r="C880" s="2">
        <v>45536</v>
      </c>
      <c r="D880" t="s">
        <v>2305</v>
      </c>
    </row>
    <row r="881" spans="1:4" x14ac:dyDescent="0.3">
      <c r="A881" t="s">
        <v>1870</v>
      </c>
      <c r="B881" t="s">
        <v>433</v>
      </c>
      <c r="C881" s="2">
        <v>45610</v>
      </c>
      <c r="D881" t="s">
        <v>995</v>
      </c>
    </row>
    <row r="882" spans="1:4" x14ac:dyDescent="0.3">
      <c r="A882" t="s">
        <v>1871</v>
      </c>
      <c r="B882" t="s">
        <v>948</v>
      </c>
      <c r="C882" s="2">
        <v>45395</v>
      </c>
      <c r="D882" t="s">
        <v>2305</v>
      </c>
    </row>
    <row r="883" spans="1:4" x14ac:dyDescent="0.3">
      <c r="A883" t="s">
        <v>1872</v>
      </c>
      <c r="B883" t="s">
        <v>548</v>
      </c>
      <c r="C883" s="2">
        <v>45407</v>
      </c>
      <c r="D883" t="s">
        <v>1007</v>
      </c>
    </row>
    <row r="884" spans="1:4" x14ac:dyDescent="0.3">
      <c r="A884" t="s">
        <v>1873</v>
      </c>
      <c r="B884" t="s">
        <v>821</v>
      </c>
      <c r="C884" s="2">
        <v>45382</v>
      </c>
      <c r="D884" t="s">
        <v>990</v>
      </c>
    </row>
    <row r="885" spans="1:4" x14ac:dyDescent="0.3">
      <c r="A885" t="s">
        <v>1874</v>
      </c>
      <c r="B885" t="s">
        <v>55</v>
      </c>
      <c r="C885" s="2">
        <v>45583</v>
      </c>
      <c r="D885" t="s">
        <v>995</v>
      </c>
    </row>
    <row r="886" spans="1:4" x14ac:dyDescent="0.3">
      <c r="A886" t="s">
        <v>1875</v>
      </c>
      <c r="B886" t="s">
        <v>485</v>
      </c>
      <c r="C886" s="2">
        <v>45715</v>
      </c>
      <c r="D886" t="s">
        <v>995</v>
      </c>
    </row>
    <row r="887" spans="1:4" x14ac:dyDescent="0.3">
      <c r="A887" t="s">
        <v>1876</v>
      </c>
      <c r="B887" t="s">
        <v>523</v>
      </c>
      <c r="C887" s="2">
        <v>45602</v>
      </c>
      <c r="D887" t="s">
        <v>2305</v>
      </c>
    </row>
    <row r="888" spans="1:4" x14ac:dyDescent="0.3">
      <c r="A888" t="s">
        <v>1877</v>
      </c>
      <c r="B888" t="s">
        <v>779</v>
      </c>
      <c r="C888" s="2">
        <v>45362</v>
      </c>
      <c r="D888" t="s">
        <v>995</v>
      </c>
    </row>
    <row r="889" spans="1:4" x14ac:dyDescent="0.3">
      <c r="A889" t="s">
        <v>1878</v>
      </c>
      <c r="B889" t="s">
        <v>251</v>
      </c>
      <c r="C889" s="2">
        <v>45432</v>
      </c>
      <c r="D889" t="s">
        <v>995</v>
      </c>
    </row>
    <row r="890" spans="1:4" x14ac:dyDescent="0.3">
      <c r="A890" t="s">
        <v>1879</v>
      </c>
      <c r="B890" t="s">
        <v>284</v>
      </c>
      <c r="C890" s="2">
        <v>45559</v>
      </c>
      <c r="D890" t="s">
        <v>990</v>
      </c>
    </row>
    <row r="891" spans="1:4" x14ac:dyDescent="0.3">
      <c r="A891" t="s">
        <v>1880</v>
      </c>
      <c r="B891" t="s">
        <v>125</v>
      </c>
      <c r="C891" s="2">
        <v>45377</v>
      </c>
      <c r="D891" t="s">
        <v>990</v>
      </c>
    </row>
    <row r="892" spans="1:4" x14ac:dyDescent="0.3">
      <c r="A892" t="s">
        <v>1881</v>
      </c>
      <c r="B892" t="s">
        <v>344</v>
      </c>
      <c r="C892" s="2">
        <v>45598</v>
      </c>
      <c r="D892" t="s">
        <v>2305</v>
      </c>
    </row>
    <row r="893" spans="1:4" x14ac:dyDescent="0.3">
      <c r="A893" t="s">
        <v>1882</v>
      </c>
      <c r="B893" t="s">
        <v>825</v>
      </c>
      <c r="C893" s="2">
        <v>45540</v>
      </c>
      <c r="D893" t="s">
        <v>995</v>
      </c>
    </row>
    <row r="894" spans="1:4" x14ac:dyDescent="0.3">
      <c r="A894" t="s">
        <v>1883</v>
      </c>
      <c r="B894" t="s">
        <v>310</v>
      </c>
      <c r="C894" s="2">
        <v>45752</v>
      </c>
      <c r="D894" t="s">
        <v>992</v>
      </c>
    </row>
    <row r="895" spans="1:4" x14ac:dyDescent="0.3">
      <c r="A895" t="s">
        <v>1884</v>
      </c>
      <c r="B895" t="s">
        <v>823</v>
      </c>
      <c r="C895" s="2">
        <v>45340</v>
      </c>
      <c r="D895" t="s">
        <v>990</v>
      </c>
    </row>
    <row r="896" spans="1:4" x14ac:dyDescent="0.3">
      <c r="A896" t="s">
        <v>1885</v>
      </c>
      <c r="B896" t="s">
        <v>218</v>
      </c>
      <c r="C896" s="2">
        <v>45787</v>
      </c>
      <c r="D896" t="s">
        <v>992</v>
      </c>
    </row>
    <row r="897" spans="1:4" x14ac:dyDescent="0.3">
      <c r="A897" t="s">
        <v>1886</v>
      </c>
      <c r="B897" t="s">
        <v>152</v>
      </c>
      <c r="C897" s="2">
        <v>45439</v>
      </c>
      <c r="D897" t="s">
        <v>995</v>
      </c>
    </row>
    <row r="898" spans="1:4" x14ac:dyDescent="0.3">
      <c r="A898" t="s">
        <v>1887</v>
      </c>
      <c r="B898" t="s">
        <v>848</v>
      </c>
      <c r="C898" s="2">
        <v>45475</v>
      </c>
      <c r="D898" t="s">
        <v>990</v>
      </c>
    </row>
    <row r="899" spans="1:4" x14ac:dyDescent="0.3">
      <c r="A899" t="s">
        <v>1888</v>
      </c>
      <c r="B899" t="s">
        <v>607</v>
      </c>
      <c r="C899" s="2">
        <v>45705</v>
      </c>
      <c r="D899" t="s">
        <v>1007</v>
      </c>
    </row>
    <row r="900" spans="1:4" x14ac:dyDescent="0.3">
      <c r="A900" t="s">
        <v>1889</v>
      </c>
      <c r="B900" t="s">
        <v>898</v>
      </c>
      <c r="C900" s="2">
        <v>45416</v>
      </c>
      <c r="D900" t="s">
        <v>990</v>
      </c>
    </row>
    <row r="901" spans="1:4" x14ac:dyDescent="0.3">
      <c r="A901" t="s">
        <v>1890</v>
      </c>
      <c r="B901" t="s">
        <v>395</v>
      </c>
      <c r="C901" s="2">
        <v>45515</v>
      </c>
      <c r="D901" t="s">
        <v>992</v>
      </c>
    </row>
    <row r="902" spans="1:4" x14ac:dyDescent="0.3">
      <c r="A902" t="s">
        <v>1891</v>
      </c>
      <c r="B902" t="s">
        <v>771</v>
      </c>
      <c r="C902" s="2">
        <v>45326</v>
      </c>
      <c r="D902" t="s">
        <v>992</v>
      </c>
    </row>
    <row r="903" spans="1:4" x14ac:dyDescent="0.3">
      <c r="A903" t="s">
        <v>1892</v>
      </c>
      <c r="B903" t="s">
        <v>481</v>
      </c>
      <c r="C903" s="2">
        <v>45502</v>
      </c>
      <c r="D903" t="s">
        <v>992</v>
      </c>
    </row>
    <row r="904" spans="1:4" x14ac:dyDescent="0.3">
      <c r="A904" t="s">
        <v>1893</v>
      </c>
      <c r="B904" t="s">
        <v>158</v>
      </c>
      <c r="C904" s="2">
        <v>45650</v>
      </c>
      <c r="D904" t="s">
        <v>1007</v>
      </c>
    </row>
    <row r="905" spans="1:4" x14ac:dyDescent="0.3">
      <c r="A905" t="s">
        <v>1894</v>
      </c>
      <c r="B905" t="s">
        <v>952</v>
      </c>
      <c r="C905" s="2">
        <v>45400</v>
      </c>
      <c r="D905" t="s">
        <v>990</v>
      </c>
    </row>
    <row r="906" spans="1:4" x14ac:dyDescent="0.3">
      <c r="A906" t="s">
        <v>1895</v>
      </c>
      <c r="B906" t="s">
        <v>26</v>
      </c>
      <c r="C906" s="2">
        <v>45519</v>
      </c>
      <c r="D906" t="s">
        <v>990</v>
      </c>
    </row>
    <row r="907" spans="1:4" x14ac:dyDescent="0.3">
      <c r="A907" t="s">
        <v>1896</v>
      </c>
      <c r="B907" t="s">
        <v>369</v>
      </c>
      <c r="C907" s="2">
        <v>45530</v>
      </c>
      <c r="D907" t="s">
        <v>995</v>
      </c>
    </row>
    <row r="908" spans="1:4" x14ac:dyDescent="0.3">
      <c r="A908" t="s">
        <v>1897</v>
      </c>
      <c r="B908" t="s">
        <v>867</v>
      </c>
      <c r="C908" s="2">
        <v>45337</v>
      </c>
      <c r="D908" t="s">
        <v>990</v>
      </c>
    </row>
    <row r="909" spans="1:4" x14ac:dyDescent="0.3">
      <c r="A909" t="s">
        <v>1898</v>
      </c>
      <c r="B909" t="s">
        <v>809</v>
      </c>
      <c r="C909" s="2">
        <v>45784</v>
      </c>
      <c r="D909" t="s">
        <v>995</v>
      </c>
    </row>
    <row r="910" spans="1:4" x14ac:dyDescent="0.3">
      <c r="A910" t="s">
        <v>1899</v>
      </c>
      <c r="B910" t="s">
        <v>748</v>
      </c>
      <c r="C910" s="2">
        <v>45962</v>
      </c>
      <c r="D910" t="s">
        <v>990</v>
      </c>
    </row>
    <row r="911" spans="1:4" x14ac:dyDescent="0.3">
      <c r="A911" t="s">
        <v>1900</v>
      </c>
      <c r="B911" t="s">
        <v>767</v>
      </c>
      <c r="C911" s="2">
        <v>45631</v>
      </c>
      <c r="D911" t="s">
        <v>990</v>
      </c>
    </row>
    <row r="912" spans="1:4" x14ac:dyDescent="0.3">
      <c r="A912" t="s">
        <v>1901</v>
      </c>
      <c r="B912" t="s">
        <v>264</v>
      </c>
      <c r="C912" s="2">
        <v>45405</v>
      </c>
      <c r="D912" t="s">
        <v>995</v>
      </c>
    </row>
    <row r="913" spans="1:4" x14ac:dyDescent="0.3">
      <c r="A913" t="s">
        <v>1902</v>
      </c>
      <c r="B913" t="s">
        <v>538</v>
      </c>
      <c r="C913" s="2">
        <v>45349</v>
      </c>
      <c r="D913" t="s">
        <v>995</v>
      </c>
    </row>
    <row r="914" spans="1:4" x14ac:dyDescent="0.3">
      <c r="A914" t="s">
        <v>1903</v>
      </c>
      <c r="B914" t="s">
        <v>819</v>
      </c>
      <c r="C914" s="2">
        <v>45607</v>
      </c>
      <c r="D914" t="s">
        <v>1007</v>
      </c>
    </row>
    <row r="915" spans="1:4" x14ac:dyDescent="0.3">
      <c r="A915" t="s">
        <v>1904</v>
      </c>
      <c r="B915" t="s">
        <v>946</v>
      </c>
      <c r="C915" s="2">
        <v>45590</v>
      </c>
      <c r="D915" t="s">
        <v>990</v>
      </c>
    </row>
    <row r="916" spans="1:4" x14ac:dyDescent="0.3">
      <c r="A916" t="s">
        <v>1905</v>
      </c>
      <c r="B916" t="s">
        <v>718</v>
      </c>
      <c r="C916" s="2">
        <v>45468</v>
      </c>
      <c r="D916" t="s">
        <v>990</v>
      </c>
    </row>
    <row r="917" spans="1:4" x14ac:dyDescent="0.3">
      <c r="A917" t="s">
        <v>1906</v>
      </c>
      <c r="B917" t="s">
        <v>637</v>
      </c>
      <c r="C917" s="2">
        <v>45381</v>
      </c>
      <c r="D917" t="s">
        <v>1007</v>
      </c>
    </row>
    <row r="918" spans="1:4" x14ac:dyDescent="0.3">
      <c r="A918" t="s">
        <v>1907</v>
      </c>
      <c r="B918" t="s">
        <v>330</v>
      </c>
      <c r="C918" s="2">
        <v>45493</v>
      </c>
      <c r="D918" t="s">
        <v>1007</v>
      </c>
    </row>
    <row r="919" spans="1:4" x14ac:dyDescent="0.3">
      <c r="A919" t="s">
        <v>1908</v>
      </c>
      <c r="B919" t="s">
        <v>591</v>
      </c>
      <c r="C919" s="2">
        <v>45719</v>
      </c>
      <c r="D919" t="s">
        <v>995</v>
      </c>
    </row>
    <row r="920" spans="1:4" x14ac:dyDescent="0.3">
      <c r="A920" t="s">
        <v>1909</v>
      </c>
      <c r="B920" t="s">
        <v>503</v>
      </c>
      <c r="C920" s="2">
        <v>45652</v>
      </c>
      <c r="D920" t="s">
        <v>995</v>
      </c>
    </row>
    <row r="921" spans="1:4" x14ac:dyDescent="0.3">
      <c r="A921" t="s">
        <v>1910</v>
      </c>
      <c r="B921" t="s">
        <v>746</v>
      </c>
      <c r="C921" s="2">
        <v>45684</v>
      </c>
      <c r="D921" t="s">
        <v>992</v>
      </c>
    </row>
    <row r="922" spans="1:4" x14ac:dyDescent="0.3">
      <c r="A922" t="s">
        <v>1911</v>
      </c>
      <c r="B922" t="s">
        <v>336</v>
      </c>
      <c r="C922" s="2">
        <v>45712</v>
      </c>
      <c r="D922" t="s">
        <v>2305</v>
      </c>
    </row>
    <row r="923" spans="1:4" x14ac:dyDescent="0.3">
      <c r="A923" t="s">
        <v>1912</v>
      </c>
      <c r="B923" t="s">
        <v>101</v>
      </c>
      <c r="C923" s="2">
        <v>45393</v>
      </c>
      <c r="D923" t="s">
        <v>990</v>
      </c>
    </row>
    <row r="924" spans="1:4" x14ac:dyDescent="0.3">
      <c r="A924" t="s">
        <v>1913</v>
      </c>
      <c r="B924" t="s">
        <v>550</v>
      </c>
      <c r="C924" s="2">
        <v>45306</v>
      </c>
      <c r="D924" t="s">
        <v>1007</v>
      </c>
    </row>
    <row r="925" spans="1:4" x14ac:dyDescent="0.3">
      <c r="A925" t="s">
        <v>1914</v>
      </c>
      <c r="B925" t="s">
        <v>355</v>
      </c>
      <c r="C925" s="2">
        <v>45335</v>
      </c>
      <c r="D925" t="s">
        <v>995</v>
      </c>
    </row>
    <row r="926" spans="1:4" x14ac:dyDescent="0.3">
      <c r="A926" t="s">
        <v>1915</v>
      </c>
      <c r="B926" t="s">
        <v>13</v>
      </c>
      <c r="C926" s="2">
        <v>45380</v>
      </c>
      <c r="D926" t="s">
        <v>995</v>
      </c>
    </row>
    <row r="927" spans="1:4" x14ac:dyDescent="0.3">
      <c r="A927" t="s">
        <v>1916</v>
      </c>
      <c r="B927" t="s">
        <v>536</v>
      </c>
      <c r="C927" s="2">
        <v>45812</v>
      </c>
      <c r="D927" t="s">
        <v>995</v>
      </c>
    </row>
    <row r="928" spans="1:4" x14ac:dyDescent="0.3">
      <c r="A928" t="s">
        <v>1917</v>
      </c>
      <c r="B928" t="s">
        <v>47</v>
      </c>
      <c r="C928" s="2">
        <v>45304</v>
      </c>
      <c r="D928" t="s">
        <v>1007</v>
      </c>
    </row>
    <row r="929" spans="1:4" x14ac:dyDescent="0.3">
      <c r="A929" t="s">
        <v>1918</v>
      </c>
      <c r="B929" t="s">
        <v>188</v>
      </c>
      <c r="C929" s="2">
        <v>45788</v>
      </c>
      <c r="D929" t="s">
        <v>995</v>
      </c>
    </row>
    <row r="930" spans="1:4" x14ac:dyDescent="0.3">
      <c r="A930" t="s">
        <v>1919</v>
      </c>
      <c r="B930" t="s">
        <v>948</v>
      </c>
      <c r="C930" s="2">
        <v>45463</v>
      </c>
      <c r="D930" t="s">
        <v>990</v>
      </c>
    </row>
    <row r="931" spans="1:4" x14ac:dyDescent="0.3">
      <c r="A931" t="s">
        <v>1920</v>
      </c>
      <c r="B931" t="s">
        <v>647</v>
      </c>
      <c r="C931" s="2">
        <v>45441</v>
      </c>
      <c r="D931" t="s">
        <v>2305</v>
      </c>
    </row>
    <row r="932" spans="1:4" x14ac:dyDescent="0.3">
      <c r="A932" t="s">
        <v>1921</v>
      </c>
      <c r="B932" t="s">
        <v>523</v>
      </c>
      <c r="C932" s="2">
        <v>45462</v>
      </c>
      <c r="D932" t="s">
        <v>1007</v>
      </c>
    </row>
    <row r="933" spans="1:4" x14ac:dyDescent="0.3">
      <c r="A933" t="s">
        <v>1922</v>
      </c>
      <c r="B933" t="s">
        <v>534</v>
      </c>
      <c r="C933" s="2">
        <v>45375</v>
      </c>
      <c r="D933" t="s">
        <v>1007</v>
      </c>
    </row>
    <row r="934" spans="1:4" x14ac:dyDescent="0.3">
      <c r="A934" t="s">
        <v>1923</v>
      </c>
      <c r="B934" t="s">
        <v>137</v>
      </c>
      <c r="C934" s="2">
        <v>45611</v>
      </c>
      <c r="D934" t="s">
        <v>992</v>
      </c>
    </row>
    <row r="935" spans="1:4" x14ac:dyDescent="0.3">
      <c r="A935" t="s">
        <v>1924</v>
      </c>
      <c r="B935" t="s">
        <v>272</v>
      </c>
      <c r="C935" s="2">
        <v>45902</v>
      </c>
      <c r="D935" t="s">
        <v>990</v>
      </c>
    </row>
    <row r="936" spans="1:4" x14ac:dyDescent="0.3">
      <c r="A936" t="s">
        <v>1925</v>
      </c>
      <c r="B936" t="s">
        <v>689</v>
      </c>
      <c r="C936" s="2">
        <v>45548</v>
      </c>
      <c r="D936" t="s">
        <v>995</v>
      </c>
    </row>
    <row r="937" spans="1:4" x14ac:dyDescent="0.3">
      <c r="A937" t="s">
        <v>1926</v>
      </c>
      <c r="B937" t="s">
        <v>385</v>
      </c>
      <c r="C937" s="2">
        <v>45423</v>
      </c>
      <c r="D937" t="s">
        <v>1007</v>
      </c>
    </row>
    <row r="938" spans="1:4" x14ac:dyDescent="0.3">
      <c r="A938" t="s">
        <v>1927</v>
      </c>
      <c r="B938" t="s">
        <v>316</v>
      </c>
      <c r="C938" s="2">
        <v>45780</v>
      </c>
      <c r="D938" t="s">
        <v>990</v>
      </c>
    </row>
    <row r="939" spans="1:4" x14ac:dyDescent="0.3">
      <c r="A939" t="s">
        <v>1928</v>
      </c>
      <c r="B939" t="s">
        <v>777</v>
      </c>
      <c r="C939" s="2">
        <v>45443</v>
      </c>
      <c r="D939" t="s">
        <v>1007</v>
      </c>
    </row>
    <row r="940" spans="1:4" x14ac:dyDescent="0.3">
      <c r="A940" t="s">
        <v>1929</v>
      </c>
      <c r="B940" t="s">
        <v>466</v>
      </c>
      <c r="C940" s="2">
        <v>45451</v>
      </c>
      <c r="D940" t="s">
        <v>2305</v>
      </c>
    </row>
    <row r="941" spans="1:4" x14ac:dyDescent="0.3">
      <c r="A941" t="s">
        <v>1930</v>
      </c>
      <c r="B941" t="s">
        <v>199</v>
      </c>
      <c r="C941" s="2">
        <v>45353</v>
      </c>
      <c r="D941" t="s">
        <v>995</v>
      </c>
    </row>
    <row r="942" spans="1:4" x14ac:dyDescent="0.3">
      <c r="A942" t="s">
        <v>1931</v>
      </c>
      <c r="B942" t="s">
        <v>391</v>
      </c>
      <c r="C942" s="2">
        <v>45932</v>
      </c>
      <c r="D942" t="s">
        <v>2305</v>
      </c>
    </row>
    <row r="943" spans="1:4" x14ac:dyDescent="0.3">
      <c r="A943" t="s">
        <v>1932</v>
      </c>
      <c r="B943" t="s">
        <v>944</v>
      </c>
      <c r="C943" s="2">
        <v>45697</v>
      </c>
      <c r="D943" t="s">
        <v>1007</v>
      </c>
    </row>
    <row r="944" spans="1:4" x14ac:dyDescent="0.3">
      <c r="A944" t="s">
        <v>1933</v>
      </c>
      <c r="B944" t="s">
        <v>952</v>
      </c>
      <c r="C944" s="2">
        <v>45581</v>
      </c>
      <c r="D944" t="s">
        <v>995</v>
      </c>
    </row>
    <row r="945" spans="1:4" x14ac:dyDescent="0.3">
      <c r="A945" t="s">
        <v>1934</v>
      </c>
      <c r="B945" t="s">
        <v>33</v>
      </c>
      <c r="C945" s="2">
        <v>45508</v>
      </c>
      <c r="D945" t="s">
        <v>995</v>
      </c>
    </row>
    <row r="946" spans="1:4" x14ac:dyDescent="0.3">
      <c r="A946" t="s">
        <v>1935</v>
      </c>
      <c r="B946" t="s">
        <v>226</v>
      </c>
      <c r="C946" s="2">
        <v>45811</v>
      </c>
      <c r="D946" t="s">
        <v>2305</v>
      </c>
    </row>
    <row r="947" spans="1:4" x14ac:dyDescent="0.3">
      <c r="A947" t="s">
        <v>1936</v>
      </c>
      <c r="B947" t="s">
        <v>488</v>
      </c>
      <c r="C947" s="2">
        <v>45676</v>
      </c>
      <c r="D947" t="s">
        <v>990</v>
      </c>
    </row>
    <row r="948" spans="1:4" x14ac:dyDescent="0.3">
      <c r="A948" t="s">
        <v>1937</v>
      </c>
      <c r="B948" t="s">
        <v>670</v>
      </c>
      <c r="C948" s="2">
        <v>45662</v>
      </c>
      <c r="D948" t="s">
        <v>1007</v>
      </c>
    </row>
    <row r="949" spans="1:4" x14ac:dyDescent="0.3">
      <c r="A949" t="s">
        <v>1938</v>
      </c>
      <c r="B949" t="s">
        <v>466</v>
      </c>
      <c r="C949" s="2">
        <v>45662</v>
      </c>
      <c r="D949" t="s">
        <v>995</v>
      </c>
    </row>
    <row r="950" spans="1:4" x14ac:dyDescent="0.3">
      <c r="A950" t="s">
        <v>1939</v>
      </c>
      <c r="B950" t="s">
        <v>587</v>
      </c>
      <c r="C950" s="2">
        <v>45400</v>
      </c>
      <c r="D950" t="s">
        <v>2305</v>
      </c>
    </row>
    <row r="951" spans="1:4" x14ac:dyDescent="0.3">
      <c r="A951" t="s">
        <v>1940</v>
      </c>
      <c r="B951" t="s">
        <v>393</v>
      </c>
      <c r="C951" s="2">
        <v>45753</v>
      </c>
      <c r="D951" t="s">
        <v>995</v>
      </c>
    </row>
    <row r="952" spans="1:4" x14ac:dyDescent="0.3">
      <c r="A952" t="s">
        <v>1941</v>
      </c>
      <c r="B952" t="s">
        <v>629</v>
      </c>
      <c r="C952" s="2">
        <v>45631</v>
      </c>
      <c r="D952" t="s">
        <v>995</v>
      </c>
    </row>
    <row r="953" spans="1:4" x14ac:dyDescent="0.3">
      <c r="A953" t="s">
        <v>1942</v>
      </c>
      <c r="B953" t="s">
        <v>324</v>
      </c>
      <c r="C953" s="2">
        <v>45323</v>
      </c>
      <c r="D953" t="s">
        <v>2305</v>
      </c>
    </row>
    <row r="954" spans="1:4" x14ac:dyDescent="0.3">
      <c r="A954" t="s">
        <v>1943</v>
      </c>
      <c r="B954" t="s">
        <v>685</v>
      </c>
      <c r="C954" s="2">
        <v>45715</v>
      </c>
      <c r="D954" t="s">
        <v>992</v>
      </c>
    </row>
    <row r="955" spans="1:4" x14ac:dyDescent="0.3">
      <c r="A955" t="s">
        <v>1944</v>
      </c>
      <c r="B955" t="s">
        <v>801</v>
      </c>
      <c r="C955" s="2">
        <v>45571</v>
      </c>
      <c r="D955" t="s">
        <v>992</v>
      </c>
    </row>
    <row r="956" spans="1:4" x14ac:dyDescent="0.3">
      <c r="A956" t="s">
        <v>1945</v>
      </c>
      <c r="B956" t="s">
        <v>121</v>
      </c>
      <c r="C956" s="2">
        <v>45688</v>
      </c>
      <c r="D956" t="s">
        <v>990</v>
      </c>
    </row>
    <row r="957" spans="1:4" x14ac:dyDescent="0.3">
      <c r="A957" t="s">
        <v>1946</v>
      </c>
      <c r="B957" t="s">
        <v>190</v>
      </c>
      <c r="C957" s="2">
        <v>45442</v>
      </c>
      <c r="D957" t="s">
        <v>990</v>
      </c>
    </row>
    <row r="958" spans="1:4" x14ac:dyDescent="0.3">
      <c r="A958" t="s">
        <v>1947</v>
      </c>
      <c r="B958" t="s">
        <v>481</v>
      </c>
      <c r="C958" s="2">
        <v>45369</v>
      </c>
      <c r="D958" t="s">
        <v>995</v>
      </c>
    </row>
    <row r="959" spans="1:4" x14ac:dyDescent="0.3">
      <c r="A959" t="s">
        <v>1948</v>
      </c>
      <c r="B959" t="s">
        <v>930</v>
      </c>
      <c r="C959" s="2">
        <v>45307</v>
      </c>
      <c r="D959" t="s">
        <v>990</v>
      </c>
    </row>
    <row r="960" spans="1:4" x14ac:dyDescent="0.3">
      <c r="A960" t="s">
        <v>1949</v>
      </c>
      <c r="B960" t="s">
        <v>249</v>
      </c>
      <c r="C960" s="2">
        <v>45779</v>
      </c>
      <c r="D960" t="s">
        <v>990</v>
      </c>
    </row>
    <row r="961" spans="1:4" x14ac:dyDescent="0.3">
      <c r="A961" t="s">
        <v>1950</v>
      </c>
      <c r="B961" t="s">
        <v>959</v>
      </c>
      <c r="C961" s="2">
        <v>45562</v>
      </c>
      <c r="D961" t="s">
        <v>1007</v>
      </c>
    </row>
    <row r="962" spans="1:4" x14ac:dyDescent="0.3">
      <c r="A962" t="s">
        <v>1951</v>
      </c>
      <c r="B962" t="s">
        <v>222</v>
      </c>
      <c r="C962" s="2">
        <v>45629</v>
      </c>
      <c r="D962" t="s">
        <v>990</v>
      </c>
    </row>
    <row r="963" spans="1:4" x14ac:dyDescent="0.3">
      <c r="A963" t="s">
        <v>1952</v>
      </c>
      <c r="B963" t="s">
        <v>880</v>
      </c>
      <c r="C963" s="2">
        <v>45539</v>
      </c>
      <c r="D963" t="s">
        <v>992</v>
      </c>
    </row>
    <row r="964" spans="1:4" x14ac:dyDescent="0.3">
      <c r="A964" t="s">
        <v>1953</v>
      </c>
      <c r="B964" t="s">
        <v>452</v>
      </c>
      <c r="C964" s="2">
        <v>45522</v>
      </c>
      <c r="D964" t="s">
        <v>2305</v>
      </c>
    </row>
    <row r="965" spans="1:4" x14ac:dyDescent="0.3">
      <c r="A965" t="s">
        <v>1954</v>
      </c>
      <c r="B965" t="s">
        <v>845</v>
      </c>
      <c r="C965" s="2">
        <v>45686</v>
      </c>
      <c r="D965" t="s">
        <v>990</v>
      </c>
    </row>
    <row r="966" spans="1:4" x14ac:dyDescent="0.3">
      <c r="A966" t="s">
        <v>1955</v>
      </c>
      <c r="B966" t="s">
        <v>900</v>
      </c>
      <c r="C966" s="2">
        <v>45718</v>
      </c>
      <c r="D966" t="s">
        <v>990</v>
      </c>
    </row>
    <row r="967" spans="1:4" x14ac:dyDescent="0.3">
      <c r="A967" t="s">
        <v>1956</v>
      </c>
      <c r="B967" t="s">
        <v>113</v>
      </c>
      <c r="C967" s="2">
        <v>45345</v>
      </c>
      <c r="D967" t="s">
        <v>1007</v>
      </c>
    </row>
    <row r="968" spans="1:4" x14ac:dyDescent="0.3">
      <c r="A968" t="s">
        <v>1957</v>
      </c>
      <c r="B968" t="s">
        <v>564</v>
      </c>
      <c r="C968" s="2">
        <v>45360</v>
      </c>
      <c r="D968" t="s">
        <v>995</v>
      </c>
    </row>
    <row r="969" spans="1:4" x14ac:dyDescent="0.3">
      <c r="A969" t="s">
        <v>1958</v>
      </c>
      <c r="B969" t="s">
        <v>137</v>
      </c>
      <c r="C969" s="2">
        <v>45530</v>
      </c>
      <c r="D969" t="s">
        <v>1007</v>
      </c>
    </row>
    <row r="970" spans="1:4" x14ac:dyDescent="0.3">
      <c r="A970" t="s">
        <v>1959</v>
      </c>
      <c r="B970" t="s">
        <v>607</v>
      </c>
      <c r="C970" s="2">
        <v>45628</v>
      </c>
      <c r="D970" t="s">
        <v>990</v>
      </c>
    </row>
    <row r="971" spans="1:4" x14ac:dyDescent="0.3">
      <c r="A971" t="s">
        <v>1960</v>
      </c>
      <c r="B971" t="s">
        <v>880</v>
      </c>
      <c r="C971" s="2">
        <v>45558</v>
      </c>
      <c r="D971" t="s">
        <v>995</v>
      </c>
    </row>
    <row r="972" spans="1:4" x14ac:dyDescent="0.3">
      <c r="A972" t="s">
        <v>1961</v>
      </c>
      <c r="B972" t="s">
        <v>795</v>
      </c>
      <c r="C972" s="2">
        <v>45649</v>
      </c>
      <c r="D972" t="s">
        <v>1007</v>
      </c>
    </row>
    <row r="973" spans="1:4" x14ac:dyDescent="0.3">
      <c r="A973" t="s">
        <v>1962</v>
      </c>
      <c r="B973" t="s">
        <v>72</v>
      </c>
      <c r="C973" s="2">
        <v>45439</v>
      </c>
      <c r="D973" t="s">
        <v>995</v>
      </c>
    </row>
    <row r="974" spans="1:4" x14ac:dyDescent="0.3">
      <c r="A974" t="s">
        <v>1963</v>
      </c>
      <c r="B974" t="s">
        <v>224</v>
      </c>
      <c r="C974" s="2">
        <v>45650</v>
      </c>
      <c r="D974" t="s">
        <v>990</v>
      </c>
    </row>
    <row r="975" spans="1:4" x14ac:dyDescent="0.3">
      <c r="A975" t="s">
        <v>1964</v>
      </c>
      <c r="B975" t="s">
        <v>336</v>
      </c>
      <c r="C975" s="2">
        <v>45711</v>
      </c>
      <c r="D975" t="s">
        <v>990</v>
      </c>
    </row>
    <row r="976" spans="1:4" x14ac:dyDescent="0.3">
      <c r="A976" t="s">
        <v>1965</v>
      </c>
      <c r="B976" t="s">
        <v>347</v>
      </c>
      <c r="C976" s="2">
        <v>45414</v>
      </c>
      <c r="D976" t="s">
        <v>990</v>
      </c>
    </row>
    <row r="977" spans="1:4" x14ac:dyDescent="0.3">
      <c r="A977" t="s">
        <v>1966</v>
      </c>
      <c r="B977" t="s">
        <v>860</v>
      </c>
      <c r="C977" s="2">
        <v>45654</v>
      </c>
      <c r="D977" t="s">
        <v>990</v>
      </c>
    </row>
    <row r="978" spans="1:4" x14ac:dyDescent="0.3">
      <c r="A978" t="s">
        <v>1967</v>
      </c>
      <c r="B978" t="s">
        <v>256</v>
      </c>
      <c r="C978" s="2">
        <v>45748</v>
      </c>
      <c r="D978" t="s">
        <v>2305</v>
      </c>
    </row>
    <row r="979" spans="1:4" x14ac:dyDescent="0.3">
      <c r="A979" t="s">
        <v>1968</v>
      </c>
      <c r="B979" t="s">
        <v>243</v>
      </c>
      <c r="C979" s="2">
        <v>45338</v>
      </c>
      <c r="D979" t="s">
        <v>990</v>
      </c>
    </row>
    <row r="980" spans="1:4" x14ac:dyDescent="0.3">
      <c r="A980" t="s">
        <v>1969</v>
      </c>
      <c r="B980" t="s">
        <v>953</v>
      </c>
      <c r="C980" s="2">
        <v>45407</v>
      </c>
      <c r="D980" t="s">
        <v>992</v>
      </c>
    </row>
    <row r="981" spans="1:4" x14ac:dyDescent="0.3">
      <c r="A981" t="s">
        <v>1970</v>
      </c>
      <c r="B981" t="s">
        <v>938</v>
      </c>
      <c r="C981" s="2">
        <v>45493</v>
      </c>
      <c r="D981" t="s">
        <v>995</v>
      </c>
    </row>
    <row r="982" spans="1:4" x14ac:dyDescent="0.3">
      <c r="A982" t="s">
        <v>1971</v>
      </c>
      <c r="B982" t="s">
        <v>268</v>
      </c>
      <c r="C982" s="2">
        <v>45675</v>
      </c>
      <c r="D982" t="s">
        <v>2305</v>
      </c>
    </row>
    <row r="983" spans="1:4" x14ac:dyDescent="0.3">
      <c r="A983" t="s">
        <v>1972</v>
      </c>
      <c r="B983" t="s">
        <v>224</v>
      </c>
      <c r="C983" s="2">
        <v>45736</v>
      </c>
      <c r="D983" t="s">
        <v>990</v>
      </c>
    </row>
    <row r="984" spans="1:4" x14ac:dyDescent="0.3">
      <c r="A984" t="s">
        <v>1973</v>
      </c>
      <c r="B984" t="s">
        <v>501</v>
      </c>
      <c r="C984" s="2">
        <v>45306</v>
      </c>
      <c r="D984" t="s">
        <v>2305</v>
      </c>
    </row>
    <row r="985" spans="1:4" x14ac:dyDescent="0.3">
      <c r="A985" t="s">
        <v>1974</v>
      </c>
      <c r="B985" t="s">
        <v>307</v>
      </c>
      <c r="C985" s="2">
        <v>45791</v>
      </c>
      <c r="D985" t="s">
        <v>990</v>
      </c>
    </row>
    <row r="986" spans="1:4" x14ac:dyDescent="0.3">
      <c r="A986" t="s">
        <v>1975</v>
      </c>
      <c r="B986" t="s">
        <v>633</v>
      </c>
      <c r="C986" s="2">
        <v>45380</v>
      </c>
      <c r="D986" t="s">
        <v>990</v>
      </c>
    </row>
    <row r="987" spans="1:4" x14ac:dyDescent="0.3">
      <c r="A987" t="s">
        <v>1976</v>
      </c>
      <c r="B987" t="s">
        <v>385</v>
      </c>
      <c r="C987" s="2">
        <v>45629</v>
      </c>
      <c r="D987" t="s">
        <v>1007</v>
      </c>
    </row>
    <row r="988" spans="1:4" x14ac:dyDescent="0.3">
      <c r="A988" t="s">
        <v>1977</v>
      </c>
      <c r="B988" t="s">
        <v>4</v>
      </c>
      <c r="C988" s="2">
        <v>45733</v>
      </c>
      <c r="D988" t="s">
        <v>990</v>
      </c>
    </row>
    <row r="989" spans="1:4" x14ac:dyDescent="0.3">
      <c r="A989" t="s">
        <v>1978</v>
      </c>
      <c r="B989" t="s">
        <v>28</v>
      </c>
      <c r="C989" s="2">
        <v>45695</v>
      </c>
      <c r="D989" t="s">
        <v>1007</v>
      </c>
    </row>
    <row r="990" spans="1:4" x14ac:dyDescent="0.3">
      <c r="A990" t="s">
        <v>1979</v>
      </c>
      <c r="B990" t="s">
        <v>85</v>
      </c>
      <c r="C990" s="2">
        <v>45779</v>
      </c>
      <c r="D990" t="s">
        <v>995</v>
      </c>
    </row>
    <row r="991" spans="1:4" x14ac:dyDescent="0.3">
      <c r="A991" t="s">
        <v>1980</v>
      </c>
      <c r="B991" t="s">
        <v>643</v>
      </c>
      <c r="C991" s="2">
        <v>45711</v>
      </c>
      <c r="D991" t="s">
        <v>990</v>
      </c>
    </row>
    <row r="992" spans="1:4" x14ac:dyDescent="0.3">
      <c r="A992" t="s">
        <v>1981</v>
      </c>
      <c r="B992" t="s">
        <v>609</v>
      </c>
      <c r="C992" s="2">
        <v>45572</v>
      </c>
      <c r="D992" t="s">
        <v>990</v>
      </c>
    </row>
    <row r="993" spans="1:4" x14ac:dyDescent="0.3">
      <c r="A993" t="s">
        <v>1982</v>
      </c>
      <c r="B993" t="s">
        <v>795</v>
      </c>
      <c r="C993" s="2">
        <v>45485</v>
      </c>
      <c r="D993" t="s">
        <v>1007</v>
      </c>
    </row>
    <row r="994" spans="1:4" x14ac:dyDescent="0.3">
      <c r="A994" t="s">
        <v>1983</v>
      </c>
      <c r="B994" t="s">
        <v>462</v>
      </c>
      <c r="C994" s="2">
        <v>45474</v>
      </c>
      <c r="D994" t="s">
        <v>990</v>
      </c>
    </row>
    <row r="995" spans="1:4" x14ac:dyDescent="0.3">
      <c r="A995" t="s">
        <v>1984</v>
      </c>
      <c r="B995" t="s">
        <v>496</v>
      </c>
      <c r="C995" s="2">
        <v>45710</v>
      </c>
      <c r="D995" t="s">
        <v>1007</v>
      </c>
    </row>
    <row r="996" spans="1:4" x14ac:dyDescent="0.3">
      <c r="A996" t="s">
        <v>1985</v>
      </c>
      <c r="B996" t="s">
        <v>351</v>
      </c>
      <c r="C996" s="2">
        <v>45678</v>
      </c>
      <c r="D996" t="s">
        <v>992</v>
      </c>
    </row>
    <row r="997" spans="1:4" x14ac:dyDescent="0.3">
      <c r="A997" t="s">
        <v>1986</v>
      </c>
      <c r="B997" t="s">
        <v>513</v>
      </c>
      <c r="C997" s="2">
        <v>45550</v>
      </c>
      <c r="D997" t="s">
        <v>990</v>
      </c>
    </row>
    <row r="998" spans="1:4" x14ac:dyDescent="0.3">
      <c r="A998" t="s">
        <v>1987</v>
      </c>
      <c r="B998" t="s">
        <v>767</v>
      </c>
      <c r="C998" s="2">
        <v>45515</v>
      </c>
      <c r="D998" t="s">
        <v>995</v>
      </c>
    </row>
    <row r="999" spans="1:4" x14ac:dyDescent="0.3">
      <c r="A999" t="s">
        <v>1988</v>
      </c>
      <c r="B999" t="s">
        <v>486</v>
      </c>
      <c r="C999" s="2">
        <v>45361</v>
      </c>
      <c r="D999" t="s">
        <v>990</v>
      </c>
    </row>
    <row r="1000" spans="1:4" x14ac:dyDescent="0.3">
      <c r="A1000" t="s">
        <v>1989</v>
      </c>
      <c r="B1000" t="s">
        <v>121</v>
      </c>
      <c r="C1000" s="2">
        <v>45468</v>
      </c>
      <c r="D1000" t="s">
        <v>990</v>
      </c>
    </row>
    <row r="1001" spans="1:4" x14ac:dyDescent="0.3">
      <c r="A1001" t="s">
        <v>1990</v>
      </c>
      <c r="B1001" t="s">
        <v>288</v>
      </c>
      <c r="C1001" s="2">
        <v>45730</v>
      </c>
      <c r="D1001" t="s">
        <v>1007</v>
      </c>
    </row>
    <row r="1002" spans="1:4" x14ac:dyDescent="0.3">
      <c r="A1002" t="s">
        <v>1991</v>
      </c>
      <c r="B1002" t="s">
        <v>918</v>
      </c>
      <c r="C1002" s="2">
        <v>45776</v>
      </c>
      <c r="D1002" t="s">
        <v>2305</v>
      </c>
    </row>
    <row r="1003" spans="1:4" x14ac:dyDescent="0.3">
      <c r="A1003" t="s">
        <v>1992</v>
      </c>
      <c r="B1003" t="s">
        <v>930</v>
      </c>
      <c r="C1003" s="2">
        <v>45749</v>
      </c>
      <c r="D1003" t="s">
        <v>995</v>
      </c>
    </row>
    <row r="1004" spans="1:4" x14ac:dyDescent="0.3">
      <c r="A1004" t="s">
        <v>1993</v>
      </c>
      <c r="B1004" t="s">
        <v>687</v>
      </c>
      <c r="C1004" s="2">
        <v>45476</v>
      </c>
      <c r="D1004" t="s">
        <v>1007</v>
      </c>
    </row>
    <row r="1005" spans="1:4" x14ac:dyDescent="0.3">
      <c r="A1005" t="s">
        <v>1994</v>
      </c>
      <c r="B1005" t="s">
        <v>210</v>
      </c>
      <c r="C1005" s="2">
        <v>45352</v>
      </c>
      <c r="D1005" t="s">
        <v>1007</v>
      </c>
    </row>
    <row r="1006" spans="1:4" x14ac:dyDescent="0.3">
      <c r="A1006" t="s">
        <v>1995</v>
      </c>
      <c r="B1006" t="s">
        <v>61</v>
      </c>
      <c r="C1006" s="2">
        <v>45408</v>
      </c>
      <c r="D1006" t="s">
        <v>1007</v>
      </c>
    </row>
    <row r="1007" spans="1:4" x14ac:dyDescent="0.3">
      <c r="A1007" t="s">
        <v>1996</v>
      </c>
      <c r="B1007" t="s">
        <v>146</v>
      </c>
      <c r="C1007" s="2">
        <v>45605</v>
      </c>
      <c r="D1007" t="s">
        <v>1007</v>
      </c>
    </row>
    <row r="1008" spans="1:4" x14ac:dyDescent="0.3">
      <c r="A1008" t="s">
        <v>1997</v>
      </c>
      <c r="B1008" t="s">
        <v>406</v>
      </c>
      <c r="C1008" s="2">
        <v>45732</v>
      </c>
      <c r="D1008" t="s">
        <v>990</v>
      </c>
    </row>
    <row r="1009" spans="1:4" x14ac:dyDescent="0.3">
      <c r="A1009" t="s">
        <v>1998</v>
      </c>
      <c r="B1009" t="s">
        <v>629</v>
      </c>
      <c r="C1009" s="2">
        <v>45702</v>
      </c>
      <c r="D1009" t="s">
        <v>990</v>
      </c>
    </row>
    <row r="1010" spans="1:4" x14ac:dyDescent="0.3">
      <c r="A1010" t="s">
        <v>1999</v>
      </c>
      <c r="B1010" t="s">
        <v>627</v>
      </c>
      <c r="C1010" s="2">
        <v>45618</v>
      </c>
      <c r="D1010" t="s">
        <v>2305</v>
      </c>
    </row>
    <row r="1011" spans="1:4" x14ac:dyDescent="0.3">
      <c r="A1011" t="s">
        <v>2000</v>
      </c>
      <c r="B1011" t="s">
        <v>645</v>
      </c>
      <c r="C1011" s="2">
        <v>45752</v>
      </c>
      <c r="D1011" t="s">
        <v>992</v>
      </c>
    </row>
    <row r="1012" spans="1:4" x14ac:dyDescent="0.3">
      <c r="A1012" t="s">
        <v>2001</v>
      </c>
      <c r="B1012" t="s">
        <v>710</v>
      </c>
      <c r="C1012" s="2">
        <v>45585</v>
      </c>
      <c r="D1012" t="s">
        <v>1007</v>
      </c>
    </row>
    <row r="1013" spans="1:4" x14ac:dyDescent="0.3">
      <c r="A1013" t="s">
        <v>2002</v>
      </c>
      <c r="B1013" t="s">
        <v>975</v>
      </c>
      <c r="C1013" s="2">
        <v>45520</v>
      </c>
      <c r="D1013" t="s">
        <v>1007</v>
      </c>
    </row>
    <row r="1014" spans="1:4" x14ac:dyDescent="0.3">
      <c r="A1014" t="s">
        <v>2003</v>
      </c>
      <c r="B1014" t="s">
        <v>462</v>
      </c>
      <c r="C1014" s="2">
        <v>45398</v>
      </c>
      <c r="D1014" t="s">
        <v>990</v>
      </c>
    </row>
    <row r="1015" spans="1:4" x14ac:dyDescent="0.3">
      <c r="A1015" t="s">
        <v>2004</v>
      </c>
      <c r="B1015" t="s">
        <v>732</v>
      </c>
      <c r="C1015" s="2">
        <v>45766</v>
      </c>
      <c r="D1015" t="s">
        <v>1007</v>
      </c>
    </row>
    <row r="1016" spans="1:4" x14ac:dyDescent="0.3">
      <c r="A1016" t="s">
        <v>2005</v>
      </c>
      <c r="B1016" t="s">
        <v>79</v>
      </c>
      <c r="C1016" s="2">
        <v>45528</v>
      </c>
      <c r="D1016" t="s">
        <v>990</v>
      </c>
    </row>
    <row r="1017" spans="1:4" x14ac:dyDescent="0.3">
      <c r="A1017" t="s">
        <v>2006</v>
      </c>
      <c r="B1017" t="s">
        <v>57</v>
      </c>
      <c r="C1017" s="2">
        <v>45659</v>
      </c>
      <c r="D1017" t="s">
        <v>990</v>
      </c>
    </row>
    <row r="1018" spans="1:4" x14ac:dyDescent="0.3">
      <c r="A1018" t="s">
        <v>2007</v>
      </c>
      <c r="B1018" t="s">
        <v>195</v>
      </c>
      <c r="C1018" s="2">
        <v>45386</v>
      </c>
      <c r="D1018" t="s">
        <v>992</v>
      </c>
    </row>
    <row r="1019" spans="1:4" x14ac:dyDescent="0.3">
      <c r="A1019" t="s">
        <v>2008</v>
      </c>
      <c r="B1019" t="s">
        <v>720</v>
      </c>
      <c r="C1019" s="2">
        <v>45343</v>
      </c>
      <c r="D1019" t="s">
        <v>1007</v>
      </c>
    </row>
    <row r="1020" spans="1:4" x14ac:dyDescent="0.3">
      <c r="A1020" t="s">
        <v>2009</v>
      </c>
      <c r="B1020" t="s">
        <v>447</v>
      </c>
      <c r="C1020" s="2">
        <v>45450</v>
      </c>
      <c r="D1020" t="s">
        <v>990</v>
      </c>
    </row>
    <row r="1021" spans="1:4" x14ac:dyDescent="0.3">
      <c r="A1021" t="s">
        <v>2010</v>
      </c>
      <c r="B1021" t="s">
        <v>324</v>
      </c>
      <c r="C1021" s="2">
        <v>45486</v>
      </c>
      <c r="D1021" t="s">
        <v>1007</v>
      </c>
    </row>
    <row r="1022" spans="1:4" x14ac:dyDescent="0.3">
      <c r="A1022" t="s">
        <v>2011</v>
      </c>
      <c r="B1022" t="s">
        <v>841</v>
      </c>
      <c r="C1022" s="2">
        <v>45395</v>
      </c>
      <c r="D1022" t="s">
        <v>992</v>
      </c>
    </row>
    <row r="1023" spans="1:4" x14ac:dyDescent="0.3">
      <c r="A1023" t="s">
        <v>2012</v>
      </c>
      <c r="B1023" t="s">
        <v>664</v>
      </c>
      <c r="C1023" s="2">
        <v>45555</v>
      </c>
      <c r="D1023" t="s">
        <v>995</v>
      </c>
    </row>
    <row r="1024" spans="1:4" x14ac:dyDescent="0.3">
      <c r="A1024" t="s">
        <v>2013</v>
      </c>
      <c r="B1024" t="s">
        <v>72</v>
      </c>
      <c r="C1024" s="2">
        <v>45453</v>
      </c>
      <c r="D1024" t="s">
        <v>1007</v>
      </c>
    </row>
    <row r="1025" spans="1:4" x14ac:dyDescent="0.3">
      <c r="A1025" t="s">
        <v>2014</v>
      </c>
      <c r="B1025" t="s">
        <v>296</v>
      </c>
      <c r="C1025" s="2">
        <v>45601</v>
      </c>
      <c r="D1025" t="s">
        <v>995</v>
      </c>
    </row>
    <row r="1026" spans="1:4" x14ac:dyDescent="0.3">
      <c r="A1026" t="s">
        <v>2015</v>
      </c>
      <c r="B1026" t="s">
        <v>375</v>
      </c>
      <c r="C1026" s="2">
        <v>45536</v>
      </c>
      <c r="D1026" t="s">
        <v>1007</v>
      </c>
    </row>
    <row r="1027" spans="1:4" x14ac:dyDescent="0.3">
      <c r="A1027" t="s">
        <v>2016</v>
      </c>
      <c r="B1027" t="s">
        <v>730</v>
      </c>
      <c r="C1027" s="2">
        <v>45319</v>
      </c>
      <c r="D1027" t="s">
        <v>995</v>
      </c>
    </row>
    <row r="1028" spans="1:4" x14ac:dyDescent="0.3">
      <c r="A1028" t="s">
        <v>2017</v>
      </c>
      <c r="B1028" t="s">
        <v>930</v>
      </c>
      <c r="C1028" s="2">
        <v>45627</v>
      </c>
      <c r="D1028" t="s">
        <v>995</v>
      </c>
    </row>
    <row r="1029" spans="1:4" x14ac:dyDescent="0.3">
      <c r="A1029" t="s">
        <v>2018</v>
      </c>
      <c r="B1029" t="s">
        <v>932</v>
      </c>
      <c r="C1029" s="2">
        <v>45769</v>
      </c>
      <c r="D1029" t="s">
        <v>995</v>
      </c>
    </row>
    <row r="1030" spans="1:4" x14ac:dyDescent="0.3">
      <c r="A1030" t="s">
        <v>2019</v>
      </c>
      <c r="B1030" t="s">
        <v>297</v>
      </c>
      <c r="C1030" s="2">
        <v>45370</v>
      </c>
      <c r="D1030" t="s">
        <v>2305</v>
      </c>
    </row>
    <row r="1031" spans="1:4" x14ac:dyDescent="0.3">
      <c r="A1031" t="s">
        <v>2020</v>
      </c>
      <c r="B1031" t="s">
        <v>70</v>
      </c>
      <c r="C1031" s="2">
        <v>45509</v>
      </c>
      <c r="D1031" t="s">
        <v>992</v>
      </c>
    </row>
    <row r="1032" spans="1:4" x14ac:dyDescent="0.3">
      <c r="A1032" t="s">
        <v>2021</v>
      </c>
      <c r="B1032" t="s">
        <v>558</v>
      </c>
      <c r="C1032" s="2">
        <v>45411</v>
      </c>
      <c r="D1032" t="s">
        <v>995</v>
      </c>
    </row>
    <row r="1033" spans="1:4" x14ac:dyDescent="0.3">
      <c r="A1033" t="s">
        <v>2022</v>
      </c>
      <c r="B1033" t="s">
        <v>944</v>
      </c>
      <c r="C1033" s="2">
        <v>45319</v>
      </c>
      <c r="D1033" t="s">
        <v>1007</v>
      </c>
    </row>
    <row r="1034" spans="1:4" x14ac:dyDescent="0.3">
      <c r="A1034" t="s">
        <v>2023</v>
      </c>
      <c r="B1034" t="s">
        <v>687</v>
      </c>
      <c r="C1034" s="2">
        <v>45842</v>
      </c>
      <c r="D1034" t="s">
        <v>995</v>
      </c>
    </row>
    <row r="1035" spans="1:4" x14ac:dyDescent="0.3">
      <c r="A1035" t="s">
        <v>2024</v>
      </c>
      <c r="B1035" t="s">
        <v>481</v>
      </c>
      <c r="C1035" s="2">
        <v>45567</v>
      </c>
      <c r="D1035" t="s">
        <v>995</v>
      </c>
    </row>
    <row r="1036" spans="1:4" x14ac:dyDescent="0.3">
      <c r="A1036" t="s">
        <v>2025</v>
      </c>
      <c r="B1036" t="s">
        <v>359</v>
      </c>
      <c r="C1036" s="2">
        <v>45410</v>
      </c>
      <c r="D1036" t="s">
        <v>995</v>
      </c>
    </row>
    <row r="1037" spans="1:4" x14ac:dyDescent="0.3">
      <c r="A1037" t="s">
        <v>2026</v>
      </c>
      <c r="B1037" t="s">
        <v>412</v>
      </c>
      <c r="C1037" s="2">
        <v>45791</v>
      </c>
      <c r="D1037" t="s">
        <v>1007</v>
      </c>
    </row>
    <row r="1038" spans="1:4" x14ac:dyDescent="0.3">
      <c r="A1038" t="s">
        <v>2027</v>
      </c>
      <c r="B1038" t="s">
        <v>932</v>
      </c>
      <c r="C1038" s="2">
        <v>45656</v>
      </c>
      <c r="D1038" t="s">
        <v>995</v>
      </c>
    </row>
    <row r="1039" spans="1:4" x14ac:dyDescent="0.3">
      <c r="A1039" t="s">
        <v>2028</v>
      </c>
      <c r="B1039" t="s">
        <v>552</v>
      </c>
      <c r="C1039" s="2">
        <v>45720</v>
      </c>
      <c r="D1039" t="s">
        <v>1007</v>
      </c>
    </row>
    <row r="1040" spans="1:4" x14ac:dyDescent="0.3">
      <c r="A1040" t="s">
        <v>2029</v>
      </c>
      <c r="B1040" t="s">
        <v>609</v>
      </c>
      <c r="C1040" s="2">
        <v>45775</v>
      </c>
      <c r="D1040" t="s">
        <v>2305</v>
      </c>
    </row>
    <row r="1041" spans="1:4" x14ac:dyDescent="0.3">
      <c r="A1041" t="s">
        <v>2030</v>
      </c>
      <c r="B1041" t="s">
        <v>184</v>
      </c>
      <c r="C1041" s="2">
        <v>45736</v>
      </c>
      <c r="D1041" t="s">
        <v>990</v>
      </c>
    </row>
    <row r="1042" spans="1:4" x14ac:dyDescent="0.3">
      <c r="A1042" t="s">
        <v>2031</v>
      </c>
      <c r="B1042" t="s">
        <v>294</v>
      </c>
      <c r="C1042" s="2">
        <v>45455</v>
      </c>
      <c r="D1042" t="s">
        <v>995</v>
      </c>
    </row>
    <row r="1043" spans="1:4" x14ac:dyDescent="0.3">
      <c r="A1043" t="s">
        <v>2032</v>
      </c>
      <c r="B1043" t="s">
        <v>441</v>
      </c>
      <c r="C1043" s="2">
        <v>45570</v>
      </c>
      <c r="D1043" t="s">
        <v>990</v>
      </c>
    </row>
    <row r="1044" spans="1:4" x14ac:dyDescent="0.3">
      <c r="A1044" t="s">
        <v>2033</v>
      </c>
      <c r="B1044" t="s">
        <v>497</v>
      </c>
      <c r="C1044" s="2">
        <v>45393</v>
      </c>
      <c r="D1044" t="s">
        <v>995</v>
      </c>
    </row>
    <row r="1045" spans="1:4" x14ac:dyDescent="0.3">
      <c r="A1045" t="s">
        <v>2034</v>
      </c>
      <c r="B1045" t="s">
        <v>827</v>
      </c>
      <c r="C1045" s="2">
        <v>45298</v>
      </c>
      <c r="D1045" t="s">
        <v>990</v>
      </c>
    </row>
    <row r="1046" spans="1:4" x14ac:dyDescent="0.3">
      <c r="A1046" t="s">
        <v>2035</v>
      </c>
      <c r="B1046" t="s">
        <v>613</v>
      </c>
      <c r="C1046" s="2">
        <v>45450</v>
      </c>
      <c r="D1046" t="s">
        <v>995</v>
      </c>
    </row>
    <row r="1047" spans="1:4" x14ac:dyDescent="0.3">
      <c r="A1047" t="s">
        <v>2036</v>
      </c>
      <c r="B1047" t="s">
        <v>898</v>
      </c>
      <c r="C1047" s="2">
        <v>45335</v>
      </c>
      <c r="D1047" t="s">
        <v>995</v>
      </c>
    </row>
    <row r="1048" spans="1:4" x14ac:dyDescent="0.3">
      <c r="A1048" t="s">
        <v>2037</v>
      </c>
      <c r="B1048" t="s">
        <v>639</v>
      </c>
      <c r="C1048" s="2">
        <v>45385</v>
      </c>
      <c r="D1048" t="s">
        <v>992</v>
      </c>
    </row>
    <row r="1049" spans="1:4" x14ac:dyDescent="0.3">
      <c r="A1049" t="s">
        <v>2038</v>
      </c>
      <c r="B1049" t="s">
        <v>377</v>
      </c>
      <c r="C1049" s="2">
        <v>45505</v>
      </c>
      <c r="D1049" t="s">
        <v>2305</v>
      </c>
    </row>
    <row r="1050" spans="1:4" x14ac:dyDescent="0.3">
      <c r="A1050" t="s">
        <v>2039</v>
      </c>
      <c r="B1050" t="s">
        <v>978</v>
      </c>
      <c r="C1050" s="2">
        <v>45534</v>
      </c>
      <c r="D1050" t="s">
        <v>2305</v>
      </c>
    </row>
    <row r="1051" spans="1:4" x14ac:dyDescent="0.3">
      <c r="A1051" t="s">
        <v>2040</v>
      </c>
      <c r="B1051" t="s">
        <v>404</v>
      </c>
      <c r="C1051" s="2">
        <v>45533</v>
      </c>
      <c r="D1051" t="s">
        <v>995</v>
      </c>
    </row>
    <row r="1052" spans="1:4" x14ac:dyDescent="0.3">
      <c r="A1052" t="s">
        <v>2041</v>
      </c>
      <c r="B1052" t="s">
        <v>864</v>
      </c>
      <c r="C1052" s="2">
        <v>45378</v>
      </c>
      <c r="D1052" t="s">
        <v>1007</v>
      </c>
    </row>
    <row r="1053" spans="1:4" x14ac:dyDescent="0.3">
      <c r="A1053" t="s">
        <v>2042</v>
      </c>
      <c r="B1053" t="s">
        <v>710</v>
      </c>
      <c r="C1053" s="2">
        <v>45651</v>
      </c>
      <c r="D1053" t="s">
        <v>1007</v>
      </c>
    </row>
    <row r="1054" spans="1:4" x14ac:dyDescent="0.3">
      <c r="A1054" t="s">
        <v>2043</v>
      </c>
      <c r="B1054" t="s">
        <v>815</v>
      </c>
      <c r="C1054" s="2">
        <v>45343</v>
      </c>
      <c r="D1054" t="s">
        <v>990</v>
      </c>
    </row>
    <row r="1055" spans="1:4" x14ac:dyDescent="0.3">
      <c r="A1055" t="s">
        <v>2044</v>
      </c>
      <c r="B1055" t="s">
        <v>678</v>
      </c>
      <c r="C1055" s="2">
        <v>45472</v>
      </c>
      <c r="D1055" t="s">
        <v>990</v>
      </c>
    </row>
    <row r="1056" spans="1:4" x14ac:dyDescent="0.3">
      <c r="A1056" t="s">
        <v>2045</v>
      </c>
      <c r="B1056" t="s">
        <v>312</v>
      </c>
      <c r="C1056" s="2">
        <v>45530</v>
      </c>
      <c r="D1056" t="s">
        <v>1007</v>
      </c>
    </row>
    <row r="1057" spans="1:4" x14ac:dyDescent="0.3">
      <c r="A1057" t="s">
        <v>2046</v>
      </c>
      <c r="B1057" t="s">
        <v>93</v>
      </c>
      <c r="C1057" s="2">
        <v>45933</v>
      </c>
      <c r="D1057" t="s">
        <v>2305</v>
      </c>
    </row>
    <row r="1058" spans="1:4" x14ac:dyDescent="0.3">
      <c r="A1058" t="s">
        <v>2047</v>
      </c>
      <c r="B1058" t="s">
        <v>714</v>
      </c>
      <c r="C1058" s="2">
        <v>45552</v>
      </c>
      <c r="D1058" t="s">
        <v>990</v>
      </c>
    </row>
    <row r="1059" spans="1:4" x14ac:dyDescent="0.3">
      <c r="A1059" t="s">
        <v>2048</v>
      </c>
      <c r="B1059" t="s">
        <v>871</v>
      </c>
      <c r="C1059" s="2">
        <v>45609</v>
      </c>
      <c r="D1059" t="s">
        <v>995</v>
      </c>
    </row>
    <row r="1060" spans="1:4" x14ac:dyDescent="0.3">
      <c r="A1060" t="s">
        <v>2049</v>
      </c>
      <c r="B1060" t="s">
        <v>13</v>
      </c>
      <c r="C1060" s="2">
        <v>45662</v>
      </c>
      <c r="D1060" t="s">
        <v>995</v>
      </c>
    </row>
    <row r="1061" spans="1:4" x14ac:dyDescent="0.3">
      <c r="A1061" t="s">
        <v>2050</v>
      </c>
      <c r="B1061" t="s">
        <v>738</v>
      </c>
      <c r="C1061" s="2">
        <v>45639</v>
      </c>
      <c r="D1061" t="s">
        <v>990</v>
      </c>
    </row>
    <row r="1062" spans="1:4" x14ac:dyDescent="0.3">
      <c r="A1062" t="s">
        <v>2051</v>
      </c>
      <c r="B1062" t="s">
        <v>447</v>
      </c>
      <c r="C1062" s="2">
        <v>45466</v>
      </c>
      <c r="D1062" t="s">
        <v>990</v>
      </c>
    </row>
    <row r="1063" spans="1:4" x14ac:dyDescent="0.3">
      <c r="A1063" t="s">
        <v>2052</v>
      </c>
      <c r="B1063" t="s">
        <v>373</v>
      </c>
      <c r="C1063" s="2">
        <v>45438</v>
      </c>
      <c r="D1063" t="s">
        <v>995</v>
      </c>
    </row>
    <row r="1064" spans="1:4" x14ac:dyDescent="0.3">
      <c r="A1064" t="s">
        <v>2053</v>
      </c>
      <c r="B1064" t="s">
        <v>63</v>
      </c>
      <c r="C1064" s="2">
        <v>45607</v>
      </c>
      <c r="D1064" t="s">
        <v>2305</v>
      </c>
    </row>
    <row r="1065" spans="1:4" x14ac:dyDescent="0.3">
      <c r="A1065" t="s">
        <v>2054</v>
      </c>
      <c r="B1065" t="s">
        <v>888</v>
      </c>
      <c r="C1065" s="2">
        <v>45545</v>
      </c>
      <c r="D1065" t="s">
        <v>990</v>
      </c>
    </row>
    <row r="1066" spans="1:4" x14ac:dyDescent="0.3">
      <c r="A1066" t="s">
        <v>2055</v>
      </c>
      <c r="B1066" t="s">
        <v>49</v>
      </c>
      <c r="C1066" s="2">
        <v>45471</v>
      </c>
      <c r="D1066" t="s">
        <v>990</v>
      </c>
    </row>
    <row r="1067" spans="1:4" x14ac:dyDescent="0.3">
      <c r="A1067" t="s">
        <v>2056</v>
      </c>
      <c r="B1067" t="s">
        <v>961</v>
      </c>
      <c r="C1067" s="2">
        <v>45351</v>
      </c>
      <c r="D1067" t="s">
        <v>992</v>
      </c>
    </row>
    <row r="1068" spans="1:4" x14ac:dyDescent="0.3">
      <c r="A1068" t="s">
        <v>2057</v>
      </c>
      <c r="B1068" t="s">
        <v>781</v>
      </c>
      <c r="C1068" s="2">
        <v>45515</v>
      </c>
      <c r="D1068" t="s">
        <v>992</v>
      </c>
    </row>
    <row r="1069" spans="1:4" x14ac:dyDescent="0.3">
      <c r="A1069" t="s">
        <v>2058</v>
      </c>
      <c r="B1069" t="s">
        <v>42</v>
      </c>
      <c r="C1069" s="2">
        <v>45481</v>
      </c>
      <c r="D1069" t="s">
        <v>1007</v>
      </c>
    </row>
    <row r="1070" spans="1:4" x14ac:dyDescent="0.3">
      <c r="A1070" t="s">
        <v>2059</v>
      </c>
      <c r="B1070" t="s">
        <v>732</v>
      </c>
      <c r="C1070" s="2">
        <v>45706</v>
      </c>
      <c r="D1070" t="s">
        <v>1007</v>
      </c>
    </row>
    <row r="1071" spans="1:4" x14ac:dyDescent="0.3">
      <c r="A1071" t="s">
        <v>2060</v>
      </c>
      <c r="B1071" t="s">
        <v>558</v>
      </c>
      <c r="C1071" s="2">
        <v>45748</v>
      </c>
      <c r="D1071" t="s">
        <v>992</v>
      </c>
    </row>
    <row r="1072" spans="1:4" x14ac:dyDescent="0.3">
      <c r="A1072" t="s">
        <v>2061</v>
      </c>
      <c r="B1072" t="s">
        <v>494</v>
      </c>
      <c r="C1072" s="2">
        <v>45374</v>
      </c>
      <c r="D1072" t="s">
        <v>990</v>
      </c>
    </row>
    <row r="1073" spans="1:4" x14ac:dyDescent="0.3">
      <c r="A1073" t="s">
        <v>2062</v>
      </c>
      <c r="B1073" t="s">
        <v>53</v>
      </c>
      <c r="C1073" s="2">
        <v>45330</v>
      </c>
      <c r="D1073" t="s">
        <v>995</v>
      </c>
    </row>
    <row r="1074" spans="1:4" x14ac:dyDescent="0.3">
      <c r="A1074" t="s">
        <v>2063</v>
      </c>
      <c r="B1074" t="s">
        <v>129</v>
      </c>
      <c r="C1074" s="2">
        <v>45669</v>
      </c>
      <c r="D1074" t="s">
        <v>995</v>
      </c>
    </row>
    <row r="1075" spans="1:4" x14ac:dyDescent="0.3">
      <c r="A1075" t="s">
        <v>2064</v>
      </c>
      <c r="B1075" t="s">
        <v>629</v>
      </c>
      <c r="C1075" s="2">
        <v>45408</v>
      </c>
      <c r="D1075" t="s">
        <v>1007</v>
      </c>
    </row>
    <row r="1076" spans="1:4" x14ac:dyDescent="0.3">
      <c r="A1076" t="s">
        <v>2065</v>
      </c>
      <c r="B1076" t="s">
        <v>880</v>
      </c>
      <c r="C1076" s="2">
        <v>45427</v>
      </c>
      <c r="D1076" t="s">
        <v>1007</v>
      </c>
    </row>
    <row r="1077" spans="1:4" x14ac:dyDescent="0.3">
      <c r="A1077" t="s">
        <v>2066</v>
      </c>
      <c r="B1077" t="s">
        <v>297</v>
      </c>
      <c r="C1077" s="2">
        <v>45545</v>
      </c>
      <c r="D1077" t="s">
        <v>1007</v>
      </c>
    </row>
    <row r="1078" spans="1:4" x14ac:dyDescent="0.3">
      <c r="A1078" t="s">
        <v>2067</v>
      </c>
      <c r="B1078" t="s">
        <v>307</v>
      </c>
      <c r="C1078" s="2">
        <v>45514</v>
      </c>
      <c r="D1078" t="s">
        <v>1007</v>
      </c>
    </row>
    <row r="1079" spans="1:4" x14ac:dyDescent="0.3">
      <c r="A1079" t="s">
        <v>2068</v>
      </c>
      <c r="B1079" t="s">
        <v>441</v>
      </c>
      <c r="C1079" s="2">
        <v>45731</v>
      </c>
      <c r="D1079" t="s">
        <v>990</v>
      </c>
    </row>
    <row r="1080" spans="1:4" x14ac:dyDescent="0.3">
      <c r="A1080" t="s">
        <v>2069</v>
      </c>
      <c r="B1080" t="s">
        <v>852</v>
      </c>
      <c r="C1080" s="2">
        <v>45339</v>
      </c>
      <c r="D1080" t="s">
        <v>995</v>
      </c>
    </row>
    <row r="1081" spans="1:4" x14ac:dyDescent="0.3">
      <c r="A1081" t="s">
        <v>2070</v>
      </c>
      <c r="B1081" t="s">
        <v>262</v>
      </c>
      <c r="C1081" s="2">
        <v>45792</v>
      </c>
      <c r="D1081" t="s">
        <v>1007</v>
      </c>
    </row>
    <row r="1082" spans="1:4" x14ac:dyDescent="0.3">
      <c r="A1082" t="s">
        <v>2071</v>
      </c>
      <c r="B1082" t="s">
        <v>180</v>
      </c>
      <c r="C1082" s="2">
        <v>45320</v>
      </c>
      <c r="D1082" t="s">
        <v>1007</v>
      </c>
    </row>
    <row r="1083" spans="1:4" x14ac:dyDescent="0.3">
      <c r="A1083" t="s">
        <v>2072</v>
      </c>
      <c r="B1083" t="s">
        <v>87</v>
      </c>
      <c r="C1083" s="2">
        <v>45303</v>
      </c>
      <c r="D1083" t="s">
        <v>995</v>
      </c>
    </row>
    <row r="1084" spans="1:4" x14ac:dyDescent="0.3">
      <c r="A1084" t="s">
        <v>2073</v>
      </c>
      <c r="B1084" t="s">
        <v>236</v>
      </c>
      <c r="C1084" s="2">
        <v>45529</v>
      </c>
      <c r="D1084" t="s">
        <v>1007</v>
      </c>
    </row>
    <row r="1085" spans="1:4" x14ac:dyDescent="0.3">
      <c r="A1085" t="s">
        <v>2074</v>
      </c>
      <c r="B1085" t="s">
        <v>371</v>
      </c>
      <c r="C1085" s="2">
        <v>45600</v>
      </c>
      <c r="D1085" t="s">
        <v>990</v>
      </c>
    </row>
    <row r="1086" spans="1:4" x14ac:dyDescent="0.3">
      <c r="A1086" t="s">
        <v>2075</v>
      </c>
      <c r="B1086" t="s">
        <v>404</v>
      </c>
      <c r="C1086" s="2">
        <v>45476</v>
      </c>
      <c r="D1086" t="s">
        <v>990</v>
      </c>
    </row>
    <row r="1087" spans="1:4" x14ac:dyDescent="0.3">
      <c r="A1087" t="s">
        <v>2076</v>
      </c>
      <c r="B1087" t="s">
        <v>659</v>
      </c>
      <c r="C1087" s="2">
        <v>45492</v>
      </c>
      <c r="D1087" t="s">
        <v>992</v>
      </c>
    </row>
    <row r="1088" spans="1:4" x14ac:dyDescent="0.3">
      <c r="A1088" t="s">
        <v>2077</v>
      </c>
      <c r="B1088" t="s">
        <v>898</v>
      </c>
      <c r="C1088" s="2">
        <v>45411</v>
      </c>
      <c r="D1088" t="s">
        <v>1007</v>
      </c>
    </row>
    <row r="1089" spans="1:4" x14ac:dyDescent="0.3">
      <c r="A1089" t="s">
        <v>2078</v>
      </c>
      <c r="B1089" t="s">
        <v>359</v>
      </c>
      <c r="C1089" s="2">
        <v>45376</v>
      </c>
      <c r="D1089" t="s">
        <v>995</v>
      </c>
    </row>
    <row r="1090" spans="1:4" x14ac:dyDescent="0.3">
      <c r="A1090" t="s">
        <v>2079</v>
      </c>
      <c r="B1090" t="s">
        <v>708</v>
      </c>
      <c r="C1090" s="2">
        <v>45612</v>
      </c>
      <c r="D1090" t="s">
        <v>1007</v>
      </c>
    </row>
    <row r="1091" spans="1:4" x14ac:dyDescent="0.3">
      <c r="A1091" t="s">
        <v>2080</v>
      </c>
      <c r="B1091" t="s">
        <v>898</v>
      </c>
      <c r="C1091" s="2">
        <v>45563</v>
      </c>
      <c r="D1091" t="s">
        <v>1007</v>
      </c>
    </row>
    <row r="1092" spans="1:4" x14ac:dyDescent="0.3">
      <c r="A1092" t="s">
        <v>2081</v>
      </c>
      <c r="B1092" t="s">
        <v>886</v>
      </c>
      <c r="C1092" s="2">
        <v>45483</v>
      </c>
      <c r="D1092" t="s">
        <v>1007</v>
      </c>
    </row>
    <row r="1093" spans="1:4" x14ac:dyDescent="0.3">
      <c r="A1093" t="s">
        <v>2082</v>
      </c>
      <c r="B1093" t="s">
        <v>910</v>
      </c>
      <c r="C1093" s="2">
        <v>45516</v>
      </c>
      <c r="D1093" t="s">
        <v>990</v>
      </c>
    </row>
    <row r="1094" spans="1:4" x14ac:dyDescent="0.3">
      <c r="A1094" t="s">
        <v>2083</v>
      </c>
      <c r="B1094" t="s">
        <v>799</v>
      </c>
      <c r="C1094" s="2">
        <v>45553</v>
      </c>
      <c r="D1094" t="s">
        <v>1007</v>
      </c>
    </row>
    <row r="1095" spans="1:4" x14ac:dyDescent="0.3">
      <c r="A1095" t="s">
        <v>2084</v>
      </c>
      <c r="B1095" t="s">
        <v>294</v>
      </c>
      <c r="C1095" s="2">
        <v>45546</v>
      </c>
      <c r="D1095" t="s">
        <v>990</v>
      </c>
    </row>
    <row r="1096" spans="1:4" x14ac:dyDescent="0.3">
      <c r="A1096" t="s">
        <v>2085</v>
      </c>
      <c r="B1096" t="s">
        <v>322</v>
      </c>
      <c r="C1096" s="2">
        <v>45645</v>
      </c>
      <c r="D1096" t="s">
        <v>1007</v>
      </c>
    </row>
    <row r="1097" spans="1:4" x14ac:dyDescent="0.3">
      <c r="A1097" t="s">
        <v>2086</v>
      </c>
      <c r="B1097" t="s">
        <v>864</v>
      </c>
      <c r="C1097" s="2">
        <v>45702</v>
      </c>
      <c r="D1097" t="s">
        <v>1007</v>
      </c>
    </row>
    <row r="1098" spans="1:4" x14ac:dyDescent="0.3">
      <c r="A1098" t="s">
        <v>2087</v>
      </c>
      <c r="B1098" t="s">
        <v>730</v>
      </c>
      <c r="C1098" s="2">
        <v>45504</v>
      </c>
      <c r="D1098" t="s">
        <v>995</v>
      </c>
    </row>
    <row r="1099" spans="1:4" x14ac:dyDescent="0.3">
      <c r="A1099" t="s">
        <v>2088</v>
      </c>
      <c r="B1099" t="s">
        <v>767</v>
      </c>
      <c r="C1099" s="2">
        <v>45839</v>
      </c>
      <c r="D1099" t="s">
        <v>990</v>
      </c>
    </row>
    <row r="1100" spans="1:4" x14ac:dyDescent="0.3">
      <c r="A1100" t="s">
        <v>2089</v>
      </c>
      <c r="B1100" t="s">
        <v>674</v>
      </c>
      <c r="C1100" s="2">
        <v>45783</v>
      </c>
      <c r="D1100" t="s">
        <v>995</v>
      </c>
    </row>
    <row r="1101" spans="1:4" x14ac:dyDescent="0.3">
      <c r="A1101" t="s">
        <v>2090</v>
      </c>
      <c r="B1101" t="s">
        <v>639</v>
      </c>
      <c r="C1101" s="2">
        <v>45750</v>
      </c>
      <c r="D1101" t="s">
        <v>995</v>
      </c>
    </row>
    <row r="1102" spans="1:4" x14ac:dyDescent="0.3">
      <c r="A1102" t="s">
        <v>2091</v>
      </c>
      <c r="B1102" t="s">
        <v>544</v>
      </c>
      <c r="C1102" s="2">
        <v>45754</v>
      </c>
      <c r="D1102" t="s">
        <v>1007</v>
      </c>
    </row>
    <row r="1103" spans="1:4" x14ac:dyDescent="0.3">
      <c r="A1103" t="s">
        <v>2092</v>
      </c>
      <c r="B1103" t="s">
        <v>661</v>
      </c>
      <c r="C1103" s="2">
        <v>45602</v>
      </c>
      <c r="D1103" t="s">
        <v>992</v>
      </c>
    </row>
    <row r="1104" spans="1:4" x14ac:dyDescent="0.3">
      <c r="A1104" t="s">
        <v>2093</v>
      </c>
      <c r="B1104" t="s">
        <v>680</v>
      </c>
      <c r="C1104" s="2">
        <v>45373</v>
      </c>
      <c r="D1104" t="s">
        <v>2305</v>
      </c>
    </row>
    <row r="1105" spans="1:4" x14ac:dyDescent="0.3">
      <c r="A1105" t="s">
        <v>2094</v>
      </c>
      <c r="B1105" t="s">
        <v>556</v>
      </c>
      <c r="C1105" s="2">
        <v>45731</v>
      </c>
      <c r="D1105" t="s">
        <v>2305</v>
      </c>
    </row>
    <row r="1106" spans="1:4" x14ac:dyDescent="0.3">
      <c r="A1106" t="s">
        <v>2095</v>
      </c>
      <c r="B1106" t="s">
        <v>103</v>
      </c>
      <c r="C1106" s="2">
        <v>45368</v>
      </c>
      <c r="D1106" t="s">
        <v>1007</v>
      </c>
    </row>
    <row r="1107" spans="1:4" x14ac:dyDescent="0.3">
      <c r="A1107" t="s">
        <v>2096</v>
      </c>
      <c r="B1107" t="s">
        <v>837</v>
      </c>
      <c r="C1107" s="2">
        <v>45756</v>
      </c>
      <c r="D1107" t="s">
        <v>990</v>
      </c>
    </row>
    <row r="1108" spans="1:4" x14ac:dyDescent="0.3">
      <c r="A1108" t="s">
        <v>2097</v>
      </c>
      <c r="B1108" t="s">
        <v>13</v>
      </c>
      <c r="C1108" s="2">
        <v>45336</v>
      </c>
      <c r="D1108" t="s">
        <v>995</v>
      </c>
    </row>
    <row r="1109" spans="1:4" x14ac:dyDescent="0.3">
      <c r="A1109" t="s">
        <v>2098</v>
      </c>
      <c r="B1109" t="s">
        <v>216</v>
      </c>
      <c r="C1109" s="2">
        <v>45484</v>
      </c>
      <c r="D1109" t="s">
        <v>1007</v>
      </c>
    </row>
    <row r="1110" spans="1:4" x14ac:dyDescent="0.3">
      <c r="A1110" t="s">
        <v>2099</v>
      </c>
      <c r="B1110" t="s">
        <v>877</v>
      </c>
      <c r="C1110" s="2">
        <v>45518</v>
      </c>
      <c r="D1110" t="s">
        <v>992</v>
      </c>
    </row>
    <row r="1111" spans="1:4" x14ac:dyDescent="0.3">
      <c r="A1111" t="s">
        <v>2100</v>
      </c>
      <c r="B1111" t="s">
        <v>174</v>
      </c>
      <c r="C1111" s="2">
        <v>45665</v>
      </c>
      <c r="D1111" t="s">
        <v>990</v>
      </c>
    </row>
    <row r="1112" spans="1:4" x14ac:dyDescent="0.3">
      <c r="A1112" t="s">
        <v>2101</v>
      </c>
      <c r="B1112" t="s">
        <v>205</v>
      </c>
      <c r="C1112" s="2">
        <v>45310</v>
      </c>
      <c r="D1112" t="s">
        <v>992</v>
      </c>
    </row>
    <row r="1113" spans="1:4" x14ac:dyDescent="0.3">
      <c r="A1113" t="s">
        <v>2102</v>
      </c>
      <c r="B1113" t="s">
        <v>437</v>
      </c>
      <c r="C1113" s="2">
        <v>45353</v>
      </c>
      <c r="D1113" t="s">
        <v>992</v>
      </c>
    </row>
    <row r="1114" spans="1:4" x14ac:dyDescent="0.3">
      <c r="A1114" t="s">
        <v>2103</v>
      </c>
      <c r="B1114" t="s">
        <v>562</v>
      </c>
      <c r="C1114" s="2">
        <v>45692</v>
      </c>
      <c r="D1114" t="s">
        <v>995</v>
      </c>
    </row>
    <row r="1115" spans="1:4" x14ac:dyDescent="0.3">
      <c r="A1115" t="s">
        <v>2104</v>
      </c>
      <c r="B1115" t="s">
        <v>864</v>
      </c>
      <c r="C1115" s="2">
        <v>45561</v>
      </c>
      <c r="D1115" t="s">
        <v>992</v>
      </c>
    </row>
    <row r="1116" spans="1:4" x14ac:dyDescent="0.3">
      <c r="A1116" t="s">
        <v>2105</v>
      </c>
      <c r="B1116" t="s">
        <v>920</v>
      </c>
      <c r="C1116" s="2">
        <v>45621</v>
      </c>
      <c r="D1116" t="s">
        <v>990</v>
      </c>
    </row>
    <row r="1117" spans="1:4" x14ac:dyDescent="0.3">
      <c r="A1117" t="s">
        <v>2106</v>
      </c>
      <c r="B1117" t="s">
        <v>953</v>
      </c>
      <c r="C1117" s="2">
        <v>45782</v>
      </c>
      <c r="D1117" t="s">
        <v>1007</v>
      </c>
    </row>
    <row r="1118" spans="1:4" x14ac:dyDescent="0.3">
      <c r="A1118" t="s">
        <v>2107</v>
      </c>
      <c r="B1118" t="s">
        <v>299</v>
      </c>
      <c r="C1118" s="2">
        <v>45707</v>
      </c>
      <c r="D1118" t="s">
        <v>992</v>
      </c>
    </row>
    <row r="1119" spans="1:4" x14ac:dyDescent="0.3">
      <c r="A1119" t="s">
        <v>2108</v>
      </c>
      <c r="B1119" t="s">
        <v>117</v>
      </c>
      <c r="C1119" s="2">
        <v>45393</v>
      </c>
      <c r="D1119" t="s">
        <v>995</v>
      </c>
    </row>
    <row r="1120" spans="1:4" x14ac:dyDescent="0.3">
      <c r="A1120" t="s">
        <v>2109</v>
      </c>
      <c r="B1120" t="s">
        <v>710</v>
      </c>
      <c r="C1120" s="2">
        <v>45618</v>
      </c>
      <c r="D1120" t="s">
        <v>995</v>
      </c>
    </row>
    <row r="1121" spans="1:4" x14ac:dyDescent="0.3">
      <c r="A1121" t="s">
        <v>2110</v>
      </c>
      <c r="B1121" t="s">
        <v>525</v>
      </c>
      <c r="C1121" s="2">
        <v>45709</v>
      </c>
      <c r="D1121" t="s">
        <v>1007</v>
      </c>
    </row>
    <row r="1122" spans="1:4" x14ac:dyDescent="0.3">
      <c r="A1122" t="s">
        <v>2111</v>
      </c>
      <c r="B1122" t="s">
        <v>896</v>
      </c>
      <c r="C1122" s="2">
        <v>45536</v>
      </c>
      <c r="D1122" t="s">
        <v>1007</v>
      </c>
    </row>
    <row r="1123" spans="1:4" x14ac:dyDescent="0.3">
      <c r="A1123" t="s">
        <v>2112</v>
      </c>
      <c r="B1123" t="s">
        <v>174</v>
      </c>
      <c r="C1123" s="2">
        <v>45727</v>
      </c>
      <c r="D1123" t="s">
        <v>995</v>
      </c>
    </row>
    <row r="1124" spans="1:4" x14ac:dyDescent="0.3">
      <c r="A1124" t="s">
        <v>2113</v>
      </c>
      <c r="B1124" t="s">
        <v>936</v>
      </c>
      <c r="C1124" s="2">
        <v>45599</v>
      </c>
      <c r="D1124" t="s">
        <v>1007</v>
      </c>
    </row>
    <row r="1125" spans="1:4" x14ac:dyDescent="0.3">
      <c r="A1125" t="s">
        <v>2114</v>
      </c>
      <c r="B1125" t="s">
        <v>587</v>
      </c>
      <c r="C1125" s="2">
        <v>45467</v>
      </c>
      <c r="D1125" t="s">
        <v>995</v>
      </c>
    </row>
    <row r="1126" spans="1:4" x14ac:dyDescent="0.3">
      <c r="A1126" t="s">
        <v>2115</v>
      </c>
      <c r="B1126" t="s">
        <v>282</v>
      </c>
      <c r="C1126" s="2">
        <v>45622</v>
      </c>
      <c r="D1126" t="s">
        <v>995</v>
      </c>
    </row>
    <row r="1127" spans="1:4" x14ac:dyDescent="0.3">
      <c r="A1127" t="s">
        <v>2116</v>
      </c>
      <c r="B1127" t="s">
        <v>864</v>
      </c>
      <c r="C1127" s="2">
        <v>45425</v>
      </c>
      <c r="D1127" t="s">
        <v>995</v>
      </c>
    </row>
    <row r="1128" spans="1:4" x14ac:dyDescent="0.3">
      <c r="A1128" t="s">
        <v>2117</v>
      </c>
      <c r="B1128" t="s">
        <v>336</v>
      </c>
      <c r="C1128" s="2">
        <v>45756</v>
      </c>
      <c r="D1128" t="s">
        <v>2305</v>
      </c>
    </row>
    <row r="1129" spans="1:4" x14ac:dyDescent="0.3">
      <c r="A1129" t="s">
        <v>2118</v>
      </c>
      <c r="B1129" t="s">
        <v>456</v>
      </c>
      <c r="C1129" s="2">
        <v>45420</v>
      </c>
      <c r="D1129" t="s">
        <v>1007</v>
      </c>
    </row>
    <row r="1130" spans="1:4" x14ac:dyDescent="0.3">
      <c r="A1130" t="s">
        <v>2119</v>
      </c>
      <c r="B1130" t="s">
        <v>450</v>
      </c>
      <c r="C1130" s="2">
        <v>45374</v>
      </c>
      <c r="D1130" t="s">
        <v>992</v>
      </c>
    </row>
    <row r="1131" spans="1:4" x14ac:dyDescent="0.3">
      <c r="A1131" t="s">
        <v>2120</v>
      </c>
      <c r="B1131" t="s">
        <v>137</v>
      </c>
      <c r="C1131" s="2">
        <v>45614</v>
      </c>
      <c r="D1131" t="s">
        <v>2305</v>
      </c>
    </row>
    <row r="1132" spans="1:4" x14ac:dyDescent="0.3">
      <c r="A1132" t="s">
        <v>2121</v>
      </c>
      <c r="B1132" t="s">
        <v>433</v>
      </c>
      <c r="C1132" s="2">
        <v>45342</v>
      </c>
      <c r="D1132" t="s">
        <v>2305</v>
      </c>
    </row>
    <row r="1133" spans="1:4" x14ac:dyDescent="0.3">
      <c r="A1133" t="s">
        <v>2122</v>
      </c>
      <c r="B1133" t="s">
        <v>633</v>
      </c>
      <c r="C1133" s="2">
        <v>45641</v>
      </c>
      <c r="D1133" t="s">
        <v>990</v>
      </c>
    </row>
    <row r="1134" spans="1:4" x14ac:dyDescent="0.3">
      <c r="A1134" t="s">
        <v>2123</v>
      </c>
      <c r="B1134" t="s">
        <v>471</v>
      </c>
      <c r="C1134" s="2">
        <v>45626</v>
      </c>
      <c r="D1134" t="s">
        <v>2305</v>
      </c>
    </row>
    <row r="1135" spans="1:4" x14ac:dyDescent="0.3">
      <c r="A1135" t="s">
        <v>2124</v>
      </c>
      <c r="B1135" t="s">
        <v>400</v>
      </c>
      <c r="C1135" s="2">
        <v>45764</v>
      </c>
      <c r="D1135" t="s">
        <v>995</v>
      </c>
    </row>
    <row r="1136" spans="1:4" x14ac:dyDescent="0.3">
      <c r="A1136" t="s">
        <v>2125</v>
      </c>
      <c r="B1136" t="s">
        <v>249</v>
      </c>
      <c r="C1136" s="2">
        <v>45575</v>
      </c>
      <c r="D1136" t="s">
        <v>990</v>
      </c>
    </row>
    <row r="1137" spans="1:4" x14ac:dyDescent="0.3">
      <c r="A1137" t="s">
        <v>2126</v>
      </c>
      <c r="B1137" t="s">
        <v>344</v>
      </c>
      <c r="C1137" s="2">
        <v>45760</v>
      </c>
      <c r="D1137" t="s">
        <v>2305</v>
      </c>
    </row>
    <row r="1138" spans="1:4" x14ac:dyDescent="0.3">
      <c r="A1138" t="s">
        <v>2127</v>
      </c>
      <c r="B1138" t="s">
        <v>946</v>
      </c>
      <c r="C1138" s="2">
        <v>45544</v>
      </c>
      <c r="D1138" t="s">
        <v>990</v>
      </c>
    </row>
    <row r="1139" spans="1:4" x14ac:dyDescent="0.3">
      <c r="A1139" t="s">
        <v>2128</v>
      </c>
      <c r="B1139" t="s">
        <v>208</v>
      </c>
      <c r="C1139" s="2">
        <v>45575</v>
      </c>
      <c r="D1139" t="s">
        <v>990</v>
      </c>
    </row>
    <row r="1140" spans="1:4" x14ac:dyDescent="0.3">
      <c r="A1140" t="s">
        <v>2129</v>
      </c>
      <c r="B1140" t="s">
        <v>334</v>
      </c>
      <c r="C1140" s="2">
        <v>45467</v>
      </c>
      <c r="D1140" t="s">
        <v>990</v>
      </c>
    </row>
    <row r="1141" spans="1:4" x14ac:dyDescent="0.3">
      <c r="A1141" t="s">
        <v>2130</v>
      </c>
      <c r="B1141" t="s">
        <v>765</v>
      </c>
      <c r="C1141" s="2">
        <v>45783</v>
      </c>
      <c r="D1141" t="s">
        <v>995</v>
      </c>
    </row>
    <row r="1142" spans="1:4" x14ac:dyDescent="0.3">
      <c r="A1142" t="s">
        <v>2131</v>
      </c>
      <c r="B1142" t="s">
        <v>268</v>
      </c>
      <c r="C1142" s="2">
        <v>45590</v>
      </c>
      <c r="D1142" t="s">
        <v>990</v>
      </c>
    </row>
    <row r="1143" spans="1:4" x14ac:dyDescent="0.3">
      <c r="A1143" t="s">
        <v>2132</v>
      </c>
      <c r="B1143" t="s">
        <v>777</v>
      </c>
      <c r="C1143" s="2">
        <v>45587</v>
      </c>
      <c r="D1143" t="s">
        <v>995</v>
      </c>
    </row>
    <row r="1144" spans="1:4" x14ac:dyDescent="0.3">
      <c r="A1144" t="s">
        <v>2133</v>
      </c>
      <c r="B1144" t="s">
        <v>635</v>
      </c>
      <c r="C1144" s="2">
        <v>45686</v>
      </c>
      <c r="D1144" t="s">
        <v>990</v>
      </c>
    </row>
    <row r="1145" spans="1:4" x14ac:dyDescent="0.3">
      <c r="A1145" t="s">
        <v>2134</v>
      </c>
      <c r="B1145" t="s">
        <v>418</v>
      </c>
      <c r="C1145" s="2">
        <v>45526</v>
      </c>
      <c r="D1145" t="s">
        <v>992</v>
      </c>
    </row>
    <row r="1146" spans="1:4" x14ac:dyDescent="0.3">
      <c r="A1146" t="s">
        <v>2135</v>
      </c>
      <c r="B1146" t="s">
        <v>918</v>
      </c>
      <c r="C1146" s="2">
        <v>45614</v>
      </c>
      <c r="D1146" t="s">
        <v>990</v>
      </c>
    </row>
    <row r="1147" spans="1:4" x14ac:dyDescent="0.3">
      <c r="A1147" t="s">
        <v>2136</v>
      </c>
      <c r="B1147" t="s">
        <v>969</v>
      </c>
      <c r="C1147" s="2">
        <v>45662</v>
      </c>
      <c r="D1147" t="s">
        <v>995</v>
      </c>
    </row>
    <row r="1148" spans="1:4" x14ac:dyDescent="0.3">
      <c r="A1148" t="s">
        <v>2137</v>
      </c>
      <c r="B1148" t="s">
        <v>359</v>
      </c>
      <c r="C1148" s="2">
        <v>45476</v>
      </c>
      <c r="D1148" t="s">
        <v>995</v>
      </c>
    </row>
    <row r="1149" spans="1:4" x14ac:dyDescent="0.3">
      <c r="A1149" t="s">
        <v>2138</v>
      </c>
      <c r="B1149" t="s">
        <v>607</v>
      </c>
      <c r="C1149" s="2">
        <v>45442</v>
      </c>
      <c r="D1149" t="s">
        <v>995</v>
      </c>
    </row>
    <row r="1150" spans="1:4" x14ac:dyDescent="0.3">
      <c r="A1150" t="s">
        <v>2139</v>
      </c>
      <c r="B1150" t="s">
        <v>138</v>
      </c>
      <c r="C1150" s="2">
        <v>45507</v>
      </c>
      <c r="D1150" t="s">
        <v>995</v>
      </c>
    </row>
    <row r="1151" spans="1:4" x14ac:dyDescent="0.3">
      <c r="A1151" t="s">
        <v>2140</v>
      </c>
      <c r="B1151" t="s">
        <v>152</v>
      </c>
      <c r="C1151" s="2">
        <v>45397</v>
      </c>
      <c r="D1151" t="s">
        <v>1007</v>
      </c>
    </row>
    <row r="1152" spans="1:4" x14ac:dyDescent="0.3">
      <c r="A1152" t="s">
        <v>2141</v>
      </c>
      <c r="B1152" t="s">
        <v>481</v>
      </c>
      <c r="C1152" s="2">
        <v>45634</v>
      </c>
      <c r="D1152" t="s">
        <v>992</v>
      </c>
    </row>
    <row r="1153" spans="1:4" x14ac:dyDescent="0.3">
      <c r="A1153" t="s">
        <v>2142</v>
      </c>
      <c r="B1153" t="s">
        <v>212</v>
      </c>
      <c r="C1153" s="2">
        <v>45508</v>
      </c>
      <c r="D1153" t="s">
        <v>1007</v>
      </c>
    </row>
    <row r="1154" spans="1:4" x14ac:dyDescent="0.3">
      <c r="A1154" t="s">
        <v>2143</v>
      </c>
      <c r="B1154" t="s">
        <v>538</v>
      </c>
      <c r="C1154" s="2">
        <v>45317</v>
      </c>
      <c r="D1154" t="s">
        <v>1007</v>
      </c>
    </row>
    <row r="1155" spans="1:4" x14ac:dyDescent="0.3">
      <c r="A1155" t="s">
        <v>2144</v>
      </c>
      <c r="B1155" t="s">
        <v>568</v>
      </c>
      <c r="C1155" s="2">
        <v>45541</v>
      </c>
      <c r="D1155" t="s">
        <v>1007</v>
      </c>
    </row>
    <row r="1156" spans="1:4" x14ac:dyDescent="0.3">
      <c r="A1156" t="s">
        <v>2145</v>
      </c>
      <c r="B1156" t="s">
        <v>839</v>
      </c>
      <c r="C1156" s="2">
        <v>45471</v>
      </c>
      <c r="D1156" t="s">
        <v>995</v>
      </c>
    </row>
    <row r="1157" spans="1:4" x14ac:dyDescent="0.3">
      <c r="A1157" t="s">
        <v>2146</v>
      </c>
      <c r="B1157" t="s">
        <v>33</v>
      </c>
      <c r="C1157" s="2">
        <v>45585</v>
      </c>
      <c r="D1157" t="s">
        <v>995</v>
      </c>
    </row>
    <row r="1158" spans="1:4" x14ac:dyDescent="0.3">
      <c r="A1158" t="s">
        <v>2147</v>
      </c>
      <c r="B1158" t="s">
        <v>456</v>
      </c>
      <c r="C1158" s="2">
        <v>45344</v>
      </c>
      <c r="D1158" t="s">
        <v>1007</v>
      </c>
    </row>
    <row r="1159" spans="1:4" x14ac:dyDescent="0.3">
      <c r="A1159" t="s">
        <v>2148</v>
      </c>
      <c r="B1159" t="s">
        <v>540</v>
      </c>
      <c r="C1159" s="2">
        <v>45591</v>
      </c>
      <c r="D1159" t="s">
        <v>990</v>
      </c>
    </row>
    <row r="1160" spans="1:4" x14ac:dyDescent="0.3">
      <c r="A1160" t="s">
        <v>2149</v>
      </c>
      <c r="B1160" t="s">
        <v>775</v>
      </c>
      <c r="C1160" s="2">
        <v>45499</v>
      </c>
      <c r="D1160" t="s">
        <v>1007</v>
      </c>
    </row>
    <row r="1161" spans="1:4" x14ac:dyDescent="0.3">
      <c r="A1161" t="s">
        <v>2150</v>
      </c>
      <c r="B1161" t="s">
        <v>144</v>
      </c>
      <c r="C1161" s="2">
        <v>45302</v>
      </c>
      <c r="D1161" t="s">
        <v>990</v>
      </c>
    </row>
    <row r="1162" spans="1:4" x14ac:dyDescent="0.3">
      <c r="A1162" t="s">
        <v>2151</v>
      </c>
      <c r="B1162" t="s">
        <v>232</v>
      </c>
      <c r="C1162" s="2">
        <v>45716</v>
      </c>
      <c r="D1162" t="s">
        <v>992</v>
      </c>
    </row>
    <row r="1163" spans="1:4" x14ac:dyDescent="0.3">
      <c r="A1163" t="s">
        <v>2152</v>
      </c>
      <c r="B1163" t="s">
        <v>305</v>
      </c>
      <c r="C1163" s="2">
        <v>45511</v>
      </c>
      <c r="D1163" t="s">
        <v>1007</v>
      </c>
    </row>
    <row r="1164" spans="1:4" x14ac:dyDescent="0.3">
      <c r="A1164" t="s">
        <v>2153</v>
      </c>
      <c r="B1164" t="s">
        <v>63</v>
      </c>
      <c r="C1164" s="2">
        <v>45319</v>
      </c>
      <c r="D1164" t="s">
        <v>990</v>
      </c>
    </row>
    <row r="1165" spans="1:4" x14ac:dyDescent="0.3">
      <c r="A1165" t="s">
        <v>2154</v>
      </c>
      <c r="B1165" t="s">
        <v>330</v>
      </c>
      <c r="C1165" s="2">
        <v>45542</v>
      </c>
      <c r="D1165" t="s">
        <v>990</v>
      </c>
    </row>
    <row r="1166" spans="1:4" x14ac:dyDescent="0.3">
      <c r="A1166" t="s">
        <v>2155</v>
      </c>
      <c r="B1166" t="s">
        <v>276</v>
      </c>
      <c r="C1166" s="2">
        <v>45475</v>
      </c>
      <c r="D1166" t="s">
        <v>992</v>
      </c>
    </row>
    <row r="1167" spans="1:4" x14ac:dyDescent="0.3">
      <c r="A1167" t="s">
        <v>2156</v>
      </c>
      <c r="B1167" t="s">
        <v>294</v>
      </c>
      <c r="C1167" s="2">
        <v>45375</v>
      </c>
      <c r="D1167" t="s">
        <v>995</v>
      </c>
    </row>
    <row r="1168" spans="1:4" x14ac:dyDescent="0.3">
      <c r="A1168" t="s">
        <v>2157</v>
      </c>
      <c r="B1168" t="s">
        <v>307</v>
      </c>
      <c r="C1168" s="2">
        <v>45348</v>
      </c>
      <c r="D1168" t="s">
        <v>1007</v>
      </c>
    </row>
    <row r="1169" spans="1:4" x14ac:dyDescent="0.3">
      <c r="A1169" t="s">
        <v>2158</v>
      </c>
      <c r="B1169" t="s">
        <v>328</v>
      </c>
      <c r="C1169" s="2">
        <v>45479</v>
      </c>
      <c r="D1169" t="s">
        <v>1007</v>
      </c>
    </row>
    <row r="1170" spans="1:4" x14ac:dyDescent="0.3">
      <c r="A1170" t="s">
        <v>2159</v>
      </c>
      <c r="B1170" t="s">
        <v>441</v>
      </c>
      <c r="C1170" s="2">
        <v>45503</v>
      </c>
      <c r="D1170" t="s">
        <v>1007</v>
      </c>
    </row>
    <row r="1171" spans="1:4" x14ac:dyDescent="0.3">
      <c r="A1171" t="s">
        <v>2160</v>
      </c>
      <c r="B1171" t="s">
        <v>127</v>
      </c>
      <c r="C1171" s="2">
        <v>45412</v>
      </c>
      <c r="D1171" t="s">
        <v>995</v>
      </c>
    </row>
    <row r="1172" spans="1:4" x14ac:dyDescent="0.3">
      <c r="A1172" t="s">
        <v>2161</v>
      </c>
      <c r="B1172" t="s">
        <v>481</v>
      </c>
      <c r="C1172" s="2">
        <v>45765</v>
      </c>
      <c r="D1172" t="s">
        <v>995</v>
      </c>
    </row>
    <row r="1173" spans="1:4" x14ac:dyDescent="0.3">
      <c r="A1173" t="s">
        <v>2162</v>
      </c>
      <c r="B1173" t="s">
        <v>720</v>
      </c>
      <c r="C1173" s="2">
        <v>45415</v>
      </c>
      <c r="D1173" t="s">
        <v>2305</v>
      </c>
    </row>
    <row r="1174" spans="1:4" x14ac:dyDescent="0.3">
      <c r="A1174" t="s">
        <v>2163</v>
      </c>
      <c r="B1174" t="s">
        <v>781</v>
      </c>
      <c r="C1174" s="2">
        <v>45511</v>
      </c>
      <c r="D1174" t="s">
        <v>2305</v>
      </c>
    </row>
    <row r="1175" spans="1:4" x14ac:dyDescent="0.3">
      <c r="A1175" t="s">
        <v>2164</v>
      </c>
      <c r="B1175" t="s">
        <v>93</v>
      </c>
      <c r="C1175" s="2">
        <v>45405</v>
      </c>
      <c r="D1175" t="s">
        <v>1007</v>
      </c>
    </row>
    <row r="1176" spans="1:4" x14ac:dyDescent="0.3">
      <c r="A1176" t="s">
        <v>2165</v>
      </c>
      <c r="B1176" t="s">
        <v>912</v>
      </c>
      <c r="C1176" s="2">
        <v>45549</v>
      </c>
      <c r="D1176" t="s">
        <v>1007</v>
      </c>
    </row>
    <row r="1177" spans="1:4" x14ac:dyDescent="0.3">
      <c r="A1177" t="s">
        <v>2166</v>
      </c>
      <c r="B1177" t="s">
        <v>371</v>
      </c>
      <c r="C1177" s="2">
        <v>45393</v>
      </c>
      <c r="D1177" t="s">
        <v>992</v>
      </c>
    </row>
    <row r="1178" spans="1:4" x14ac:dyDescent="0.3">
      <c r="A1178" t="s">
        <v>2167</v>
      </c>
      <c r="B1178" t="s">
        <v>176</v>
      </c>
      <c r="C1178" s="2">
        <v>45688</v>
      </c>
      <c r="D1178" t="s">
        <v>1007</v>
      </c>
    </row>
    <row r="1179" spans="1:4" x14ac:dyDescent="0.3">
      <c r="A1179" t="s">
        <v>2168</v>
      </c>
      <c r="B1179" t="s">
        <v>683</v>
      </c>
      <c r="C1179" s="2">
        <v>45624</v>
      </c>
      <c r="D1179" t="s">
        <v>990</v>
      </c>
    </row>
    <row r="1180" spans="1:4" x14ac:dyDescent="0.3">
      <c r="A1180" t="s">
        <v>2169</v>
      </c>
      <c r="B1180" t="s">
        <v>623</v>
      </c>
      <c r="C1180" s="2">
        <v>45475</v>
      </c>
      <c r="D1180" t="s">
        <v>2305</v>
      </c>
    </row>
    <row r="1181" spans="1:4" x14ac:dyDescent="0.3">
      <c r="A1181" t="s">
        <v>2170</v>
      </c>
      <c r="B1181" t="s">
        <v>496</v>
      </c>
      <c r="C1181" s="2">
        <v>45643</v>
      </c>
      <c r="D1181" t="s">
        <v>995</v>
      </c>
    </row>
    <row r="1182" spans="1:4" x14ac:dyDescent="0.3">
      <c r="A1182" t="s">
        <v>2171</v>
      </c>
      <c r="B1182" t="s">
        <v>617</v>
      </c>
      <c r="C1182" s="2">
        <v>45513</v>
      </c>
      <c r="D1182" t="s">
        <v>1007</v>
      </c>
    </row>
    <row r="1183" spans="1:4" x14ac:dyDescent="0.3">
      <c r="A1183" t="s">
        <v>2172</v>
      </c>
      <c r="B1183" t="s">
        <v>866</v>
      </c>
      <c r="C1183" s="2">
        <v>45767</v>
      </c>
      <c r="D1183" t="s">
        <v>1007</v>
      </c>
    </row>
    <row r="1184" spans="1:4" x14ac:dyDescent="0.3">
      <c r="A1184" t="s">
        <v>2173</v>
      </c>
      <c r="B1184" t="s">
        <v>579</v>
      </c>
      <c r="C1184" s="2">
        <v>45354</v>
      </c>
      <c r="D1184" t="s">
        <v>995</v>
      </c>
    </row>
    <row r="1185" spans="1:4" x14ac:dyDescent="0.3">
      <c r="A1185" t="s">
        <v>2174</v>
      </c>
      <c r="B1185" t="s">
        <v>127</v>
      </c>
      <c r="C1185" s="2">
        <v>45437</v>
      </c>
      <c r="D1185" t="s">
        <v>1007</v>
      </c>
    </row>
    <row r="1186" spans="1:4" x14ac:dyDescent="0.3">
      <c r="A1186" t="s">
        <v>2175</v>
      </c>
      <c r="B1186" t="s">
        <v>678</v>
      </c>
      <c r="C1186" s="2">
        <v>45316</v>
      </c>
      <c r="D1186" t="s">
        <v>995</v>
      </c>
    </row>
    <row r="1187" spans="1:4" x14ac:dyDescent="0.3">
      <c r="A1187" t="s">
        <v>2176</v>
      </c>
      <c r="B1187" t="s">
        <v>817</v>
      </c>
      <c r="C1187" s="2">
        <v>45378</v>
      </c>
      <c r="D1187" t="s">
        <v>995</v>
      </c>
    </row>
    <row r="1188" spans="1:4" x14ac:dyDescent="0.3">
      <c r="A1188" t="s">
        <v>2177</v>
      </c>
      <c r="B1188" t="s">
        <v>873</v>
      </c>
      <c r="C1188" s="2">
        <v>45631</v>
      </c>
      <c r="D1188" t="s">
        <v>2305</v>
      </c>
    </row>
    <row r="1189" spans="1:4" x14ac:dyDescent="0.3">
      <c r="A1189" t="s">
        <v>2178</v>
      </c>
      <c r="B1189" t="s">
        <v>193</v>
      </c>
      <c r="C1189" s="2">
        <v>45414</v>
      </c>
      <c r="D1189" t="s">
        <v>1007</v>
      </c>
    </row>
    <row r="1190" spans="1:4" x14ac:dyDescent="0.3">
      <c r="A1190" t="s">
        <v>2179</v>
      </c>
      <c r="B1190" t="s">
        <v>454</v>
      </c>
      <c r="C1190" s="2">
        <v>45630</v>
      </c>
      <c r="D1190" t="s">
        <v>1007</v>
      </c>
    </row>
    <row r="1191" spans="1:4" x14ac:dyDescent="0.3">
      <c r="A1191" t="s">
        <v>2180</v>
      </c>
      <c r="B1191" t="s">
        <v>406</v>
      </c>
      <c r="C1191" s="2">
        <v>45500</v>
      </c>
      <c r="D1191" t="s">
        <v>992</v>
      </c>
    </row>
    <row r="1192" spans="1:4" x14ac:dyDescent="0.3">
      <c r="A1192" t="s">
        <v>2181</v>
      </c>
      <c r="B1192" t="s">
        <v>736</v>
      </c>
      <c r="C1192" s="2">
        <v>45463</v>
      </c>
      <c r="D1192" t="s">
        <v>992</v>
      </c>
    </row>
    <row r="1193" spans="1:4" x14ac:dyDescent="0.3">
      <c r="A1193" t="s">
        <v>2182</v>
      </c>
      <c r="B1193" t="s">
        <v>668</v>
      </c>
      <c r="C1193" s="2">
        <v>45405</v>
      </c>
      <c r="D1193" t="s">
        <v>990</v>
      </c>
    </row>
    <row r="1194" spans="1:4" x14ac:dyDescent="0.3">
      <c r="A1194" t="s">
        <v>2183</v>
      </c>
      <c r="B1194" t="s">
        <v>841</v>
      </c>
      <c r="C1194" s="2">
        <v>45644</v>
      </c>
      <c r="D1194" t="s">
        <v>1007</v>
      </c>
    </row>
    <row r="1195" spans="1:4" x14ac:dyDescent="0.3">
      <c r="A1195" t="s">
        <v>2184</v>
      </c>
      <c r="B1195" t="s">
        <v>320</v>
      </c>
      <c r="C1195" s="2">
        <v>45335</v>
      </c>
      <c r="D1195" t="s">
        <v>1007</v>
      </c>
    </row>
    <row r="1196" spans="1:4" x14ac:dyDescent="0.3">
      <c r="A1196" t="s">
        <v>2185</v>
      </c>
      <c r="B1196" t="s">
        <v>393</v>
      </c>
      <c r="C1196" s="2">
        <v>45426</v>
      </c>
      <c r="D1196" t="s">
        <v>1007</v>
      </c>
    </row>
    <row r="1197" spans="1:4" x14ac:dyDescent="0.3">
      <c r="A1197" t="s">
        <v>2186</v>
      </c>
      <c r="B1197" t="s">
        <v>771</v>
      </c>
      <c r="C1197" s="2">
        <v>45549</v>
      </c>
      <c r="D1197" t="s">
        <v>2305</v>
      </c>
    </row>
    <row r="1198" spans="1:4" x14ac:dyDescent="0.3">
      <c r="A1198" t="s">
        <v>2187</v>
      </c>
      <c r="B1198" t="s">
        <v>513</v>
      </c>
      <c r="C1198" s="2">
        <v>45391</v>
      </c>
      <c r="D1198" t="s">
        <v>2305</v>
      </c>
    </row>
    <row r="1199" spans="1:4" x14ac:dyDescent="0.3">
      <c r="A1199" t="s">
        <v>2188</v>
      </c>
      <c r="B1199" t="s">
        <v>902</v>
      </c>
      <c r="C1199" s="2">
        <v>45441</v>
      </c>
      <c r="D1199" t="s">
        <v>2305</v>
      </c>
    </row>
    <row r="1200" spans="1:4" x14ac:dyDescent="0.3">
      <c r="A1200" t="s">
        <v>2189</v>
      </c>
      <c r="B1200" t="s">
        <v>262</v>
      </c>
      <c r="C1200" s="2">
        <v>45364</v>
      </c>
      <c r="D1200" t="s">
        <v>2305</v>
      </c>
    </row>
    <row r="1201" spans="1:4" x14ac:dyDescent="0.3">
      <c r="A1201" t="s">
        <v>2190</v>
      </c>
      <c r="B1201" t="s">
        <v>880</v>
      </c>
      <c r="C1201" s="2">
        <v>45446</v>
      </c>
      <c r="D1201" t="s">
        <v>1007</v>
      </c>
    </row>
    <row r="1202" spans="1:4" x14ac:dyDescent="0.3">
      <c r="D1202" t="s">
        <v>2305</v>
      </c>
    </row>
    <row r="1203" spans="1:4" x14ac:dyDescent="0.3">
      <c r="D1203" t="s">
        <v>2305</v>
      </c>
    </row>
    <row r="1204" spans="1:4" x14ac:dyDescent="0.3">
      <c r="D1204" t="s">
        <v>2305</v>
      </c>
    </row>
    <row r="1205" spans="1:4" x14ac:dyDescent="0.3">
      <c r="D1205" t="s">
        <v>2305</v>
      </c>
    </row>
    <row r="1206" spans="1:4" x14ac:dyDescent="0.3">
      <c r="D1206" t="s">
        <v>2305</v>
      </c>
    </row>
    <row r="1207" spans="1:4" x14ac:dyDescent="0.3">
      <c r="D1207" t="s">
        <v>2305</v>
      </c>
    </row>
    <row r="1208" spans="1:4" x14ac:dyDescent="0.3">
      <c r="D1208" t="s">
        <v>2305</v>
      </c>
    </row>
    <row r="1209" spans="1:4" x14ac:dyDescent="0.3">
      <c r="D1209" t="s">
        <v>2305</v>
      </c>
    </row>
    <row r="1210" spans="1:4" x14ac:dyDescent="0.3">
      <c r="D1210" t="s">
        <v>2305</v>
      </c>
    </row>
    <row r="1211" spans="1:4" x14ac:dyDescent="0.3">
      <c r="D1211" t="s">
        <v>2305</v>
      </c>
    </row>
    <row r="1212" spans="1:4" x14ac:dyDescent="0.3">
      <c r="D1212" t="s">
        <v>2305</v>
      </c>
    </row>
    <row r="1213" spans="1:4" x14ac:dyDescent="0.3">
      <c r="D1213" t="s">
        <v>2305</v>
      </c>
    </row>
    <row r="1214" spans="1:4" x14ac:dyDescent="0.3">
      <c r="D1214" t="s">
        <v>2305</v>
      </c>
    </row>
    <row r="1215" spans="1:4" x14ac:dyDescent="0.3">
      <c r="D1215" t="s">
        <v>2305</v>
      </c>
    </row>
    <row r="1216" spans="1:4" x14ac:dyDescent="0.3">
      <c r="D1216" t="s">
        <v>2305</v>
      </c>
    </row>
    <row r="1217" spans="4:4" x14ac:dyDescent="0.3">
      <c r="D1217" t="s">
        <v>2305</v>
      </c>
    </row>
    <row r="1218" spans="4:4" x14ac:dyDescent="0.3">
      <c r="D1218" t="s">
        <v>2305</v>
      </c>
    </row>
    <row r="1219" spans="4:4" x14ac:dyDescent="0.3">
      <c r="D1219" t="s">
        <v>2305</v>
      </c>
    </row>
    <row r="1220" spans="4:4" x14ac:dyDescent="0.3">
      <c r="D1220" t="s">
        <v>2305</v>
      </c>
    </row>
    <row r="1221" spans="4:4" x14ac:dyDescent="0.3">
      <c r="D1221" t="s">
        <v>2305</v>
      </c>
    </row>
    <row r="1222" spans="4:4" x14ac:dyDescent="0.3">
      <c r="D1222" t="s">
        <v>2305</v>
      </c>
    </row>
    <row r="1223" spans="4:4" x14ac:dyDescent="0.3">
      <c r="D1223" t="s">
        <v>2305</v>
      </c>
    </row>
    <row r="1224" spans="4:4" x14ac:dyDescent="0.3">
      <c r="D1224" t="s">
        <v>2305</v>
      </c>
    </row>
    <row r="1225" spans="4:4" x14ac:dyDescent="0.3">
      <c r="D1225" t="s">
        <v>2305</v>
      </c>
    </row>
    <row r="1226" spans="4:4" x14ac:dyDescent="0.3">
      <c r="D1226" t="s">
        <v>2305</v>
      </c>
    </row>
    <row r="1227" spans="4:4" x14ac:dyDescent="0.3">
      <c r="D1227" t="s">
        <v>2305</v>
      </c>
    </row>
    <row r="1228" spans="4:4" x14ac:dyDescent="0.3">
      <c r="D1228" t="s">
        <v>2305</v>
      </c>
    </row>
    <row r="1229" spans="4:4" x14ac:dyDescent="0.3">
      <c r="D1229" t="s">
        <v>2305</v>
      </c>
    </row>
    <row r="1230" spans="4:4" x14ac:dyDescent="0.3">
      <c r="D1230" t="s">
        <v>2305</v>
      </c>
    </row>
    <row r="1231" spans="4:4" x14ac:dyDescent="0.3">
      <c r="D1231" t="s">
        <v>2305</v>
      </c>
    </row>
    <row r="1232" spans="4:4" x14ac:dyDescent="0.3">
      <c r="D1232" t="s">
        <v>2305</v>
      </c>
    </row>
    <row r="1233" spans="4:4" x14ac:dyDescent="0.3">
      <c r="D1233" t="s">
        <v>2305</v>
      </c>
    </row>
    <row r="1234" spans="4:4" x14ac:dyDescent="0.3">
      <c r="D1234" t="s">
        <v>2305</v>
      </c>
    </row>
    <row r="1235" spans="4:4" x14ac:dyDescent="0.3">
      <c r="D1235" t="s">
        <v>2305</v>
      </c>
    </row>
    <row r="1236" spans="4:4" x14ac:dyDescent="0.3">
      <c r="D1236" t="s">
        <v>2305</v>
      </c>
    </row>
    <row r="1237" spans="4:4" x14ac:dyDescent="0.3">
      <c r="D1237" t="s">
        <v>2305</v>
      </c>
    </row>
    <row r="1238" spans="4:4" x14ac:dyDescent="0.3">
      <c r="D1238" t="s">
        <v>2305</v>
      </c>
    </row>
    <row r="1239" spans="4:4" x14ac:dyDescent="0.3">
      <c r="D1239" t="s">
        <v>2305</v>
      </c>
    </row>
    <row r="1240" spans="4:4" x14ac:dyDescent="0.3">
      <c r="D1240" t="s">
        <v>2305</v>
      </c>
    </row>
    <row r="1241" spans="4:4" x14ac:dyDescent="0.3">
      <c r="D1241" t="s">
        <v>2305</v>
      </c>
    </row>
  </sheetData>
  <conditionalFormatting sqref="A1:A1201 A1242:A1048576">
    <cfRule type="duplicateValues" dxfId="5" priority="1"/>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22ADBF-B168-4C84-AD50-41E8D9F0CF9E}">
  <dimension ref="A1:D501"/>
  <sheetViews>
    <sheetView topLeftCell="A473" workbookViewId="0">
      <selection sqref="A1:D501"/>
    </sheetView>
  </sheetViews>
  <sheetFormatPr defaultRowHeight="14.4" x14ac:dyDescent="0.3"/>
  <cols>
    <col min="1" max="1" width="13.6640625" bestFit="1" customWidth="1"/>
    <col min="2" max="2" width="17" bestFit="1" customWidth="1"/>
    <col min="3" max="3" width="9.77734375" bestFit="1" customWidth="1"/>
    <col min="4" max="4" width="13.5546875" bestFit="1" customWidth="1"/>
  </cols>
  <sheetData>
    <row r="1" spans="1:4" x14ac:dyDescent="0.3">
      <c r="A1" t="s">
        <v>0</v>
      </c>
      <c r="B1" t="s">
        <v>1</v>
      </c>
      <c r="C1" t="s">
        <v>2</v>
      </c>
      <c r="D1" t="s">
        <v>3</v>
      </c>
    </row>
    <row r="2" spans="1:4" x14ac:dyDescent="0.3">
      <c r="A2" t="s">
        <v>4</v>
      </c>
      <c r="B2" t="s">
        <v>5</v>
      </c>
      <c r="C2" t="s">
        <v>25</v>
      </c>
      <c r="D2" s="1">
        <v>45331</v>
      </c>
    </row>
    <row r="3" spans="1:4" x14ac:dyDescent="0.3">
      <c r="A3" t="s">
        <v>6</v>
      </c>
      <c r="B3" t="s">
        <v>7</v>
      </c>
      <c r="C3" t="s">
        <v>25</v>
      </c>
      <c r="D3" s="1">
        <v>45767</v>
      </c>
    </row>
    <row r="4" spans="1:4" x14ac:dyDescent="0.3">
      <c r="A4" t="s">
        <v>8</v>
      </c>
      <c r="B4" t="s">
        <v>9</v>
      </c>
      <c r="C4" t="s">
        <v>2325</v>
      </c>
      <c r="D4" s="1">
        <v>45523</v>
      </c>
    </row>
    <row r="5" spans="1:4" x14ac:dyDescent="0.3">
      <c r="A5" t="s">
        <v>10</v>
      </c>
      <c r="B5" t="s">
        <v>11</v>
      </c>
      <c r="C5" t="s">
        <v>12</v>
      </c>
      <c r="D5" s="1">
        <v>45146</v>
      </c>
    </row>
    <row r="6" spans="1:4" x14ac:dyDescent="0.3">
      <c r="A6" t="s">
        <v>13</v>
      </c>
      <c r="B6" t="s">
        <v>14</v>
      </c>
      <c r="C6" t="s">
        <v>2325</v>
      </c>
      <c r="D6" s="1">
        <v>45355</v>
      </c>
    </row>
    <row r="7" spans="1:4" x14ac:dyDescent="0.3">
      <c r="A7" t="s">
        <v>15</v>
      </c>
      <c r="B7" t="s">
        <v>16</v>
      </c>
      <c r="C7" t="s">
        <v>25</v>
      </c>
      <c r="D7" s="1">
        <v>45491</v>
      </c>
    </row>
    <row r="8" spans="1:4" x14ac:dyDescent="0.3">
      <c r="A8" t="s">
        <v>17</v>
      </c>
      <c r="B8" t="s">
        <v>18</v>
      </c>
      <c r="C8" t="s">
        <v>19</v>
      </c>
      <c r="D8" s="1">
        <v>45053</v>
      </c>
    </row>
    <row r="9" spans="1:4" x14ac:dyDescent="0.3">
      <c r="A9" t="s">
        <v>20</v>
      </c>
      <c r="B9" t="s">
        <v>21</v>
      </c>
      <c r="C9" t="s">
        <v>22</v>
      </c>
      <c r="D9" s="1">
        <v>45569</v>
      </c>
    </row>
    <row r="10" spans="1:4" x14ac:dyDescent="0.3">
      <c r="A10" t="s">
        <v>23</v>
      </c>
      <c r="B10" t="s">
        <v>24</v>
      </c>
      <c r="C10" t="s">
        <v>25</v>
      </c>
      <c r="D10" s="1">
        <v>45517</v>
      </c>
    </row>
    <row r="11" spans="1:4" x14ac:dyDescent="0.3">
      <c r="A11" t="s">
        <v>26</v>
      </c>
      <c r="B11" t="s">
        <v>27</v>
      </c>
      <c r="C11" t="s">
        <v>25</v>
      </c>
      <c r="D11" s="1">
        <v>45153</v>
      </c>
    </row>
    <row r="12" spans="1:4" x14ac:dyDescent="0.3">
      <c r="A12" t="s">
        <v>28</v>
      </c>
      <c r="B12" t="s">
        <v>14</v>
      </c>
      <c r="C12" t="s">
        <v>25</v>
      </c>
      <c r="D12" s="1">
        <v>45223</v>
      </c>
    </row>
    <row r="13" spans="1:4" x14ac:dyDescent="0.3">
      <c r="A13" t="s">
        <v>29</v>
      </c>
      <c r="B13" t="s">
        <v>30</v>
      </c>
      <c r="C13" t="s">
        <v>12</v>
      </c>
      <c r="D13" s="1">
        <v>45047</v>
      </c>
    </row>
    <row r="14" spans="1:4" x14ac:dyDescent="0.3">
      <c r="A14" t="s">
        <v>31</v>
      </c>
      <c r="B14" t="s">
        <v>32</v>
      </c>
      <c r="C14" t="s">
        <v>12</v>
      </c>
      <c r="D14" s="1">
        <v>45762</v>
      </c>
    </row>
    <row r="15" spans="1:4" x14ac:dyDescent="0.3">
      <c r="A15" t="s">
        <v>33</v>
      </c>
      <c r="B15" t="s">
        <v>34</v>
      </c>
      <c r="C15" t="s">
        <v>25</v>
      </c>
      <c r="D15" s="1">
        <v>45522</v>
      </c>
    </row>
    <row r="16" spans="1:4" x14ac:dyDescent="0.3">
      <c r="A16" t="s">
        <v>35</v>
      </c>
      <c r="B16" t="s">
        <v>36</v>
      </c>
      <c r="C16" t="s">
        <v>37</v>
      </c>
      <c r="D16" s="1">
        <v>45308</v>
      </c>
    </row>
    <row r="17" spans="1:4" x14ac:dyDescent="0.3">
      <c r="A17" t="s">
        <v>38</v>
      </c>
      <c r="B17" t="s">
        <v>39</v>
      </c>
      <c r="C17" t="s">
        <v>37</v>
      </c>
      <c r="D17" s="1">
        <v>44991</v>
      </c>
    </row>
    <row r="18" spans="1:4" x14ac:dyDescent="0.3">
      <c r="A18" t="s">
        <v>40</v>
      </c>
      <c r="B18" t="s">
        <v>41</v>
      </c>
      <c r="C18" t="s">
        <v>19</v>
      </c>
      <c r="D18" s="1">
        <v>45137</v>
      </c>
    </row>
    <row r="19" spans="1:4" x14ac:dyDescent="0.3">
      <c r="A19" t="s">
        <v>42</v>
      </c>
      <c r="B19" t="s">
        <v>43</v>
      </c>
      <c r="C19" t="s">
        <v>12</v>
      </c>
      <c r="D19" s="1">
        <v>45364</v>
      </c>
    </row>
    <row r="20" spans="1:4" x14ac:dyDescent="0.3">
      <c r="A20" t="s">
        <v>44</v>
      </c>
      <c r="B20" t="s">
        <v>45</v>
      </c>
      <c r="C20" t="s">
        <v>46</v>
      </c>
      <c r="D20" s="1">
        <v>45526</v>
      </c>
    </row>
    <row r="21" spans="1:4" x14ac:dyDescent="0.3">
      <c r="A21" t="s">
        <v>47</v>
      </c>
      <c r="B21" t="s">
        <v>48</v>
      </c>
      <c r="C21" t="s">
        <v>2325</v>
      </c>
      <c r="D21" s="1">
        <v>45233</v>
      </c>
    </row>
    <row r="22" spans="1:4" x14ac:dyDescent="0.3">
      <c r="A22" t="s">
        <v>49</v>
      </c>
      <c r="B22" t="s">
        <v>50</v>
      </c>
      <c r="C22" t="s">
        <v>25</v>
      </c>
      <c r="D22" s="1">
        <v>45642</v>
      </c>
    </row>
    <row r="23" spans="1:4" x14ac:dyDescent="0.3">
      <c r="A23" t="s">
        <v>51</v>
      </c>
      <c r="B23" t="s">
        <v>52</v>
      </c>
      <c r="C23" t="s">
        <v>25</v>
      </c>
      <c r="D23" s="1">
        <v>45515</v>
      </c>
    </row>
    <row r="24" spans="1:4" x14ac:dyDescent="0.3">
      <c r="A24" t="s">
        <v>53</v>
      </c>
      <c r="B24" t="s">
        <v>54</v>
      </c>
      <c r="C24" t="s">
        <v>46</v>
      </c>
      <c r="D24" s="1">
        <v>45823</v>
      </c>
    </row>
    <row r="25" spans="1:4" x14ac:dyDescent="0.3">
      <c r="A25" t="s">
        <v>55</v>
      </c>
      <c r="B25" t="s">
        <v>56</v>
      </c>
      <c r="C25" t="s">
        <v>46</v>
      </c>
      <c r="D25" s="1">
        <v>45221</v>
      </c>
    </row>
    <row r="26" spans="1:4" x14ac:dyDescent="0.3">
      <c r="A26" t="s">
        <v>57</v>
      </c>
      <c r="B26" t="s">
        <v>58</v>
      </c>
      <c r="C26" t="s">
        <v>25</v>
      </c>
      <c r="D26" s="1">
        <v>45047</v>
      </c>
    </row>
    <row r="27" spans="1:4" x14ac:dyDescent="0.3">
      <c r="A27" t="s">
        <v>59</v>
      </c>
      <c r="B27" t="s">
        <v>60</v>
      </c>
      <c r="C27" t="s">
        <v>25</v>
      </c>
      <c r="D27" s="1">
        <v>45702</v>
      </c>
    </row>
    <row r="28" spans="1:4" x14ac:dyDescent="0.3">
      <c r="A28" t="s">
        <v>61</v>
      </c>
      <c r="B28" t="s">
        <v>62</v>
      </c>
      <c r="C28" t="s">
        <v>46</v>
      </c>
      <c r="D28" s="1">
        <v>45358</v>
      </c>
    </row>
    <row r="29" spans="1:4" x14ac:dyDescent="0.3">
      <c r="A29" t="s">
        <v>63</v>
      </c>
      <c r="B29" t="s">
        <v>14</v>
      </c>
      <c r="C29" t="s">
        <v>22</v>
      </c>
      <c r="D29" s="1">
        <v>45006</v>
      </c>
    </row>
    <row r="30" spans="1:4" x14ac:dyDescent="0.3">
      <c r="A30" t="s">
        <v>64</v>
      </c>
      <c r="B30" t="s">
        <v>65</v>
      </c>
      <c r="C30" t="s">
        <v>19</v>
      </c>
      <c r="D30" s="1">
        <v>45735</v>
      </c>
    </row>
    <row r="31" spans="1:4" x14ac:dyDescent="0.3">
      <c r="A31" t="s">
        <v>66</v>
      </c>
      <c r="B31" t="s">
        <v>67</v>
      </c>
      <c r="C31" t="s">
        <v>2325</v>
      </c>
      <c r="D31" s="1">
        <v>45275</v>
      </c>
    </row>
    <row r="32" spans="1:4" x14ac:dyDescent="0.3">
      <c r="A32" t="s">
        <v>68</v>
      </c>
      <c r="B32" t="s">
        <v>69</v>
      </c>
      <c r="C32" t="s">
        <v>19</v>
      </c>
      <c r="D32" s="1">
        <v>45435</v>
      </c>
    </row>
    <row r="33" spans="1:4" x14ac:dyDescent="0.3">
      <c r="A33" t="s">
        <v>70</v>
      </c>
      <c r="B33" t="s">
        <v>71</v>
      </c>
      <c r="C33" t="s">
        <v>46</v>
      </c>
      <c r="D33" s="1">
        <v>44997</v>
      </c>
    </row>
    <row r="34" spans="1:4" x14ac:dyDescent="0.3">
      <c r="A34" t="s">
        <v>72</v>
      </c>
      <c r="B34" t="s">
        <v>73</v>
      </c>
      <c r="C34" t="s">
        <v>74</v>
      </c>
      <c r="D34" s="1">
        <v>45412</v>
      </c>
    </row>
    <row r="35" spans="1:4" x14ac:dyDescent="0.3">
      <c r="A35" t="s">
        <v>75</v>
      </c>
      <c r="B35" t="s">
        <v>76</v>
      </c>
      <c r="C35" t="s">
        <v>25</v>
      </c>
      <c r="D35" s="1">
        <v>44989</v>
      </c>
    </row>
    <row r="36" spans="1:4" x14ac:dyDescent="0.3">
      <c r="A36" t="s">
        <v>77</v>
      </c>
      <c r="B36" t="s">
        <v>78</v>
      </c>
      <c r="C36" t="s">
        <v>74</v>
      </c>
      <c r="D36" s="1">
        <v>45589</v>
      </c>
    </row>
    <row r="37" spans="1:4" x14ac:dyDescent="0.3">
      <c r="A37" t="s">
        <v>79</v>
      </c>
      <c r="B37" t="s">
        <v>80</v>
      </c>
      <c r="C37" t="s">
        <v>22</v>
      </c>
      <c r="D37" s="1">
        <v>45768</v>
      </c>
    </row>
    <row r="38" spans="1:4" x14ac:dyDescent="0.3">
      <c r="A38" t="s">
        <v>81</v>
      </c>
      <c r="B38" t="s">
        <v>82</v>
      </c>
      <c r="C38" t="s">
        <v>22</v>
      </c>
      <c r="D38" s="1">
        <v>45322</v>
      </c>
    </row>
    <row r="39" spans="1:4" x14ac:dyDescent="0.3">
      <c r="A39" t="s">
        <v>83</v>
      </c>
      <c r="B39" t="s">
        <v>84</v>
      </c>
      <c r="C39" t="s">
        <v>2325</v>
      </c>
      <c r="D39" s="1">
        <v>44950</v>
      </c>
    </row>
    <row r="40" spans="1:4" x14ac:dyDescent="0.3">
      <c r="A40" t="s">
        <v>85</v>
      </c>
      <c r="B40" t="s">
        <v>86</v>
      </c>
      <c r="C40" t="s">
        <v>2325</v>
      </c>
      <c r="D40" s="1">
        <v>45099</v>
      </c>
    </row>
    <row r="41" spans="1:4" x14ac:dyDescent="0.3">
      <c r="A41" t="s">
        <v>87</v>
      </c>
      <c r="B41" t="s">
        <v>88</v>
      </c>
      <c r="C41" t="s">
        <v>46</v>
      </c>
      <c r="D41" s="1">
        <v>44987</v>
      </c>
    </row>
    <row r="42" spans="1:4" x14ac:dyDescent="0.3">
      <c r="A42" t="s">
        <v>89</v>
      </c>
      <c r="B42" t="s">
        <v>90</v>
      </c>
      <c r="C42" t="s">
        <v>74</v>
      </c>
      <c r="D42" s="1">
        <v>45059</v>
      </c>
    </row>
    <row r="43" spans="1:4" x14ac:dyDescent="0.3">
      <c r="A43" t="s">
        <v>91</v>
      </c>
      <c r="B43" t="s">
        <v>92</v>
      </c>
      <c r="C43" t="s">
        <v>2325</v>
      </c>
      <c r="D43" s="1">
        <v>45327</v>
      </c>
    </row>
    <row r="44" spans="1:4" x14ac:dyDescent="0.3">
      <c r="A44" t="s">
        <v>93</v>
      </c>
      <c r="B44" t="s">
        <v>94</v>
      </c>
      <c r="C44" t="s">
        <v>46</v>
      </c>
      <c r="D44" s="1">
        <v>45009</v>
      </c>
    </row>
    <row r="45" spans="1:4" x14ac:dyDescent="0.3">
      <c r="A45" t="s">
        <v>95</v>
      </c>
      <c r="B45" t="s">
        <v>96</v>
      </c>
      <c r="C45" t="s">
        <v>2325</v>
      </c>
      <c r="D45" s="1">
        <v>45489</v>
      </c>
    </row>
    <row r="46" spans="1:4" x14ac:dyDescent="0.3">
      <c r="A46" t="s">
        <v>97</v>
      </c>
      <c r="B46" t="s">
        <v>98</v>
      </c>
      <c r="C46" t="s">
        <v>25</v>
      </c>
      <c r="D46" s="1">
        <v>45765</v>
      </c>
    </row>
    <row r="47" spans="1:4" x14ac:dyDescent="0.3">
      <c r="A47" t="s">
        <v>99</v>
      </c>
      <c r="B47" t="s">
        <v>100</v>
      </c>
      <c r="C47" t="s">
        <v>12</v>
      </c>
      <c r="D47" s="1">
        <v>45212</v>
      </c>
    </row>
    <row r="48" spans="1:4" x14ac:dyDescent="0.3">
      <c r="A48" t="s">
        <v>101</v>
      </c>
      <c r="B48" t="s">
        <v>102</v>
      </c>
      <c r="C48" t="s">
        <v>2325</v>
      </c>
      <c r="D48" s="1">
        <v>45626</v>
      </c>
    </row>
    <row r="49" spans="1:4" x14ac:dyDescent="0.3">
      <c r="A49" t="s">
        <v>103</v>
      </c>
      <c r="B49" t="s">
        <v>104</v>
      </c>
      <c r="C49" t="s">
        <v>37</v>
      </c>
      <c r="D49" s="1">
        <v>45081</v>
      </c>
    </row>
    <row r="50" spans="1:4" x14ac:dyDescent="0.3">
      <c r="A50" t="s">
        <v>105</v>
      </c>
      <c r="B50" t="s">
        <v>106</v>
      </c>
      <c r="C50" t="s">
        <v>25</v>
      </c>
      <c r="D50" s="1">
        <v>45164</v>
      </c>
    </row>
    <row r="51" spans="1:4" x14ac:dyDescent="0.3">
      <c r="A51" t="s">
        <v>107</v>
      </c>
      <c r="B51" t="s">
        <v>108</v>
      </c>
      <c r="C51" t="s">
        <v>25</v>
      </c>
      <c r="D51" s="1">
        <v>45423</v>
      </c>
    </row>
    <row r="52" spans="1:4" x14ac:dyDescent="0.3">
      <c r="A52" t="s">
        <v>109</v>
      </c>
      <c r="B52" t="s">
        <v>110</v>
      </c>
      <c r="C52" t="s">
        <v>25</v>
      </c>
      <c r="D52" s="1">
        <v>45196</v>
      </c>
    </row>
    <row r="53" spans="1:4" x14ac:dyDescent="0.3">
      <c r="A53" t="s">
        <v>111</v>
      </c>
      <c r="B53" t="s">
        <v>112</v>
      </c>
      <c r="C53" t="s">
        <v>25</v>
      </c>
      <c r="D53" s="1">
        <v>45356</v>
      </c>
    </row>
    <row r="54" spans="1:4" x14ac:dyDescent="0.3">
      <c r="A54" t="s">
        <v>113</v>
      </c>
      <c r="B54" t="s">
        <v>114</v>
      </c>
      <c r="C54" t="s">
        <v>19</v>
      </c>
      <c r="D54" s="1">
        <v>45506</v>
      </c>
    </row>
    <row r="55" spans="1:4" x14ac:dyDescent="0.3">
      <c r="A55" t="s">
        <v>115</v>
      </c>
      <c r="B55" t="s">
        <v>116</v>
      </c>
      <c r="C55" t="s">
        <v>25</v>
      </c>
      <c r="D55" s="1">
        <v>45634</v>
      </c>
    </row>
    <row r="56" spans="1:4" x14ac:dyDescent="0.3">
      <c r="A56" t="s">
        <v>117</v>
      </c>
      <c r="B56" t="s">
        <v>118</v>
      </c>
      <c r="C56" t="s">
        <v>19</v>
      </c>
      <c r="D56" s="1">
        <v>45597</v>
      </c>
    </row>
    <row r="57" spans="1:4" x14ac:dyDescent="0.3">
      <c r="A57" t="s">
        <v>119</v>
      </c>
      <c r="B57" t="s">
        <v>120</v>
      </c>
      <c r="C57" t="s">
        <v>25</v>
      </c>
      <c r="D57" s="1">
        <v>45394</v>
      </c>
    </row>
    <row r="58" spans="1:4" x14ac:dyDescent="0.3">
      <c r="A58" t="s">
        <v>121</v>
      </c>
      <c r="B58" t="s">
        <v>122</v>
      </c>
      <c r="C58" t="s">
        <v>22</v>
      </c>
      <c r="D58" s="1">
        <v>45744</v>
      </c>
    </row>
    <row r="59" spans="1:4" x14ac:dyDescent="0.3">
      <c r="A59" t="s">
        <v>123</v>
      </c>
      <c r="B59" t="s">
        <v>124</v>
      </c>
      <c r="C59" t="s">
        <v>2325</v>
      </c>
      <c r="D59" s="1">
        <v>45335</v>
      </c>
    </row>
    <row r="60" spans="1:4" x14ac:dyDescent="0.3">
      <c r="A60" t="s">
        <v>125</v>
      </c>
      <c r="B60" t="s">
        <v>126</v>
      </c>
      <c r="C60" t="s">
        <v>46</v>
      </c>
      <c r="D60" s="1">
        <v>45576</v>
      </c>
    </row>
    <row r="61" spans="1:4" x14ac:dyDescent="0.3">
      <c r="A61" t="s">
        <v>127</v>
      </c>
      <c r="B61" t="s">
        <v>128</v>
      </c>
      <c r="C61" t="s">
        <v>37</v>
      </c>
      <c r="D61" s="1">
        <v>44995</v>
      </c>
    </row>
    <row r="62" spans="1:4" x14ac:dyDescent="0.3">
      <c r="A62" t="s">
        <v>129</v>
      </c>
      <c r="B62" t="s">
        <v>130</v>
      </c>
      <c r="C62" t="s">
        <v>46</v>
      </c>
      <c r="D62" s="1">
        <v>45093</v>
      </c>
    </row>
    <row r="63" spans="1:4" x14ac:dyDescent="0.3">
      <c r="A63" t="s">
        <v>131</v>
      </c>
      <c r="B63" t="s">
        <v>132</v>
      </c>
      <c r="C63" t="s">
        <v>19</v>
      </c>
      <c r="D63" s="1">
        <v>44980</v>
      </c>
    </row>
    <row r="64" spans="1:4" x14ac:dyDescent="0.3">
      <c r="A64" t="s">
        <v>133</v>
      </c>
      <c r="B64" t="s">
        <v>134</v>
      </c>
      <c r="C64" t="s">
        <v>19</v>
      </c>
      <c r="D64" s="1">
        <v>45081</v>
      </c>
    </row>
    <row r="65" spans="1:4" x14ac:dyDescent="0.3">
      <c r="A65" t="s">
        <v>135</v>
      </c>
      <c r="B65" t="s">
        <v>136</v>
      </c>
      <c r="C65" t="s">
        <v>2325</v>
      </c>
      <c r="D65" s="1">
        <v>45555</v>
      </c>
    </row>
    <row r="66" spans="1:4" x14ac:dyDescent="0.3">
      <c r="A66" t="s">
        <v>137</v>
      </c>
      <c r="B66" t="s">
        <v>14</v>
      </c>
      <c r="C66" t="s">
        <v>37</v>
      </c>
      <c r="D66" s="1">
        <v>45555</v>
      </c>
    </row>
    <row r="67" spans="1:4" x14ac:dyDescent="0.3">
      <c r="A67" t="s">
        <v>138</v>
      </c>
      <c r="B67" t="s">
        <v>139</v>
      </c>
      <c r="C67" t="s">
        <v>22</v>
      </c>
      <c r="D67" s="1">
        <v>45185</v>
      </c>
    </row>
    <row r="68" spans="1:4" x14ac:dyDescent="0.3">
      <c r="A68" t="s">
        <v>140</v>
      </c>
      <c r="B68" t="s">
        <v>141</v>
      </c>
      <c r="C68" t="s">
        <v>19</v>
      </c>
      <c r="D68" s="1">
        <v>45299</v>
      </c>
    </row>
    <row r="69" spans="1:4" x14ac:dyDescent="0.3">
      <c r="A69" t="s">
        <v>142</v>
      </c>
      <c r="B69" t="s">
        <v>143</v>
      </c>
      <c r="C69" t="s">
        <v>25</v>
      </c>
      <c r="D69" s="1">
        <v>45796</v>
      </c>
    </row>
    <row r="70" spans="1:4" x14ac:dyDescent="0.3">
      <c r="A70" t="s">
        <v>144</v>
      </c>
      <c r="B70" t="s">
        <v>145</v>
      </c>
      <c r="C70" t="s">
        <v>46</v>
      </c>
      <c r="D70" s="1">
        <v>45418</v>
      </c>
    </row>
    <row r="71" spans="1:4" x14ac:dyDescent="0.3">
      <c r="A71" t="s">
        <v>146</v>
      </c>
      <c r="B71" t="s">
        <v>147</v>
      </c>
      <c r="C71" t="s">
        <v>25</v>
      </c>
      <c r="D71" s="1">
        <v>45074</v>
      </c>
    </row>
    <row r="72" spans="1:4" x14ac:dyDescent="0.3">
      <c r="A72" t="s">
        <v>148</v>
      </c>
      <c r="B72" t="s">
        <v>149</v>
      </c>
      <c r="C72" t="s">
        <v>2325</v>
      </c>
      <c r="D72" s="1">
        <v>45685</v>
      </c>
    </row>
    <row r="73" spans="1:4" x14ac:dyDescent="0.3">
      <c r="A73" t="s">
        <v>150</v>
      </c>
      <c r="B73" t="s">
        <v>151</v>
      </c>
      <c r="C73" t="s">
        <v>2325</v>
      </c>
      <c r="D73" s="1">
        <v>45092</v>
      </c>
    </row>
    <row r="74" spans="1:4" x14ac:dyDescent="0.3">
      <c r="A74" t="s">
        <v>152</v>
      </c>
      <c r="B74" t="s">
        <v>153</v>
      </c>
      <c r="C74" t="s">
        <v>37</v>
      </c>
      <c r="D74" s="1">
        <v>45467</v>
      </c>
    </row>
    <row r="75" spans="1:4" x14ac:dyDescent="0.3">
      <c r="A75" t="s">
        <v>154</v>
      </c>
      <c r="B75" t="s">
        <v>155</v>
      </c>
      <c r="C75" t="s">
        <v>37</v>
      </c>
      <c r="D75" s="1">
        <v>45483</v>
      </c>
    </row>
    <row r="76" spans="1:4" x14ac:dyDescent="0.3">
      <c r="A76" t="s">
        <v>156</v>
      </c>
      <c r="B76" t="s">
        <v>157</v>
      </c>
      <c r="C76" t="s">
        <v>12</v>
      </c>
      <c r="D76" s="1">
        <v>45232</v>
      </c>
    </row>
    <row r="77" spans="1:4" x14ac:dyDescent="0.3">
      <c r="A77" t="s">
        <v>158</v>
      </c>
      <c r="B77" t="s">
        <v>159</v>
      </c>
      <c r="C77" t="s">
        <v>25</v>
      </c>
      <c r="D77" s="1">
        <v>45639</v>
      </c>
    </row>
    <row r="78" spans="1:4" x14ac:dyDescent="0.3">
      <c r="A78" t="s">
        <v>160</v>
      </c>
      <c r="B78" t="s">
        <v>161</v>
      </c>
      <c r="C78" t="s">
        <v>12</v>
      </c>
      <c r="D78" s="1">
        <v>45302</v>
      </c>
    </row>
    <row r="79" spans="1:4" x14ac:dyDescent="0.3">
      <c r="A79" t="s">
        <v>162</v>
      </c>
      <c r="B79" t="s">
        <v>163</v>
      </c>
      <c r="C79" t="s">
        <v>2325</v>
      </c>
      <c r="D79" s="1">
        <v>45717</v>
      </c>
    </row>
    <row r="80" spans="1:4" x14ac:dyDescent="0.3">
      <c r="A80" t="s">
        <v>164</v>
      </c>
      <c r="B80" t="s">
        <v>165</v>
      </c>
      <c r="C80" t="s">
        <v>12</v>
      </c>
      <c r="D80" s="1">
        <v>45724</v>
      </c>
    </row>
    <row r="81" spans="1:4" x14ac:dyDescent="0.3">
      <c r="A81" t="s">
        <v>166</v>
      </c>
      <c r="B81" t="s">
        <v>167</v>
      </c>
      <c r="C81" t="s">
        <v>22</v>
      </c>
      <c r="D81" s="1">
        <v>45155</v>
      </c>
    </row>
    <row r="82" spans="1:4" x14ac:dyDescent="0.3">
      <c r="A82" t="s">
        <v>168</v>
      </c>
      <c r="B82" t="s">
        <v>169</v>
      </c>
      <c r="C82" t="s">
        <v>37</v>
      </c>
      <c r="D82" s="1">
        <v>45752</v>
      </c>
    </row>
    <row r="83" spans="1:4" x14ac:dyDescent="0.3">
      <c r="A83" t="s">
        <v>170</v>
      </c>
      <c r="B83" t="s">
        <v>171</v>
      </c>
      <c r="C83" t="s">
        <v>2325</v>
      </c>
      <c r="D83" s="1">
        <v>45684</v>
      </c>
    </row>
    <row r="84" spans="1:4" x14ac:dyDescent="0.3">
      <c r="A84" t="s">
        <v>172</v>
      </c>
      <c r="B84" t="s">
        <v>173</v>
      </c>
      <c r="C84" t="s">
        <v>37</v>
      </c>
      <c r="D84" s="1">
        <v>45457</v>
      </c>
    </row>
    <row r="85" spans="1:4" x14ac:dyDescent="0.3">
      <c r="A85" t="s">
        <v>174</v>
      </c>
      <c r="B85" t="s">
        <v>175</v>
      </c>
      <c r="C85" t="s">
        <v>37</v>
      </c>
      <c r="D85" s="1">
        <v>44956</v>
      </c>
    </row>
    <row r="86" spans="1:4" x14ac:dyDescent="0.3">
      <c r="A86" t="s">
        <v>176</v>
      </c>
      <c r="B86" t="s">
        <v>177</v>
      </c>
      <c r="C86" t="s">
        <v>74</v>
      </c>
      <c r="D86" s="1">
        <v>45410</v>
      </c>
    </row>
    <row r="87" spans="1:4" x14ac:dyDescent="0.3">
      <c r="A87" t="s">
        <v>178</v>
      </c>
      <c r="B87" t="s">
        <v>179</v>
      </c>
      <c r="C87" t="s">
        <v>74</v>
      </c>
      <c r="D87" s="1">
        <v>45546</v>
      </c>
    </row>
    <row r="88" spans="1:4" x14ac:dyDescent="0.3">
      <c r="A88" t="s">
        <v>180</v>
      </c>
      <c r="B88" t="s">
        <v>181</v>
      </c>
      <c r="C88" t="s">
        <v>46</v>
      </c>
      <c r="D88" s="1">
        <v>45754</v>
      </c>
    </row>
    <row r="89" spans="1:4" x14ac:dyDescent="0.3">
      <c r="A89" t="s">
        <v>182</v>
      </c>
      <c r="B89" t="s">
        <v>183</v>
      </c>
      <c r="C89" t="s">
        <v>2325</v>
      </c>
      <c r="D89" s="1">
        <v>45300</v>
      </c>
    </row>
    <row r="90" spans="1:4" x14ac:dyDescent="0.3">
      <c r="A90" t="s">
        <v>184</v>
      </c>
      <c r="B90" t="s">
        <v>185</v>
      </c>
      <c r="C90" t="s">
        <v>25</v>
      </c>
      <c r="D90" s="1">
        <v>45159</v>
      </c>
    </row>
    <row r="91" spans="1:4" x14ac:dyDescent="0.3">
      <c r="A91" t="s">
        <v>186</v>
      </c>
      <c r="B91" t="s">
        <v>187</v>
      </c>
      <c r="C91" t="s">
        <v>2325</v>
      </c>
      <c r="D91" s="1">
        <v>45136</v>
      </c>
    </row>
    <row r="92" spans="1:4" x14ac:dyDescent="0.3">
      <c r="A92" t="s">
        <v>188</v>
      </c>
      <c r="B92" t="s">
        <v>189</v>
      </c>
      <c r="C92" t="s">
        <v>19</v>
      </c>
      <c r="D92" s="1">
        <v>45787</v>
      </c>
    </row>
    <row r="93" spans="1:4" x14ac:dyDescent="0.3">
      <c r="A93" t="s">
        <v>190</v>
      </c>
      <c r="B93" t="s">
        <v>14</v>
      </c>
      <c r="C93" t="s">
        <v>22</v>
      </c>
      <c r="D93" s="1">
        <v>45279</v>
      </c>
    </row>
    <row r="94" spans="1:4" x14ac:dyDescent="0.3">
      <c r="A94" t="s">
        <v>191</v>
      </c>
      <c r="B94" t="s">
        <v>192</v>
      </c>
      <c r="C94" t="s">
        <v>25</v>
      </c>
      <c r="D94" s="1">
        <v>45781</v>
      </c>
    </row>
    <row r="95" spans="1:4" x14ac:dyDescent="0.3">
      <c r="A95" t="s">
        <v>193</v>
      </c>
      <c r="B95" t="s">
        <v>194</v>
      </c>
      <c r="C95" t="s">
        <v>2325</v>
      </c>
      <c r="D95" s="1">
        <v>45728</v>
      </c>
    </row>
    <row r="96" spans="1:4" x14ac:dyDescent="0.3">
      <c r="A96" t="s">
        <v>195</v>
      </c>
      <c r="B96" t="s">
        <v>196</v>
      </c>
      <c r="C96" t="s">
        <v>37</v>
      </c>
      <c r="D96" s="1">
        <v>45416</v>
      </c>
    </row>
    <row r="97" spans="1:4" x14ac:dyDescent="0.3">
      <c r="A97" t="s">
        <v>197</v>
      </c>
      <c r="B97" t="s">
        <v>198</v>
      </c>
      <c r="C97" t="s">
        <v>2325</v>
      </c>
      <c r="D97" s="1">
        <v>45735</v>
      </c>
    </row>
    <row r="98" spans="1:4" x14ac:dyDescent="0.3">
      <c r="A98" t="s">
        <v>199</v>
      </c>
      <c r="B98" t="s">
        <v>200</v>
      </c>
      <c r="C98" t="s">
        <v>25</v>
      </c>
      <c r="D98" s="1">
        <v>45747</v>
      </c>
    </row>
    <row r="99" spans="1:4" x14ac:dyDescent="0.3">
      <c r="A99" t="s">
        <v>201</v>
      </c>
      <c r="B99" t="s">
        <v>202</v>
      </c>
      <c r="C99" t="s">
        <v>25</v>
      </c>
      <c r="D99" s="1">
        <v>45332</v>
      </c>
    </row>
    <row r="100" spans="1:4" x14ac:dyDescent="0.3">
      <c r="A100" t="s">
        <v>203</v>
      </c>
      <c r="B100" t="s">
        <v>204</v>
      </c>
      <c r="C100" t="s">
        <v>25</v>
      </c>
      <c r="D100" s="1">
        <v>45013</v>
      </c>
    </row>
    <row r="101" spans="1:4" x14ac:dyDescent="0.3">
      <c r="A101" t="s">
        <v>205</v>
      </c>
      <c r="B101" t="s">
        <v>206</v>
      </c>
      <c r="C101" t="s">
        <v>25</v>
      </c>
      <c r="D101" s="1">
        <v>45057</v>
      </c>
    </row>
    <row r="102" spans="1:4" x14ac:dyDescent="0.3">
      <c r="A102" t="s">
        <v>207</v>
      </c>
      <c r="B102" t="s">
        <v>14</v>
      </c>
      <c r="C102" t="s">
        <v>19</v>
      </c>
      <c r="D102" s="1">
        <v>45403</v>
      </c>
    </row>
    <row r="103" spans="1:4" x14ac:dyDescent="0.3">
      <c r="A103" t="s">
        <v>208</v>
      </c>
      <c r="B103" t="s">
        <v>209</v>
      </c>
      <c r="C103" t="s">
        <v>25</v>
      </c>
      <c r="D103" s="1">
        <v>45553</v>
      </c>
    </row>
    <row r="104" spans="1:4" x14ac:dyDescent="0.3">
      <c r="A104" t="s">
        <v>210</v>
      </c>
      <c r="B104" t="s">
        <v>211</v>
      </c>
      <c r="C104" t="s">
        <v>46</v>
      </c>
      <c r="D104" s="1">
        <v>45600</v>
      </c>
    </row>
    <row r="105" spans="1:4" x14ac:dyDescent="0.3">
      <c r="A105" t="s">
        <v>212</v>
      </c>
      <c r="B105" t="s">
        <v>213</v>
      </c>
      <c r="C105" t="s">
        <v>25</v>
      </c>
      <c r="D105" s="1">
        <v>45488</v>
      </c>
    </row>
    <row r="106" spans="1:4" x14ac:dyDescent="0.3">
      <c r="A106" t="s">
        <v>214</v>
      </c>
      <c r="B106" t="s">
        <v>215</v>
      </c>
      <c r="C106" t="s">
        <v>25</v>
      </c>
      <c r="D106" s="1">
        <v>44941</v>
      </c>
    </row>
    <row r="107" spans="1:4" x14ac:dyDescent="0.3">
      <c r="A107" t="s">
        <v>216</v>
      </c>
      <c r="B107" t="s">
        <v>217</v>
      </c>
      <c r="C107" t="s">
        <v>25</v>
      </c>
      <c r="D107" s="1">
        <v>45592</v>
      </c>
    </row>
    <row r="108" spans="1:4" x14ac:dyDescent="0.3">
      <c r="A108" t="s">
        <v>218</v>
      </c>
      <c r="B108" t="s">
        <v>219</v>
      </c>
      <c r="C108" t="s">
        <v>25</v>
      </c>
      <c r="D108" s="1">
        <v>45069</v>
      </c>
    </row>
    <row r="109" spans="1:4" x14ac:dyDescent="0.3">
      <c r="A109" t="s">
        <v>220</v>
      </c>
      <c r="B109" t="s">
        <v>221</v>
      </c>
      <c r="C109" t="s">
        <v>37</v>
      </c>
      <c r="D109" s="1">
        <v>45772</v>
      </c>
    </row>
    <row r="110" spans="1:4" x14ac:dyDescent="0.3">
      <c r="A110" t="s">
        <v>222</v>
      </c>
      <c r="B110" t="s">
        <v>223</v>
      </c>
      <c r="C110" t="s">
        <v>25</v>
      </c>
      <c r="D110" s="1">
        <v>45184</v>
      </c>
    </row>
    <row r="111" spans="1:4" x14ac:dyDescent="0.3">
      <c r="A111" t="s">
        <v>224</v>
      </c>
      <c r="B111" t="s">
        <v>225</v>
      </c>
      <c r="C111" t="s">
        <v>12</v>
      </c>
      <c r="D111" s="1">
        <v>45173</v>
      </c>
    </row>
    <row r="112" spans="1:4" x14ac:dyDescent="0.3">
      <c r="A112" t="s">
        <v>226</v>
      </c>
      <c r="B112" t="s">
        <v>227</v>
      </c>
      <c r="C112" t="s">
        <v>2325</v>
      </c>
      <c r="D112" s="1">
        <v>45192</v>
      </c>
    </row>
    <row r="113" spans="1:4" x14ac:dyDescent="0.3">
      <c r="A113" t="s">
        <v>228</v>
      </c>
      <c r="B113" t="s">
        <v>229</v>
      </c>
      <c r="C113" t="s">
        <v>25</v>
      </c>
      <c r="D113" s="1">
        <v>44989</v>
      </c>
    </row>
    <row r="114" spans="1:4" x14ac:dyDescent="0.3">
      <c r="A114" t="s">
        <v>230</v>
      </c>
      <c r="B114" t="s">
        <v>231</v>
      </c>
      <c r="C114" t="s">
        <v>2325</v>
      </c>
      <c r="D114" s="1">
        <v>45396</v>
      </c>
    </row>
    <row r="115" spans="1:4" x14ac:dyDescent="0.3">
      <c r="A115" t="s">
        <v>232</v>
      </c>
      <c r="B115" t="s">
        <v>233</v>
      </c>
      <c r="C115" t="s">
        <v>12</v>
      </c>
      <c r="D115" s="1">
        <v>45357</v>
      </c>
    </row>
    <row r="116" spans="1:4" x14ac:dyDescent="0.3">
      <c r="A116" t="s">
        <v>234</v>
      </c>
      <c r="B116" t="s">
        <v>235</v>
      </c>
      <c r="C116" t="s">
        <v>12</v>
      </c>
      <c r="D116" s="1">
        <v>45060</v>
      </c>
    </row>
    <row r="117" spans="1:4" x14ac:dyDescent="0.3">
      <c r="A117" t="s">
        <v>236</v>
      </c>
      <c r="B117" t="s">
        <v>237</v>
      </c>
      <c r="C117" t="s">
        <v>12</v>
      </c>
      <c r="D117" s="1">
        <v>45449</v>
      </c>
    </row>
    <row r="118" spans="1:4" x14ac:dyDescent="0.3">
      <c r="A118" t="s">
        <v>238</v>
      </c>
      <c r="B118" t="s">
        <v>14</v>
      </c>
      <c r="C118" t="s">
        <v>46</v>
      </c>
      <c r="D118" s="1">
        <v>45722</v>
      </c>
    </row>
    <row r="119" spans="1:4" x14ac:dyDescent="0.3">
      <c r="A119" t="s">
        <v>239</v>
      </c>
      <c r="B119" t="s">
        <v>240</v>
      </c>
      <c r="C119" t="s">
        <v>25</v>
      </c>
      <c r="D119" s="1">
        <v>45721</v>
      </c>
    </row>
    <row r="120" spans="1:4" x14ac:dyDescent="0.3">
      <c r="A120" t="s">
        <v>241</v>
      </c>
      <c r="B120" t="s">
        <v>242</v>
      </c>
      <c r="C120" t="s">
        <v>25</v>
      </c>
      <c r="D120" s="1">
        <v>45071</v>
      </c>
    </row>
    <row r="121" spans="1:4" x14ac:dyDescent="0.3">
      <c r="A121" t="s">
        <v>243</v>
      </c>
      <c r="B121" t="s">
        <v>244</v>
      </c>
      <c r="C121" t="s">
        <v>25</v>
      </c>
      <c r="D121" s="1">
        <v>45050</v>
      </c>
    </row>
    <row r="122" spans="1:4" x14ac:dyDescent="0.3">
      <c r="A122" t="s">
        <v>245</v>
      </c>
      <c r="B122" t="s">
        <v>246</v>
      </c>
      <c r="C122" t="s">
        <v>2325</v>
      </c>
      <c r="D122" s="1">
        <v>45625</v>
      </c>
    </row>
    <row r="123" spans="1:4" x14ac:dyDescent="0.3">
      <c r="A123" t="s">
        <v>247</v>
      </c>
      <c r="B123" t="s">
        <v>248</v>
      </c>
      <c r="C123" t="s">
        <v>12</v>
      </c>
      <c r="D123" s="1">
        <v>45421</v>
      </c>
    </row>
    <row r="124" spans="1:4" x14ac:dyDescent="0.3">
      <c r="A124" t="s">
        <v>249</v>
      </c>
      <c r="B124" t="s">
        <v>250</v>
      </c>
      <c r="C124" t="s">
        <v>25</v>
      </c>
      <c r="D124" s="1">
        <v>45500</v>
      </c>
    </row>
    <row r="125" spans="1:4" x14ac:dyDescent="0.3">
      <c r="A125" t="s">
        <v>251</v>
      </c>
      <c r="B125" t="s">
        <v>252</v>
      </c>
      <c r="C125" t="s">
        <v>37</v>
      </c>
      <c r="D125" s="1">
        <v>45210</v>
      </c>
    </row>
    <row r="126" spans="1:4" x14ac:dyDescent="0.3">
      <c r="A126" t="s">
        <v>253</v>
      </c>
      <c r="B126" t="s">
        <v>14</v>
      </c>
      <c r="C126" t="s">
        <v>25</v>
      </c>
      <c r="D126" s="1">
        <v>45446</v>
      </c>
    </row>
    <row r="127" spans="1:4" x14ac:dyDescent="0.3">
      <c r="A127" t="s">
        <v>254</v>
      </c>
      <c r="B127" t="s">
        <v>255</v>
      </c>
      <c r="C127" t="s">
        <v>25</v>
      </c>
      <c r="D127" s="1">
        <v>45705</v>
      </c>
    </row>
    <row r="128" spans="1:4" x14ac:dyDescent="0.3">
      <c r="A128" t="s">
        <v>256</v>
      </c>
      <c r="B128" t="s">
        <v>257</v>
      </c>
      <c r="C128" t="s">
        <v>25</v>
      </c>
      <c r="D128" s="1">
        <v>45380</v>
      </c>
    </row>
    <row r="129" spans="1:4" x14ac:dyDescent="0.3">
      <c r="A129" t="s">
        <v>258</v>
      </c>
      <c r="B129" t="s">
        <v>259</v>
      </c>
      <c r="C129" t="s">
        <v>12</v>
      </c>
      <c r="D129" s="1">
        <v>45547</v>
      </c>
    </row>
    <row r="130" spans="1:4" x14ac:dyDescent="0.3">
      <c r="A130" t="s">
        <v>260</v>
      </c>
      <c r="B130" t="s">
        <v>261</v>
      </c>
      <c r="C130" t="s">
        <v>12</v>
      </c>
      <c r="D130" s="1">
        <v>45210</v>
      </c>
    </row>
    <row r="131" spans="1:4" x14ac:dyDescent="0.3">
      <c r="A131" t="s">
        <v>262</v>
      </c>
      <c r="B131" t="s">
        <v>263</v>
      </c>
      <c r="C131" t="s">
        <v>12</v>
      </c>
      <c r="D131" s="1">
        <v>45753</v>
      </c>
    </row>
    <row r="132" spans="1:4" x14ac:dyDescent="0.3">
      <c r="A132" t="s">
        <v>264</v>
      </c>
      <c r="B132" t="s">
        <v>265</v>
      </c>
      <c r="C132" t="s">
        <v>37</v>
      </c>
      <c r="D132" s="1">
        <v>45642</v>
      </c>
    </row>
    <row r="133" spans="1:4" x14ac:dyDescent="0.3">
      <c r="A133" t="s">
        <v>266</v>
      </c>
      <c r="B133" t="s">
        <v>267</v>
      </c>
      <c r="C133" t="s">
        <v>74</v>
      </c>
      <c r="D133" s="1">
        <v>45499</v>
      </c>
    </row>
    <row r="134" spans="1:4" x14ac:dyDescent="0.3">
      <c r="A134" t="s">
        <v>268</v>
      </c>
      <c r="B134" t="s">
        <v>269</v>
      </c>
      <c r="C134" t="s">
        <v>37</v>
      </c>
      <c r="D134" s="1">
        <v>45787</v>
      </c>
    </row>
    <row r="135" spans="1:4" x14ac:dyDescent="0.3">
      <c r="A135" t="s">
        <v>270</v>
      </c>
      <c r="B135" t="s">
        <v>271</v>
      </c>
      <c r="C135" t="s">
        <v>2325</v>
      </c>
      <c r="D135" s="1">
        <v>45051</v>
      </c>
    </row>
    <row r="136" spans="1:4" x14ac:dyDescent="0.3">
      <c r="A136" t="s">
        <v>272</v>
      </c>
      <c r="B136" t="s">
        <v>273</v>
      </c>
      <c r="C136" t="s">
        <v>2325</v>
      </c>
      <c r="D136" s="1">
        <v>45001</v>
      </c>
    </row>
    <row r="137" spans="1:4" x14ac:dyDescent="0.3">
      <c r="A137" t="s">
        <v>274</v>
      </c>
      <c r="B137" t="s">
        <v>275</v>
      </c>
      <c r="C137" t="s">
        <v>2325</v>
      </c>
      <c r="D137" s="1">
        <v>45001</v>
      </c>
    </row>
    <row r="138" spans="1:4" x14ac:dyDescent="0.3">
      <c r="A138" t="s">
        <v>276</v>
      </c>
      <c r="B138" t="s">
        <v>277</v>
      </c>
      <c r="C138" t="s">
        <v>74</v>
      </c>
      <c r="D138" s="1">
        <v>45729</v>
      </c>
    </row>
    <row r="139" spans="1:4" x14ac:dyDescent="0.3">
      <c r="A139" t="s">
        <v>278</v>
      </c>
      <c r="B139" t="s">
        <v>279</v>
      </c>
      <c r="C139" t="s">
        <v>25</v>
      </c>
      <c r="D139" s="1">
        <v>45660</v>
      </c>
    </row>
    <row r="140" spans="1:4" x14ac:dyDescent="0.3">
      <c r="A140" t="s">
        <v>280</v>
      </c>
      <c r="B140" t="s">
        <v>281</v>
      </c>
      <c r="C140" t="s">
        <v>2325</v>
      </c>
      <c r="D140" s="1">
        <v>45073</v>
      </c>
    </row>
    <row r="141" spans="1:4" x14ac:dyDescent="0.3">
      <c r="A141" t="s">
        <v>282</v>
      </c>
      <c r="B141" t="s">
        <v>283</v>
      </c>
      <c r="C141" t="s">
        <v>25</v>
      </c>
      <c r="D141" s="1">
        <v>45405</v>
      </c>
    </row>
    <row r="142" spans="1:4" x14ac:dyDescent="0.3">
      <c r="A142" t="s">
        <v>284</v>
      </c>
      <c r="B142" t="s">
        <v>285</v>
      </c>
      <c r="C142" t="s">
        <v>25</v>
      </c>
      <c r="D142" s="1">
        <v>45334</v>
      </c>
    </row>
    <row r="143" spans="1:4" x14ac:dyDescent="0.3">
      <c r="A143" t="s">
        <v>286</v>
      </c>
      <c r="B143" t="s">
        <v>287</v>
      </c>
      <c r="C143" t="s">
        <v>25</v>
      </c>
      <c r="D143" s="1">
        <v>45610</v>
      </c>
    </row>
    <row r="144" spans="1:4" x14ac:dyDescent="0.3">
      <c r="A144" t="s">
        <v>288</v>
      </c>
      <c r="B144" t="s">
        <v>289</v>
      </c>
      <c r="C144" t="s">
        <v>25</v>
      </c>
      <c r="D144" s="1">
        <v>45650</v>
      </c>
    </row>
    <row r="145" spans="1:4" x14ac:dyDescent="0.3">
      <c r="A145" t="s">
        <v>290</v>
      </c>
      <c r="B145" t="s">
        <v>291</v>
      </c>
      <c r="C145" t="s">
        <v>12</v>
      </c>
      <c r="D145" s="1">
        <v>45340</v>
      </c>
    </row>
    <row r="146" spans="1:4" x14ac:dyDescent="0.3">
      <c r="A146" t="s">
        <v>292</v>
      </c>
      <c r="B146" t="s">
        <v>293</v>
      </c>
      <c r="C146" t="s">
        <v>37</v>
      </c>
      <c r="D146" s="1">
        <v>45292</v>
      </c>
    </row>
    <row r="147" spans="1:4" x14ac:dyDescent="0.3">
      <c r="A147" t="s">
        <v>294</v>
      </c>
      <c r="B147" t="s">
        <v>295</v>
      </c>
      <c r="C147" t="s">
        <v>37</v>
      </c>
      <c r="D147" s="1">
        <v>45301</v>
      </c>
    </row>
    <row r="148" spans="1:4" x14ac:dyDescent="0.3">
      <c r="A148" t="s">
        <v>296</v>
      </c>
      <c r="B148" t="s">
        <v>14</v>
      </c>
      <c r="C148" t="s">
        <v>12</v>
      </c>
      <c r="D148" s="1">
        <v>45396</v>
      </c>
    </row>
    <row r="149" spans="1:4" x14ac:dyDescent="0.3">
      <c r="A149" t="s">
        <v>297</v>
      </c>
      <c r="B149" t="s">
        <v>298</v>
      </c>
      <c r="C149" t="s">
        <v>25</v>
      </c>
      <c r="D149" s="1">
        <v>45320</v>
      </c>
    </row>
    <row r="150" spans="1:4" x14ac:dyDescent="0.3">
      <c r="A150" t="s">
        <v>299</v>
      </c>
      <c r="B150" t="s">
        <v>300</v>
      </c>
      <c r="C150" t="s">
        <v>19</v>
      </c>
      <c r="D150" s="1">
        <v>45229</v>
      </c>
    </row>
    <row r="151" spans="1:4" x14ac:dyDescent="0.3">
      <c r="A151" t="s">
        <v>301</v>
      </c>
      <c r="B151" t="s">
        <v>302</v>
      </c>
      <c r="C151" t="s">
        <v>25</v>
      </c>
      <c r="D151" s="1">
        <v>45042</v>
      </c>
    </row>
    <row r="152" spans="1:4" x14ac:dyDescent="0.3">
      <c r="A152" t="s">
        <v>303</v>
      </c>
      <c r="B152" t="s">
        <v>304</v>
      </c>
      <c r="C152" t="s">
        <v>37</v>
      </c>
      <c r="D152" s="1">
        <v>45824</v>
      </c>
    </row>
    <row r="153" spans="1:4" x14ac:dyDescent="0.3">
      <c r="A153" t="s">
        <v>305</v>
      </c>
      <c r="B153" t="s">
        <v>306</v>
      </c>
      <c r="C153" t="s">
        <v>74</v>
      </c>
      <c r="D153" s="1">
        <v>45205</v>
      </c>
    </row>
    <row r="154" spans="1:4" x14ac:dyDescent="0.3">
      <c r="A154" t="s">
        <v>307</v>
      </c>
      <c r="B154" t="s">
        <v>14</v>
      </c>
      <c r="C154" t="s">
        <v>25</v>
      </c>
      <c r="D154" s="1">
        <v>45203</v>
      </c>
    </row>
    <row r="155" spans="1:4" x14ac:dyDescent="0.3">
      <c r="A155" t="s">
        <v>308</v>
      </c>
      <c r="B155" t="s">
        <v>309</v>
      </c>
      <c r="C155" t="s">
        <v>2325</v>
      </c>
      <c r="D155" s="1">
        <v>45796</v>
      </c>
    </row>
    <row r="156" spans="1:4" x14ac:dyDescent="0.3">
      <c r="A156" t="s">
        <v>310</v>
      </c>
      <c r="B156" t="s">
        <v>311</v>
      </c>
      <c r="C156" t="s">
        <v>74</v>
      </c>
      <c r="D156" s="1">
        <v>45342</v>
      </c>
    </row>
    <row r="157" spans="1:4" x14ac:dyDescent="0.3">
      <c r="A157" t="s">
        <v>312</v>
      </c>
      <c r="B157" t="s">
        <v>313</v>
      </c>
      <c r="C157" t="s">
        <v>12</v>
      </c>
      <c r="D157" s="1">
        <v>45511</v>
      </c>
    </row>
    <row r="158" spans="1:4" x14ac:dyDescent="0.3">
      <c r="A158" t="s">
        <v>314</v>
      </c>
      <c r="B158" t="s">
        <v>315</v>
      </c>
      <c r="C158" t="s">
        <v>2325</v>
      </c>
      <c r="D158" s="1">
        <v>45018</v>
      </c>
    </row>
    <row r="159" spans="1:4" x14ac:dyDescent="0.3">
      <c r="A159" t="s">
        <v>316</v>
      </c>
      <c r="B159" t="s">
        <v>317</v>
      </c>
      <c r="C159" t="s">
        <v>2325</v>
      </c>
      <c r="D159" s="1">
        <v>45114</v>
      </c>
    </row>
    <row r="160" spans="1:4" x14ac:dyDescent="0.3">
      <c r="A160" t="s">
        <v>318</v>
      </c>
      <c r="B160" t="s">
        <v>319</v>
      </c>
      <c r="C160" t="s">
        <v>25</v>
      </c>
      <c r="D160" s="1">
        <v>45202</v>
      </c>
    </row>
    <row r="161" spans="1:4" x14ac:dyDescent="0.3">
      <c r="A161" t="s">
        <v>320</v>
      </c>
      <c r="B161" t="s">
        <v>321</v>
      </c>
      <c r="C161" t="s">
        <v>22</v>
      </c>
      <c r="D161" s="1">
        <v>45017</v>
      </c>
    </row>
    <row r="162" spans="1:4" x14ac:dyDescent="0.3">
      <c r="A162" t="s">
        <v>322</v>
      </c>
      <c r="B162" t="s">
        <v>323</v>
      </c>
      <c r="C162" t="s">
        <v>25</v>
      </c>
      <c r="D162" s="1">
        <v>45549</v>
      </c>
    </row>
    <row r="163" spans="1:4" x14ac:dyDescent="0.3">
      <c r="A163" t="s">
        <v>324</v>
      </c>
      <c r="B163" t="s">
        <v>325</v>
      </c>
      <c r="C163" t="s">
        <v>25</v>
      </c>
      <c r="D163" s="1">
        <v>45197</v>
      </c>
    </row>
    <row r="164" spans="1:4" x14ac:dyDescent="0.3">
      <c r="A164" t="s">
        <v>326</v>
      </c>
      <c r="B164" t="s">
        <v>327</v>
      </c>
      <c r="C164" t="s">
        <v>46</v>
      </c>
      <c r="D164" s="1">
        <v>44938</v>
      </c>
    </row>
    <row r="165" spans="1:4" x14ac:dyDescent="0.3">
      <c r="A165" t="s">
        <v>328</v>
      </c>
      <c r="B165" t="s">
        <v>329</v>
      </c>
      <c r="C165" t="s">
        <v>12</v>
      </c>
      <c r="D165" s="1">
        <v>45354</v>
      </c>
    </row>
    <row r="166" spans="1:4" x14ac:dyDescent="0.3">
      <c r="A166" t="s">
        <v>330</v>
      </c>
      <c r="B166" t="s">
        <v>331</v>
      </c>
      <c r="C166" t="s">
        <v>74</v>
      </c>
      <c r="D166" s="1">
        <v>45563</v>
      </c>
    </row>
    <row r="167" spans="1:4" x14ac:dyDescent="0.3">
      <c r="A167" t="s">
        <v>332</v>
      </c>
      <c r="B167" t="s">
        <v>333</v>
      </c>
      <c r="C167" t="s">
        <v>12</v>
      </c>
      <c r="D167" s="1">
        <v>45653</v>
      </c>
    </row>
    <row r="168" spans="1:4" x14ac:dyDescent="0.3">
      <c r="A168" t="s">
        <v>334</v>
      </c>
      <c r="B168" t="s">
        <v>335</v>
      </c>
      <c r="C168" t="s">
        <v>25</v>
      </c>
      <c r="D168" s="1">
        <v>45092</v>
      </c>
    </row>
    <row r="169" spans="1:4" x14ac:dyDescent="0.3">
      <c r="A169" t="s">
        <v>336</v>
      </c>
      <c r="B169" t="s">
        <v>337</v>
      </c>
      <c r="C169" t="s">
        <v>25</v>
      </c>
      <c r="D169" s="1">
        <v>45133</v>
      </c>
    </row>
    <row r="170" spans="1:4" x14ac:dyDescent="0.3">
      <c r="A170" t="s">
        <v>338</v>
      </c>
      <c r="B170" t="s">
        <v>339</v>
      </c>
      <c r="C170" t="s">
        <v>22</v>
      </c>
      <c r="D170" s="1">
        <v>45239</v>
      </c>
    </row>
    <row r="171" spans="1:4" x14ac:dyDescent="0.3">
      <c r="A171" t="s">
        <v>340</v>
      </c>
      <c r="B171" t="s">
        <v>341</v>
      </c>
      <c r="C171" t="s">
        <v>37</v>
      </c>
      <c r="D171" s="1">
        <v>45223</v>
      </c>
    </row>
    <row r="172" spans="1:4" x14ac:dyDescent="0.3">
      <c r="A172" t="s">
        <v>342</v>
      </c>
      <c r="B172" t="s">
        <v>343</v>
      </c>
      <c r="C172" t="s">
        <v>22</v>
      </c>
      <c r="D172" s="1">
        <v>45109</v>
      </c>
    </row>
    <row r="173" spans="1:4" x14ac:dyDescent="0.3">
      <c r="A173" t="s">
        <v>344</v>
      </c>
      <c r="B173" t="s">
        <v>345</v>
      </c>
      <c r="C173" t="s">
        <v>25</v>
      </c>
      <c r="D173" s="1">
        <v>45183</v>
      </c>
    </row>
    <row r="174" spans="1:4" x14ac:dyDescent="0.3">
      <c r="A174" t="s">
        <v>346</v>
      </c>
      <c r="B174" t="s">
        <v>14</v>
      </c>
      <c r="C174" t="s">
        <v>25</v>
      </c>
      <c r="D174" s="1">
        <v>45677</v>
      </c>
    </row>
    <row r="175" spans="1:4" x14ac:dyDescent="0.3">
      <c r="A175" t="s">
        <v>347</v>
      </c>
      <c r="B175" t="s">
        <v>348</v>
      </c>
      <c r="C175" t="s">
        <v>37</v>
      </c>
      <c r="D175" s="1">
        <v>45453</v>
      </c>
    </row>
    <row r="176" spans="1:4" x14ac:dyDescent="0.3">
      <c r="A176" t="s">
        <v>349</v>
      </c>
      <c r="B176" t="s">
        <v>350</v>
      </c>
      <c r="C176" t="s">
        <v>46</v>
      </c>
      <c r="D176" s="1">
        <v>45035</v>
      </c>
    </row>
    <row r="177" spans="1:4" x14ac:dyDescent="0.3">
      <c r="A177" t="s">
        <v>351</v>
      </c>
      <c r="B177" t="s">
        <v>352</v>
      </c>
      <c r="C177" t="s">
        <v>22</v>
      </c>
      <c r="D177" s="1">
        <v>45369</v>
      </c>
    </row>
    <row r="178" spans="1:4" x14ac:dyDescent="0.3">
      <c r="A178" t="s">
        <v>353</v>
      </c>
      <c r="B178" t="s">
        <v>354</v>
      </c>
      <c r="C178" t="s">
        <v>12</v>
      </c>
      <c r="D178" s="1">
        <v>45781</v>
      </c>
    </row>
    <row r="179" spans="1:4" x14ac:dyDescent="0.3">
      <c r="A179" t="s">
        <v>355</v>
      </c>
      <c r="B179" t="s">
        <v>356</v>
      </c>
      <c r="C179" t="s">
        <v>12</v>
      </c>
      <c r="D179" s="1">
        <v>45242</v>
      </c>
    </row>
    <row r="180" spans="1:4" x14ac:dyDescent="0.3">
      <c r="A180" t="s">
        <v>357</v>
      </c>
      <c r="B180" t="s">
        <v>358</v>
      </c>
      <c r="C180" t="s">
        <v>37</v>
      </c>
      <c r="D180" s="1">
        <v>45277</v>
      </c>
    </row>
    <row r="181" spans="1:4" x14ac:dyDescent="0.3">
      <c r="A181" t="s">
        <v>359</v>
      </c>
      <c r="B181" t="s">
        <v>360</v>
      </c>
      <c r="C181" t="s">
        <v>37</v>
      </c>
      <c r="D181" s="1">
        <v>45673</v>
      </c>
    </row>
    <row r="182" spans="1:4" x14ac:dyDescent="0.3">
      <c r="A182" t="s">
        <v>361</v>
      </c>
      <c r="B182" t="s">
        <v>362</v>
      </c>
      <c r="C182" t="s">
        <v>2325</v>
      </c>
      <c r="D182" s="1">
        <v>45282</v>
      </c>
    </row>
    <row r="183" spans="1:4" x14ac:dyDescent="0.3">
      <c r="A183" t="s">
        <v>363</v>
      </c>
      <c r="B183" t="s">
        <v>364</v>
      </c>
      <c r="C183" t="s">
        <v>25</v>
      </c>
      <c r="D183" s="1">
        <v>44941</v>
      </c>
    </row>
    <row r="184" spans="1:4" x14ac:dyDescent="0.3">
      <c r="A184" t="s">
        <v>365</v>
      </c>
      <c r="B184" t="s">
        <v>366</v>
      </c>
      <c r="C184" t="s">
        <v>25</v>
      </c>
      <c r="D184" s="1">
        <v>45827</v>
      </c>
    </row>
    <row r="185" spans="1:4" x14ac:dyDescent="0.3">
      <c r="A185" t="s">
        <v>367</v>
      </c>
      <c r="B185" t="s">
        <v>368</v>
      </c>
      <c r="C185" t="s">
        <v>25</v>
      </c>
      <c r="D185" s="1">
        <v>44983</v>
      </c>
    </row>
    <row r="186" spans="1:4" x14ac:dyDescent="0.3">
      <c r="A186" t="s">
        <v>369</v>
      </c>
      <c r="B186" t="s">
        <v>370</v>
      </c>
      <c r="C186" t="s">
        <v>2325</v>
      </c>
      <c r="D186" s="1">
        <v>45818</v>
      </c>
    </row>
    <row r="187" spans="1:4" x14ac:dyDescent="0.3">
      <c r="A187" t="s">
        <v>371</v>
      </c>
      <c r="B187" t="s">
        <v>372</v>
      </c>
      <c r="C187" t="s">
        <v>74</v>
      </c>
      <c r="D187" s="1">
        <v>45540</v>
      </c>
    </row>
    <row r="188" spans="1:4" x14ac:dyDescent="0.3">
      <c r="A188" t="s">
        <v>373</v>
      </c>
      <c r="B188" t="s">
        <v>374</v>
      </c>
      <c r="C188" t="s">
        <v>74</v>
      </c>
      <c r="D188" s="1">
        <v>44973</v>
      </c>
    </row>
    <row r="189" spans="1:4" x14ac:dyDescent="0.3">
      <c r="A189" t="s">
        <v>375</v>
      </c>
      <c r="B189" t="s">
        <v>376</v>
      </c>
      <c r="C189" t="s">
        <v>25</v>
      </c>
      <c r="D189" s="1">
        <v>45202</v>
      </c>
    </row>
    <row r="190" spans="1:4" x14ac:dyDescent="0.3">
      <c r="A190" t="s">
        <v>377</v>
      </c>
      <c r="B190" t="s">
        <v>378</v>
      </c>
      <c r="C190" t="s">
        <v>74</v>
      </c>
      <c r="D190" s="1">
        <v>45299</v>
      </c>
    </row>
    <row r="191" spans="1:4" x14ac:dyDescent="0.3">
      <c r="A191" t="s">
        <v>379</v>
      </c>
      <c r="B191" t="s">
        <v>380</v>
      </c>
      <c r="C191" t="s">
        <v>12</v>
      </c>
      <c r="D191" s="1">
        <v>45258</v>
      </c>
    </row>
    <row r="192" spans="1:4" x14ac:dyDescent="0.3">
      <c r="A192" t="s">
        <v>381</v>
      </c>
      <c r="B192" t="s">
        <v>382</v>
      </c>
      <c r="C192" t="s">
        <v>74</v>
      </c>
      <c r="D192" s="1">
        <v>45150</v>
      </c>
    </row>
    <row r="193" spans="1:4" x14ac:dyDescent="0.3">
      <c r="A193" t="s">
        <v>383</v>
      </c>
      <c r="B193" t="s">
        <v>384</v>
      </c>
      <c r="C193" t="s">
        <v>25</v>
      </c>
      <c r="D193" s="1">
        <v>45270</v>
      </c>
    </row>
    <row r="194" spans="1:4" x14ac:dyDescent="0.3">
      <c r="A194" t="s">
        <v>385</v>
      </c>
      <c r="B194" t="s">
        <v>386</v>
      </c>
      <c r="C194" t="s">
        <v>46</v>
      </c>
      <c r="D194" s="1">
        <v>45212</v>
      </c>
    </row>
    <row r="195" spans="1:4" x14ac:dyDescent="0.3">
      <c r="A195" t="s">
        <v>387</v>
      </c>
      <c r="B195" t="s">
        <v>388</v>
      </c>
      <c r="C195" t="s">
        <v>37</v>
      </c>
      <c r="D195" s="1">
        <v>45181</v>
      </c>
    </row>
    <row r="196" spans="1:4" x14ac:dyDescent="0.3">
      <c r="A196" t="s">
        <v>389</v>
      </c>
      <c r="B196" t="s">
        <v>390</v>
      </c>
      <c r="C196" t="s">
        <v>25</v>
      </c>
      <c r="D196" s="1">
        <v>45020</v>
      </c>
    </row>
    <row r="197" spans="1:4" x14ac:dyDescent="0.3">
      <c r="A197" t="s">
        <v>391</v>
      </c>
      <c r="B197" t="s">
        <v>392</v>
      </c>
      <c r="C197" t="s">
        <v>25</v>
      </c>
      <c r="D197" s="1">
        <v>45074</v>
      </c>
    </row>
    <row r="198" spans="1:4" x14ac:dyDescent="0.3">
      <c r="A198" t="s">
        <v>393</v>
      </c>
      <c r="B198" t="s">
        <v>394</v>
      </c>
      <c r="C198" t="s">
        <v>25</v>
      </c>
      <c r="D198" s="1">
        <v>45330</v>
      </c>
    </row>
    <row r="199" spans="1:4" x14ac:dyDescent="0.3">
      <c r="A199" t="s">
        <v>395</v>
      </c>
      <c r="B199" t="s">
        <v>14</v>
      </c>
      <c r="C199" t="s">
        <v>74</v>
      </c>
      <c r="D199" s="1">
        <v>45571</v>
      </c>
    </row>
    <row r="200" spans="1:4" x14ac:dyDescent="0.3">
      <c r="A200" t="s">
        <v>396</v>
      </c>
      <c r="B200" t="s">
        <v>397</v>
      </c>
      <c r="C200" t="s">
        <v>19</v>
      </c>
      <c r="D200" s="1">
        <v>45468</v>
      </c>
    </row>
    <row r="201" spans="1:4" x14ac:dyDescent="0.3">
      <c r="A201" t="s">
        <v>398</v>
      </c>
      <c r="B201" t="s">
        <v>399</v>
      </c>
      <c r="C201" t="s">
        <v>25</v>
      </c>
      <c r="D201" s="1">
        <v>45600</v>
      </c>
    </row>
    <row r="202" spans="1:4" x14ac:dyDescent="0.3">
      <c r="A202" t="s">
        <v>400</v>
      </c>
      <c r="B202" t="s">
        <v>401</v>
      </c>
      <c r="C202" t="s">
        <v>19</v>
      </c>
      <c r="D202" s="1">
        <v>45325</v>
      </c>
    </row>
    <row r="203" spans="1:4" x14ac:dyDescent="0.3">
      <c r="A203" t="s">
        <v>402</v>
      </c>
      <c r="B203" t="s">
        <v>403</v>
      </c>
      <c r="C203" t="s">
        <v>19</v>
      </c>
      <c r="D203" s="1">
        <v>45433</v>
      </c>
    </row>
    <row r="204" spans="1:4" x14ac:dyDescent="0.3">
      <c r="A204" t="s">
        <v>404</v>
      </c>
      <c r="B204" t="s">
        <v>405</v>
      </c>
      <c r="C204" t="s">
        <v>19</v>
      </c>
      <c r="D204" s="1">
        <v>45560</v>
      </c>
    </row>
    <row r="205" spans="1:4" x14ac:dyDescent="0.3">
      <c r="A205" t="s">
        <v>406</v>
      </c>
      <c r="B205" t="s">
        <v>407</v>
      </c>
      <c r="C205" t="s">
        <v>25</v>
      </c>
      <c r="D205" s="1">
        <v>45771</v>
      </c>
    </row>
    <row r="206" spans="1:4" x14ac:dyDescent="0.3">
      <c r="A206" t="s">
        <v>408</v>
      </c>
      <c r="B206" t="s">
        <v>409</v>
      </c>
      <c r="C206" t="s">
        <v>12</v>
      </c>
      <c r="D206" s="1">
        <v>45569</v>
      </c>
    </row>
    <row r="207" spans="1:4" x14ac:dyDescent="0.3">
      <c r="A207" t="s">
        <v>410</v>
      </c>
      <c r="B207" t="s">
        <v>411</v>
      </c>
      <c r="C207" t="s">
        <v>12</v>
      </c>
      <c r="D207" s="1">
        <v>45758</v>
      </c>
    </row>
    <row r="208" spans="1:4" x14ac:dyDescent="0.3">
      <c r="A208" t="s">
        <v>412</v>
      </c>
      <c r="B208" t="s">
        <v>413</v>
      </c>
      <c r="C208" t="s">
        <v>12</v>
      </c>
      <c r="D208" s="1">
        <v>45697</v>
      </c>
    </row>
    <row r="209" spans="1:4" x14ac:dyDescent="0.3">
      <c r="A209" t="s">
        <v>414</v>
      </c>
      <c r="B209" t="s">
        <v>415</v>
      </c>
      <c r="C209" t="s">
        <v>25</v>
      </c>
      <c r="D209" s="1">
        <v>45773</v>
      </c>
    </row>
    <row r="210" spans="1:4" x14ac:dyDescent="0.3">
      <c r="A210" t="s">
        <v>416</v>
      </c>
      <c r="B210" t="s">
        <v>417</v>
      </c>
      <c r="C210" t="s">
        <v>25</v>
      </c>
      <c r="D210" s="1">
        <v>45626</v>
      </c>
    </row>
    <row r="211" spans="1:4" x14ac:dyDescent="0.3">
      <c r="A211" t="s">
        <v>418</v>
      </c>
      <c r="B211" t="s">
        <v>419</v>
      </c>
      <c r="C211" t="s">
        <v>22</v>
      </c>
      <c r="D211" s="1">
        <v>45162</v>
      </c>
    </row>
    <row r="212" spans="1:4" x14ac:dyDescent="0.3">
      <c r="A212" t="s">
        <v>420</v>
      </c>
      <c r="B212" t="s">
        <v>421</v>
      </c>
      <c r="C212" t="s">
        <v>25</v>
      </c>
      <c r="D212" s="1">
        <v>45063</v>
      </c>
    </row>
    <row r="213" spans="1:4" x14ac:dyDescent="0.3">
      <c r="A213" t="s">
        <v>422</v>
      </c>
      <c r="B213" t="s">
        <v>423</v>
      </c>
      <c r="C213" t="s">
        <v>25</v>
      </c>
      <c r="D213" s="1">
        <v>45312</v>
      </c>
    </row>
    <row r="214" spans="1:4" x14ac:dyDescent="0.3">
      <c r="A214" t="s">
        <v>424</v>
      </c>
      <c r="B214" t="s">
        <v>425</v>
      </c>
      <c r="C214" t="s">
        <v>12</v>
      </c>
      <c r="D214" s="1">
        <v>44978</v>
      </c>
    </row>
    <row r="215" spans="1:4" x14ac:dyDescent="0.3">
      <c r="A215" t="s">
        <v>426</v>
      </c>
      <c r="B215" t="s">
        <v>427</v>
      </c>
      <c r="C215" t="s">
        <v>22</v>
      </c>
      <c r="D215" s="1">
        <v>45471</v>
      </c>
    </row>
    <row r="216" spans="1:4" x14ac:dyDescent="0.3">
      <c r="A216" t="s">
        <v>428</v>
      </c>
      <c r="B216" t="s">
        <v>429</v>
      </c>
      <c r="C216" t="s">
        <v>46</v>
      </c>
      <c r="D216" s="1">
        <v>45197</v>
      </c>
    </row>
    <row r="217" spans="1:4" x14ac:dyDescent="0.3">
      <c r="A217" t="s">
        <v>430</v>
      </c>
      <c r="B217" t="s">
        <v>14</v>
      </c>
      <c r="C217" t="s">
        <v>25</v>
      </c>
      <c r="D217" s="1">
        <v>45693</v>
      </c>
    </row>
    <row r="218" spans="1:4" x14ac:dyDescent="0.3">
      <c r="A218" t="s">
        <v>431</v>
      </c>
      <c r="B218" t="s">
        <v>432</v>
      </c>
      <c r="C218" t="s">
        <v>12</v>
      </c>
      <c r="D218" s="1">
        <v>45021</v>
      </c>
    </row>
    <row r="219" spans="1:4" x14ac:dyDescent="0.3">
      <c r="A219" t="s">
        <v>433</v>
      </c>
      <c r="B219" t="s">
        <v>434</v>
      </c>
      <c r="C219" t="s">
        <v>25</v>
      </c>
      <c r="D219" s="1">
        <v>45690</v>
      </c>
    </row>
    <row r="220" spans="1:4" x14ac:dyDescent="0.3">
      <c r="A220" t="s">
        <v>435</v>
      </c>
      <c r="B220" t="s">
        <v>436</v>
      </c>
      <c r="C220" t="s">
        <v>74</v>
      </c>
      <c r="D220" s="1">
        <v>45755</v>
      </c>
    </row>
    <row r="221" spans="1:4" x14ac:dyDescent="0.3">
      <c r="A221" t="s">
        <v>437</v>
      </c>
      <c r="B221" t="s">
        <v>438</v>
      </c>
      <c r="C221" t="s">
        <v>74</v>
      </c>
      <c r="D221" s="1">
        <v>45167</v>
      </c>
    </row>
    <row r="222" spans="1:4" x14ac:dyDescent="0.3">
      <c r="A222" t="s">
        <v>439</v>
      </c>
      <c r="B222" t="s">
        <v>440</v>
      </c>
      <c r="C222" t="s">
        <v>37</v>
      </c>
      <c r="D222" s="1">
        <v>45163</v>
      </c>
    </row>
    <row r="223" spans="1:4" x14ac:dyDescent="0.3">
      <c r="A223" t="s">
        <v>441</v>
      </c>
      <c r="B223" t="s">
        <v>442</v>
      </c>
      <c r="C223" t="s">
        <v>46</v>
      </c>
      <c r="D223" s="1">
        <v>45432</v>
      </c>
    </row>
    <row r="224" spans="1:4" x14ac:dyDescent="0.3">
      <c r="A224" t="s">
        <v>443</v>
      </c>
      <c r="B224" t="s">
        <v>444</v>
      </c>
      <c r="C224" t="s">
        <v>25</v>
      </c>
      <c r="D224" s="1">
        <v>45417</v>
      </c>
    </row>
    <row r="225" spans="1:4" x14ac:dyDescent="0.3">
      <c r="A225" t="s">
        <v>445</v>
      </c>
      <c r="B225" t="s">
        <v>446</v>
      </c>
      <c r="C225" t="s">
        <v>74</v>
      </c>
      <c r="D225" s="1">
        <v>45712</v>
      </c>
    </row>
    <row r="226" spans="1:4" x14ac:dyDescent="0.3">
      <c r="A226" t="s">
        <v>447</v>
      </c>
      <c r="B226" t="s">
        <v>14</v>
      </c>
      <c r="C226" t="s">
        <v>22</v>
      </c>
      <c r="D226" s="1">
        <v>45585</v>
      </c>
    </row>
    <row r="227" spans="1:4" x14ac:dyDescent="0.3">
      <c r="A227" t="s">
        <v>448</v>
      </c>
      <c r="B227" t="s">
        <v>449</v>
      </c>
      <c r="C227" t="s">
        <v>19</v>
      </c>
      <c r="D227" s="1">
        <v>45077</v>
      </c>
    </row>
    <row r="228" spans="1:4" x14ac:dyDescent="0.3">
      <c r="A228" t="s">
        <v>450</v>
      </c>
      <c r="B228" t="s">
        <v>451</v>
      </c>
      <c r="C228" t="s">
        <v>22</v>
      </c>
      <c r="D228" s="1">
        <v>45688</v>
      </c>
    </row>
    <row r="229" spans="1:4" x14ac:dyDescent="0.3">
      <c r="A229" t="s">
        <v>452</v>
      </c>
      <c r="B229" t="s">
        <v>453</v>
      </c>
      <c r="C229" t="s">
        <v>19</v>
      </c>
      <c r="D229" s="1">
        <v>45508</v>
      </c>
    </row>
    <row r="230" spans="1:4" x14ac:dyDescent="0.3">
      <c r="A230" t="s">
        <v>454</v>
      </c>
      <c r="B230" t="s">
        <v>455</v>
      </c>
      <c r="C230" t="s">
        <v>46</v>
      </c>
      <c r="D230" s="1">
        <v>44989</v>
      </c>
    </row>
    <row r="231" spans="1:4" x14ac:dyDescent="0.3">
      <c r="A231" t="s">
        <v>456</v>
      </c>
      <c r="B231" t="s">
        <v>457</v>
      </c>
      <c r="C231" t="s">
        <v>22</v>
      </c>
      <c r="D231" s="1">
        <v>45028</v>
      </c>
    </row>
    <row r="232" spans="1:4" x14ac:dyDescent="0.3">
      <c r="A232" t="s">
        <v>458</v>
      </c>
      <c r="B232" t="s">
        <v>459</v>
      </c>
      <c r="C232" t="s">
        <v>22</v>
      </c>
      <c r="D232" s="1">
        <v>45428</v>
      </c>
    </row>
    <row r="233" spans="1:4" x14ac:dyDescent="0.3">
      <c r="A233" t="s">
        <v>460</v>
      </c>
      <c r="B233" t="s">
        <v>461</v>
      </c>
      <c r="C233" t="s">
        <v>12</v>
      </c>
      <c r="D233" s="1">
        <v>45219</v>
      </c>
    </row>
    <row r="234" spans="1:4" x14ac:dyDescent="0.3">
      <c r="A234" t="s">
        <v>462</v>
      </c>
      <c r="B234" t="s">
        <v>463</v>
      </c>
      <c r="C234" t="s">
        <v>46</v>
      </c>
      <c r="D234" s="1">
        <v>45712</v>
      </c>
    </row>
    <row r="235" spans="1:4" x14ac:dyDescent="0.3">
      <c r="A235" t="s">
        <v>464</v>
      </c>
      <c r="B235" t="s">
        <v>465</v>
      </c>
      <c r="C235" t="s">
        <v>12</v>
      </c>
      <c r="D235" s="1">
        <v>45131</v>
      </c>
    </row>
    <row r="236" spans="1:4" x14ac:dyDescent="0.3">
      <c r="A236" t="s">
        <v>466</v>
      </c>
      <c r="B236" t="s">
        <v>467</v>
      </c>
      <c r="C236" t="s">
        <v>25</v>
      </c>
      <c r="D236" s="1">
        <v>45411</v>
      </c>
    </row>
    <row r="237" spans="1:4" x14ac:dyDescent="0.3">
      <c r="A237" t="s">
        <v>468</v>
      </c>
      <c r="B237" t="s">
        <v>14</v>
      </c>
      <c r="C237" t="s">
        <v>46</v>
      </c>
      <c r="D237" s="1">
        <v>45005</v>
      </c>
    </row>
    <row r="238" spans="1:4" x14ac:dyDescent="0.3">
      <c r="A238" t="s">
        <v>469</v>
      </c>
      <c r="B238" t="s">
        <v>470</v>
      </c>
      <c r="C238" t="s">
        <v>46</v>
      </c>
      <c r="D238" s="1">
        <v>45202</v>
      </c>
    </row>
    <row r="239" spans="1:4" x14ac:dyDescent="0.3">
      <c r="A239" t="s">
        <v>471</v>
      </c>
      <c r="B239" t="s">
        <v>472</v>
      </c>
      <c r="C239" t="s">
        <v>37</v>
      </c>
      <c r="D239" s="1">
        <v>45003</v>
      </c>
    </row>
    <row r="240" spans="1:4" x14ac:dyDescent="0.3">
      <c r="A240" t="s">
        <v>473</v>
      </c>
      <c r="B240" t="s">
        <v>474</v>
      </c>
      <c r="C240" t="s">
        <v>25</v>
      </c>
      <c r="D240" s="1">
        <v>45692</v>
      </c>
    </row>
    <row r="241" spans="1:4" x14ac:dyDescent="0.3">
      <c r="A241" t="s">
        <v>475</v>
      </c>
      <c r="B241" t="s">
        <v>476</v>
      </c>
      <c r="C241" t="s">
        <v>2325</v>
      </c>
      <c r="D241" s="1">
        <v>45062</v>
      </c>
    </row>
    <row r="242" spans="1:4" x14ac:dyDescent="0.3">
      <c r="A242" t="s">
        <v>477</v>
      </c>
      <c r="B242" t="s">
        <v>478</v>
      </c>
      <c r="C242" t="s">
        <v>22</v>
      </c>
      <c r="D242" s="1">
        <v>45447</v>
      </c>
    </row>
    <row r="243" spans="1:4" x14ac:dyDescent="0.3">
      <c r="A243" t="s">
        <v>479</v>
      </c>
      <c r="B243" t="s">
        <v>480</v>
      </c>
      <c r="C243" t="s">
        <v>25</v>
      </c>
      <c r="D243" s="1">
        <v>45647</v>
      </c>
    </row>
    <row r="244" spans="1:4" x14ac:dyDescent="0.3">
      <c r="A244" t="s">
        <v>481</v>
      </c>
      <c r="B244" t="s">
        <v>482</v>
      </c>
      <c r="C244" t="s">
        <v>46</v>
      </c>
      <c r="D244" s="1">
        <v>45824</v>
      </c>
    </row>
    <row r="245" spans="1:4" x14ac:dyDescent="0.3">
      <c r="A245" t="s">
        <v>483</v>
      </c>
      <c r="B245" t="s">
        <v>484</v>
      </c>
      <c r="C245" t="s">
        <v>25</v>
      </c>
      <c r="D245" s="1">
        <v>45089</v>
      </c>
    </row>
    <row r="246" spans="1:4" x14ac:dyDescent="0.3">
      <c r="A246" t="s">
        <v>485</v>
      </c>
      <c r="B246" t="s">
        <v>14</v>
      </c>
      <c r="C246" t="s">
        <v>46</v>
      </c>
      <c r="D246" s="1">
        <v>45624</v>
      </c>
    </row>
    <row r="247" spans="1:4" x14ac:dyDescent="0.3">
      <c r="A247" t="s">
        <v>486</v>
      </c>
      <c r="B247" t="s">
        <v>487</v>
      </c>
      <c r="C247" t="s">
        <v>74</v>
      </c>
      <c r="D247" s="1">
        <v>45671</v>
      </c>
    </row>
    <row r="248" spans="1:4" x14ac:dyDescent="0.3">
      <c r="A248" t="s">
        <v>488</v>
      </c>
      <c r="B248" t="s">
        <v>489</v>
      </c>
      <c r="C248" t="s">
        <v>2325</v>
      </c>
      <c r="D248" s="1">
        <v>45312</v>
      </c>
    </row>
    <row r="249" spans="1:4" x14ac:dyDescent="0.3">
      <c r="A249" t="s">
        <v>490</v>
      </c>
      <c r="B249" t="s">
        <v>491</v>
      </c>
      <c r="C249" t="s">
        <v>2325</v>
      </c>
      <c r="D249" s="1">
        <v>44928</v>
      </c>
    </row>
    <row r="250" spans="1:4" x14ac:dyDescent="0.3">
      <c r="A250" t="s">
        <v>492</v>
      </c>
      <c r="B250" t="s">
        <v>493</v>
      </c>
      <c r="C250" t="s">
        <v>2325</v>
      </c>
      <c r="D250" s="1">
        <v>45786</v>
      </c>
    </row>
    <row r="251" spans="1:4" x14ac:dyDescent="0.3">
      <c r="A251" t="s">
        <v>494</v>
      </c>
      <c r="B251" t="s">
        <v>495</v>
      </c>
      <c r="C251" t="s">
        <v>37</v>
      </c>
      <c r="D251" s="1">
        <v>45657</v>
      </c>
    </row>
    <row r="252" spans="1:4" x14ac:dyDescent="0.3">
      <c r="A252" t="s">
        <v>496</v>
      </c>
      <c r="B252" t="s">
        <v>14</v>
      </c>
      <c r="C252" t="s">
        <v>37</v>
      </c>
      <c r="D252" s="1">
        <v>45223</v>
      </c>
    </row>
    <row r="253" spans="1:4" x14ac:dyDescent="0.3">
      <c r="A253" t="s">
        <v>497</v>
      </c>
      <c r="B253" t="s">
        <v>498</v>
      </c>
      <c r="C253" t="s">
        <v>25</v>
      </c>
      <c r="D253" s="1">
        <v>45329</v>
      </c>
    </row>
    <row r="254" spans="1:4" x14ac:dyDescent="0.3">
      <c r="A254" t="s">
        <v>499</v>
      </c>
      <c r="B254" t="s">
        <v>500</v>
      </c>
      <c r="C254" t="s">
        <v>19</v>
      </c>
      <c r="D254" s="1">
        <v>45005</v>
      </c>
    </row>
    <row r="255" spans="1:4" x14ac:dyDescent="0.3">
      <c r="A255" t="s">
        <v>501</v>
      </c>
      <c r="B255" t="s">
        <v>502</v>
      </c>
      <c r="C255" t="s">
        <v>2325</v>
      </c>
      <c r="D255" s="1">
        <v>45700</v>
      </c>
    </row>
    <row r="256" spans="1:4" x14ac:dyDescent="0.3">
      <c r="A256" t="s">
        <v>503</v>
      </c>
      <c r="B256" t="s">
        <v>504</v>
      </c>
      <c r="C256" t="s">
        <v>25</v>
      </c>
      <c r="D256" s="1">
        <v>45214</v>
      </c>
    </row>
    <row r="257" spans="1:4" x14ac:dyDescent="0.3">
      <c r="A257" t="s">
        <v>505</v>
      </c>
      <c r="B257" t="s">
        <v>506</v>
      </c>
      <c r="C257" t="s">
        <v>22</v>
      </c>
      <c r="D257" s="1">
        <v>45219</v>
      </c>
    </row>
    <row r="258" spans="1:4" x14ac:dyDescent="0.3">
      <c r="A258" t="s">
        <v>507</v>
      </c>
      <c r="B258" t="s">
        <v>508</v>
      </c>
      <c r="C258" t="s">
        <v>25</v>
      </c>
      <c r="D258" s="1">
        <v>45182</v>
      </c>
    </row>
    <row r="259" spans="1:4" x14ac:dyDescent="0.3">
      <c r="A259" t="s">
        <v>509</v>
      </c>
      <c r="B259" t="s">
        <v>510</v>
      </c>
      <c r="C259" t="s">
        <v>2325</v>
      </c>
      <c r="D259" s="1">
        <v>45450</v>
      </c>
    </row>
    <row r="260" spans="1:4" x14ac:dyDescent="0.3">
      <c r="A260" t="s">
        <v>511</v>
      </c>
      <c r="B260" t="s">
        <v>512</v>
      </c>
      <c r="C260" t="s">
        <v>2325</v>
      </c>
      <c r="D260" s="1">
        <v>45730</v>
      </c>
    </row>
    <row r="261" spans="1:4" x14ac:dyDescent="0.3">
      <c r="A261" t="s">
        <v>513</v>
      </c>
      <c r="B261" t="s">
        <v>514</v>
      </c>
      <c r="C261" t="s">
        <v>25</v>
      </c>
      <c r="D261" s="1">
        <v>45758</v>
      </c>
    </row>
    <row r="262" spans="1:4" x14ac:dyDescent="0.3">
      <c r="A262" t="s">
        <v>515</v>
      </c>
      <c r="B262" t="s">
        <v>516</v>
      </c>
      <c r="C262" t="s">
        <v>2325</v>
      </c>
      <c r="D262" s="1">
        <v>45823</v>
      </c>
    </row>
    <row r="263" spans="1:4" x14ac:dyDescent="0.3">
      <c r="A263" t="s">
        <v>517</v>
      </c>
      <c r="B263" t="s">
        <v>518</v>
      </c>
      <c r="C263" t="s">
        <v>12</v>
      </c>
      <c r="D263" s="1">
        <v>45135</v>
      </c>
    </row>
    <row r="264" spans="1:4" x14ac:dyDescent="0.3">
      <c r="A264" t="s">
        <v>519</v>
      </c>
      <c r="B264" t="s">
        <v>520</v>
      </c>
      <c r="C264" t="s">
        <v>25</v>
      </c>
      <c r="D264" s="1">
        <v>45676</v>
      </c>
    </row>
    <row r="265" spans="1:4" x14ac:dyDescent="0.3">
      <c r="A265" t="s">
        <v>521</v>
      </c>
      <c r="B265" t="s">
        <v>522</v>
      </c>
      <c r="C265" t="s">
        <v>19</v>
      </c>
      <c r="D265" s="1">
        <v>45697</v>
      </c>
    </row>
    <row r="266" spans="1:4" x14ac:dyDescent="0.3">
      <c r="A266" t="s">
        <v>523</v>
      </c>
      <c r="B266" t="s">
        <v>524</v>
      </c>
      <c r="C266" t="s">
        <v>74</v>
      </c>
      <c r="D266" s="1">
        <v>45424</v>
      </c>
    </row>
    <row r="267" spans="1:4" x14ac:dyDescent="0.3">
      <c r="A267" t="s">
        <v>525</v>
      </c>
      <c r="B267" t="s">
        <v>14</v>
      </c>
      <c r="C267" t="s">
        <v>12</v>
      </c>
      <c r="D267" s="1">
        <v>45057</v>
      </c>
    </row>
    <row r="268" spans="1:4" x14ac:dyDescent="0.3">
      <c r="A268" t="s">
        <v>526</v>
      </c>
      <c r="B268" t="s">
        <v>527</v>
      </c>
      <c r="C268" t="s">
        <v>2325</v>
      </c>
      <c r="D268" s="1">
        <v>45278</v>
      </c>
    </row>
    <row r="269" spans="1:4" x14ac:dyDescent="0.3">
      <c r="A269" t="s">
        <v>528</v>
      </c>
      <c r="B269" t="s">
        <v>529</v>
      </c>
      <c r="C269" t="s">
        <v>74</v>
      </c>
      <c r="D269" s="1">
        <v>45683</v>
      </c>
    </row>
    <row r="270" spans="1:4" x14ac:dyDescent="0.3">
      <c r="A270" t="s">
        <v>530</v>
      </c>
      <c r="B270" t="s">
        <v>531</v>
      </c>
      <c r="C270" t="s">
        <v>22</v>
      </c>
      <c r="D270" s="1">
        <v>45193</v>
      </c>
    </row>
    <row r="271" spans="1:4" x14ac:dyDescent="0.3">
      <c r="A271" t="s">
        <v>532</v>
      </c>
      <c r="B271" t="s">
        <v>533</v>
      </c>
      <c r="C271" t="s">
        <v>37</v>
      </c>
      <c r="D271" s="1">
        <v>45235</v>
      </c>
    </row>
    <row r="272" spans="1:4" x14ac:dyDescent="0.3">
      <c r="A272" t="s">
        <v>534</v>
      </c>
      <c r="B272" t="s">
        <v>535</v>
      </c>
      <c r="C272" t="s">
        <v>22</v>
      </c>
      <c r="D272" s="1">
        <v>45330</v>
      </c>
    </row>
    <row r="273" spans="1:4" x14ac:dyDescent="0.3">
      <c r="A273" t="s">
        <v>536</v>
      </c>
      <c r="B273" t="s">
        <v>537</v>
      </c>
      <c r="C273" t="s">
        <v>22</v>
      </c>
      <c r="D273" s="1">
        <v>45092</v>
      </c>
    </row>
    <row r="274" spans="1:4" x14ac:dyDescent="0.3">
      <c r="A274" t="s">
        <v>538</v>
      </c>
      <c r="B274" t="s">
        <v>539</v>
      </c>
      <c r="C274" t="s">
        <v>12</v>
      </c>
      <c r="D274" s="1">
        <v>45758</v>
      </c>
    </row>
    <row r="275" spans="1:4" x14ac:dyDescent="0.3">
      <c r="A275" t="s">
        <v>540</v>
      </c>
      <c r="B275" t="s">
        <v>541</v>
      </c>
      <c r="C275" t="s">
        <v>37</v>
      </c>
      <c r="D275" s="1">
        <v>45390</v>
      </c>
    </row>
    <row r="276" spans="1:4" x14ac:dyDescent="0.3">
      <c r="A276" t="s">
        <v>542</v>
      </c>
      <c r="B276" t="s">
        <v>543</v>
      </c>
      <c r="C276" t="s">
        <v>46</v>
      </c>
      <c r="D276" s="1">
        <v>45364</v>
      </c>
    </row>
    <row r="277" spans="1:4" x14ac:dyDescent="0.3">
      <c r="A277" t="s">
        <v>544</v>
      </c>
      <c r="B277" t="s">
        <v>545</v>
      </c>
      <c r="C277" t="s">
        <v>37</v>
      </c>
      <c r="D277" s="1">
        <v>45176</v>
      </c>
    </row>
    <row r="278" spans="1:4" x14ac:dyDescent="0.3">
      <c r="A278" t="s">
        <v>546</v>
      </c>
      <c r="B278" t="s">
        <v>547</v>
      </c>
      <c r="C278" t="s">
        <v>2325</v>
      </c>
      <c r="D278" s="1">
        <v>45496</v>
      </c>
    </row>
    <row r="279" spans="1:4" x14ac:dyDescent="0.3">
      <c r="A279" t="s">
        <v>548</v>
      </c>
      <c r="B279" t="s">
        <v>549</v>
      </c>
      <c r="C279" t="s">
        <v>37</v>
      </c>
      <c r="D279" s="1">
        <v>45304</v>
      </c>
    </row>
    <row r="280" spans="1:4" x14ac:dyDescent="0.3">
      <c r="A280" t="s">
        <v>550</v>
      </c>
      <c r="B280" t="s">
        <v>551</v>
      </c>
      <c r="C280" t="s">
        <v>19</v>
      </c>
      <c r="D280" s="1">
        <v>45133</v>
      </c>
    </row>
    <row r="281" spans="1:4" x14ac:dyDescent="0.3">
      <c r="A281" t="s">
        <v>552</v>
      </c>
      <c r="B281" t="s">
        <v>553</v>
      </c>
      <c r="C281" t="s">
        <v>19</v>
      </c>
      <c r="D281" s="1">
        <v>45818</v>
      </c>
    </row>
    <row r="282" spans="1:4" x14ac:dyDescent="0.3">
      <c r="A282" t="s">
        <v>554</v>
      </c>
      <c r="B282" t="s">
        <v>555</v>
      </c>
      <c r="C282" t="s">
        <v>2325</v>
      </c>
      <c r="D282" s="1">
        <v>45690</v>
      </c>
    </row>
    <row r="283" spans="1:4" x14ac:dyDescent="0.3">
      <c r="A283" t="s">
        <v>556</v>
      </c>
      <c r="B283" t="s">
        <v>557</v>
      </c>
      <c r="C283" t="s">
        <v>2325</v>
      </c>
      <c r="D283" s="1">
        <v>45203</v>
      </c>
    </row>
    <row r="284" spans="1:4" x14ac:dyDescent="0.3">
      <c r="A284" t="s">
        <v>558</v>
      </c>
      <c r="B284" t="s">
        <v>559</v>
      </c>
      <c r="C284" t="s">
        <v>25</v>
      </c>
      <c r="D284" s="1">
        <v>45437</v>
      </c>
    </row>
    <row r="285" spans="1:4" x14ac:dyDescent="0.3">
      <c r="A285" t="s">
        <v>560</v>
      </c>
      <c r="B285" t="s">
        <v>561</v>
      </c>
      <c r="C285" t="s">
        <v>2325</v>
      </c>
      <c r="D285" s="1">
        <v>45055</v>
      </c>
    </row>
    <row r="286" spans="1:4" x14ac:dyDescent="0.3">
      <c r="A286" t="s">
        <v>562</v>
      </c>
      <c r="B286" t="s">
        <v>563</v>
      </c>
      <c r="C286" t="s">
        <v>12</v>
      </c>
      <c r="D286" s="1">
        <v>45571</v>
      </c>
    </row>
    <row r="287" spans="1:4" x14ac:dyDescent="0.3">
      <c r="A287" t="s">
        <v>564</v>
      </c>
      <c r="B287" t="s">
        <v>565</v>
      </c>
      <c r="C287" t="s">
        <v>37</v>
      </c>
      <c r="D287" s="1">
        <v>45021</v>
      </c>
    </row>
    <row r="288" spans="1:4" x14ac:dyDescent="0.3">
      <c r="A288" t="s">
        <v>566</v>
      </c>
      <c r="B288" t="s">
        <v>567</v>
      </c>
      <c r="C288" t="s">
        <v>37</v>
      </c>
      <c r="D288" s="1">
        <v>45320</v>
      </c>
    </row>
    <row r="289" spans="1:4" x14ac:dyDescent="0.3">
      <c r="A289" t="s">
        <v>568</v>
      </c>
      <c r="B289" t="s">
        <v>569</v>
      </c>
      <c r="C289" t="s">
        <v>46</v>
      </c>
      <c r="D289" s="1">
        <v>45369</v>
      </c>
    </row>
    <row r="290" spans="1:4" x14ac:dyDescent="0.3">
      <c r="A290" t="s">
        <v>570</v>
      </c>
      <c r="B290" t="s">
        <v>571</v>
      </c>
      <c r="C290" t="s">
        <v>25</v>
      </c>
      <c r="D290" s="1">
        <v>45057</v>
      </c>
    </row>
    <row r="291" spans="1:4" x14ac:dyDescent="0.3">
      <c r="A291" t="s">
        <v>572</v>
      </c>
      <c r="B291" t="s">
        <v>14</v>
      </c>
      <c r="C291" t="s">
        <v>25</v>
      </c>
      <c r="D291" s="1">
        <v>45709</v>
      </c>
    </row>
    <row r="292" spans="1:4" x14ac:dyDescent="0.3">
      <c r="A292" t="s">
        <v>573</v>
      </c>
      <c r="B292" t="s">
        <v>574</v>
      </c>
      <c r="C292" t="s">
        <v>46</v>
      </c>
      <c r="D292" s="1">
        <v>45528</v>
      </c>
    </row>
    <row r="293" spans="1:4" x14ac:dyDescent="0.3">
      <c r="A293" t="s">
        <v>575</v>
      </c>
      <c r="B293" t="s">
        <v>576</v>
      </c>
      <c r="C293" t="s">
        <v>25</v>
      </c>
      <c r="D293" s="1">
        <v>45327</v>
      </c>
    </row>
    <row r="294" spans="1:4" x14ac:dyDescent="0.3">
      <c r="A294" t="s">
        <v>577</v>
      </c>
      <c r="B294" t="s">
        <v>578</v>
      </c>
      <c r="C294" t="s">
        <v>12</v>
      </c>
      <c r="D294" s="1">
        <v>45802</v>
      </c>
    </row>
    <row r="295" spans="1:4" x14ac:dyDescent="0.3">
      <c r="A295" t="s">
        <v>579</v>
      </c>
      <c r="B295" t="s">
        <v>580</v>
      </c>
      <c r="C295" t="s">
        <v>46</v>
      </c>
      <c r="D295" s="1">
        <v>45181</v>
      </c>
    </row>
    <row r="296" spans="1:4" x14ac:dyDescent="0.3">
      <c r="A296" t="s">
        <v>581</v>
      </c>
      <c r="B296" t="s">
        <v>582</v>
      </c>
      <c r="C296" t="s">
        <v>37</v>
      </c>
      <c r="D296" s="1">
        <v>45085</v>
      </c>
    </row>
    <row r="297" spans="1:4" x14ac:dyDescent="0.3">
      <c r="A297" t="s">
        <v>583</v>
      </c>
      <c r="B297" t="s">
        <v>584</v>
      </c>
      <c r="C297" t="s">
        <v>22</v>
      </c>
      <c r="D297" s="1">
        <v>45038</v>
      </c>
    </row>
    <row r="298" spans="1:4" x14ac:dyDescent="0.3">
      <c r="A298" t="s">
        <v>585</v>
      </c>
      <c r="B298" t="s">
        <v>586</v>
      </c>
      <c r="C298" t="s">
        <v>22</v>
      </c>
      <c r="D298" s="1">
        <v>45644</v>
      </c>
    </row>
    <row r="299" spans="1:4" x14ac:dyDescent="0.3">
      <c r="A299" t="s">
        <v>587</v>
      </c>
      <c r="B299" t="s">
        <v>588</v>
      </c>
      <c r="C299" t="s">
        <v>46</v>
      </c>
      <c r="D299" s="1">
        <v>45014</v>
      </c>
    </row>
    <row r="300" spans="1:4" x14ac:dyDescent="0.3">
      <c r="A300" t="s">
        <v>589</v>
      </c>
      <c r="B300" t="s">
        <v>590</v>
      </c>
      <c r="C300" t="s">
        <v>25</v>
      </c>
      <c r="D300" s="1">
        <v>44928</v>
      </c>
    </row>
    <row r="301" spans="1:4" x14ac:dyDescent="0.3">
      <c r="A301" t="s">
        <v>591</v>
      </c>
      <c r="B301" t="s">
        <v>592</v>
      </c>
      <c r="C301" t="s">
        <v>37</v>
      </c>
      <c r="D301" s="1">
        <v>45510</v>
      </c>
    </row>
    <row r="302" spans="1:4" x14ac:dyDescent="0.3">
      <c r="A302" t="s">
        <v>593</v>
      </c>
      <c r="B302" t="s">
        <v>594</v>
      </c>
      <c r="C302" t="s">
        <v>22</v>
      </c>
      <c r="D302" s="1">
        <v>45659</v>
      </c>
    </row>
    <row r="303" spans="1:4" x14ac:dyDescent="0.3">
      <c r="A303" t="s">
        <v>595</v>
      </c>
      <c r="B303" t="s">
        <v>596</v>
      </c>
      <c r="C303" t="s">
        <v>25</v>
      </c>
      <c r="D303" s="1">
        <v>45568</v>
      </c>
    </row>
    <row r="304" spans="1:4" x14ac:dyDescent="0.3">
      <c r="A304" t="s">
        <v>597</v>
      </c>
      <c r="B304" t="s">
        <v>598</v>
      </c>
      <c r="C304" t="s">
        <v>22</v>
      </c>
      <c r="D304" s="1">
        <v>45374</v>
      </c>
    </row>
    <row r="305" spans="1:4" x14ac:dyDescent="0.3">
      <c r="A305" t="s">
        <v>599</v>
      </c>
      <c r="B305" t="s">
        <v>600</v>
      </c>
      <c r="C305" t="s">
        <v>25</v>
      </c>
      <c r="D305" s="1">
        <v>45028</v>
      </c>
    </row>
    <row r="306" spans="1:4" x14ac:dyDescent="0.3">
      <c r="A306" t="s">
        <v>601</v>
      </c>
      <c r="B306" t="s">
        <v>602</v>
      </c>
      <c r="C306" t="s">
        <v>12</v>
      </c>
      <c r="D306" s="1">
        <v>45523</v>
      </c>
    </row>
    <row r="307" spans="1:4" x14ac:dyDescent="0.3">
      <c r="A307" t="s">
        <v>603</v>
      </c>
      <c r="B307" t="s">
        <v>604</v>
      </c>
      <c r="C307" t="s">
        <v>74</v>
      </c>
      <c r="D307" s="1">
        <v>45155</v>
      </c>
    </row>
    <row r="308" spans="1:4" x14ac:dyDescent="0.3">
      <c r="A308" t="s">
        <v>605</v>
      </c>
      <c r="B308" t="s">
        <v>606</v>
      </c>
      <c r="C308" t="s">
        <v>25</v>
      </c>
      <c r="D308" s="1">
        <v>44937</v>
      </c>
    </row>
    <row r="309" spans="1:4" x14ac:dyDescent="0.3">
      <c r="A309" t="s">
        <v>607</v>
      </c>
      <c r="B309" t="s">
        <v>608</v>
      </c>
      <c r="C309" t="s">
        <v>46</v>
      </c>
      <c r="D309" s="1">
        <v>45212</v>
      </c>
    </row>
    <row r="310" spans="1:4" x14ac:dyDescent="0.3">
      <c r="A310" t="s">
        <v>609</v>
      </c>
      <c r="B310" t="s">
        <v>610</v>
      </c>
      <c r="C310" t="s">
        <v>22</v>
      </c>
      <c r="D310" s="1">
        <v>45786</v>
      </c>
    </row>
    <row r="311" spans="1:4" x14ac:dyDescent="0.3">
      <c r="A311" t="s">
        <v>611</v>
      </c>
      <c r="B311" t="s">
        <v>612</v>
      </c>
      <c r="C311" t="s">
        <v>46</v>
      </c>
      <c r="D311" s="1">
        <v>45465</v>
      </c>
    </row>
    <row r="312" spans="1:4" x14ac:dyDescent="0.3">
      <c r="A312" t="s">
        <v>613</v>
      </c>
      <c r="B312" t="s">
        <v>614</v>
      </c>
      <c r="C312" t="s">
        <v>37</v>
      </c>
      <c r="D312" s="1">
        <v>44956</v>
      </c>
    </row>
    <row r="313" spans="1:4" x14ac:dyDescent="0.3">
      <c r="A313" t="s">
        <v>615</v>
      </c>
      <c r="B313" t="s">
        <v>616</v>
      </c>
      <c r="C313" t="s">
        <v>37</v>
      </c>
      <c r="D313" s="1">
        <v>45592</v>
      </c>
    </row>
    <row r="314" spans="1:4" x14ac:dyDescent="0.3">
      <c r="A314" t="s">
        <v>617</v>
      </c>
      <c r="B314" t="s">
        <v>618</v>
      </c>
      <c r="C314" t="s">
        <v>25</v>
      </c>
      <c r="D314" s="1">
        <v>45125</v>
      </c>
    </row>
    <row r="315" spans="1:4" x14ac:dyDescent="0.3">
      <c r="A315" t="s">
        <v>619</v>
      </c>
      <c r="B315" t="s">
        <v>620</v>
      </c>
      <c r="C315" t="s">
        <v>22</v>
      </c>
      <c r="D315" s="1">
        <v>45589</v>
      </c>
    </row>
    <row r="316" spans="1:4" x14ac:dyDescent="0.3">
      <c r="A316" t="s">
        <v>621</v>
      </c>
      <c r="B316" t="s">
        <v>622</v>
      </c>
      <c r="C316" t="s">
        <v>74</v>
      </c>
      <c r="D316" s="1">
        <v>45160</v>
      </c>
    </row>
    <row r="317" spans="1:4" x14ac:dyDescent="0.3">
      <c r="A317" t="s">
        <v>623</v>
      </c>
      <c r="B317" t="s">
        <v>624</v>
      </c>
      <c r="C317" t="s">
        <v>2325</v>
      </c>
      <c r="D317" s="1">
        <v>45159</v>
      </c>
    </row>
    <row r="318" spans="1:4" x14ac:dyDescent="0.3">
      <c r="A318" t="s">
        <v>625</v>
      </c>
      <c r="B318" t="s">
        <v>626</v>
      </c>
      <c r="C318" t="s">
        <v>2325</v>
      </c>
      <c r="D318" s="1">
        <v>45273</v>
      </c>
    </row>
    <row r="319" spans="1:4" x14ac:dyDescent="0.3">
      <c r="A319" t="s">
        <v>627</v>
      </c>
      <c r="B319" t="s">
        <v>628</v>
      </c>
      <c r="C319" t="s">
        <v>2325</v>
      </c>
      <c r="D319" s="1">
        <v>45625</v>
      </c>
    </row>
    <row r="320" spans="1:4" x14ac:dyDescent="0.3">
      <c r="A320" t="s">
        <v>629</v>
      </c>
      <c r="B320" t="s">
        <v>630</v>
      </c>
      <c r="C320" t="s">
        <v>25</v>
      </c>
      <c r="D320" s="1">
        <v>45743</v>
      </c>
    </row>
    <row r="321" spans="1:4" x14ac:dyDescent="0.3">
      <c r="A321" t="s">
        <v>631</v>
      </c>
      <c r="B321" t="s">
        <v>632</v>
      </c>
      <c r="C321" t="s">
        <v>12</v>
      </c>
      <c r="D321" s="1">
        <v>44996</v>
      </c>
    </row>
    <row r="322" spans="1:4" x14ac:dyDescent="0.3">
      <c r="A322" t="s">
        <v>633</v>
      </c>
      <c r="B322" t="s">
        <v>634</v>
      </c>
      <c r="C322" t="s">
        <v>37</v>
      </c>
      <c r="D322" s="1">
        <v>45246</v>
      </c>
    </row>
    <row r="323" spans="1:4" x14ac:dyDescent="0.3">
      <c r="A323" t="s">
        <v>635</v>
      </c>
      <c r="B323" t="s">
        <v>636</v>
      </c>
      <c r="C323" t="s">
        <v>37</v>
      </c>
      <c r="D323" s="1">
        <v>45163</v>
      </c>
    </row>
    <row r="324" spans="1:4" x14ac:dyDescent="0.3">
      <c r="A324" t="s">
        <v>637</v>
      </c>
      <c r="B324" t="s">
        <v>638</v>
      </c>
      <c r="C324" t="s">
        <v>74</v>
      </c>
      <c r="D324" s="1">
        <v>45705</v>
      </c>
    </row>
    <row r="325" spans="1:4" x14ac:dyDescent="0.3">
      <c r="A325" t="s">
        <v>639</v>
      </c>
      <c r="B325" t="s">
        <v>640</v>
      </c>
      <c r="C325" t="s">
        <v>25</v>
      </c>
      <c r="D325" s="1">
        <v>45565</v>
      </c>
    </row>
    <row r="326" spans="1:4" x14ac:dyDescent="0.3">
      <c r="A326" t="s">
        <v>641</v>
      </c>
      <c r="B326" t="s">
        <v>642</v>
      </c>
      <c r="C326" t="s">
        <v>25</v>
      </c>
      <c r="D326" s="1">
        <v>45155</v>
      </c>
    </row>
    <row r="327" spans="1:4" x14ac:dyDescent="0.3">
      <c r="A327" t="s">
        <v>643</v>
      </c>
      <c r="B327" t="s">
        <v>644</v>
      </c>
      <c r="C327" t="s">
        <v>22</v>
      </c>
      <c r="D327" s="1">
        <v>44984</v>
      </c>
    </row>
    <row r="328" spans="1:4" x14ac:dyDescent="0.3">
      <c r="A328" t="s">
        <v>645</v>
      </c>
      <c r="B328" t="s">
        <v>646</v>
      </c>
      <c r="C328" t="s">
        <v>25</v>
      </c>
      <c r="D328" s="1">
        <v>45329</v>
      </c>
    </row>
    <row r="329" spans="1:4" x14ac:dyDescent="0.3">
      <c r="A329" t="s">
        <v>647</v>
      </c>
      <c r="B329" t="s">
        <v>648</v>
      </c>
      <c r="C329" t="s">
        <v>25</v>
      </c>
      <c r="D329" s="1">
        <v>45537</v>
      </c>
    </row>
    <row r="330" spans="1:4" x14ac:dyDescent="0.3">
      <c r="A330" t="s">
        <v>649</v>
      </c>
      <c r="B330" t="s">
        <v>650</v>
      </c>
      <c r="C330" t="s">
        <v>25</v>
      </c>
      <c r="D330" s="1">
        <v>45653</v>
      </c>
    </row>
    <row r="331" spans="1:4" x14ac:dyDescent="0.3">
      <c r="A331" t="s">
        <v>651</v>
      </c>
      <c r="B331" t="s">
        <v>652</v>
      </c>
      <c r="C331" t="s">
        <v>2325</v>
      </c>
      <c r="D331" s="1">
        <v>45387</v>
      </c>
    </row>
    <row r="332" spans="1:4" x14ac:dyDescent="0.3">
      <c r="A332" t="s">
        <v>653</v>
      </c>
      <c r="B332" t="s">
        <v>654</v>
      </c>
      <c r="C332" t="s">
        <v>2325</v>
      </c>
      <c r="D332" s="1">
        <v>45677</v>
      </c>
    </row>
    <row r="333" spans="1:4" x14ac:dyDescent="0.3">
      <c r="A333" t="s">
        <v>655</v>
      </c>
      <c r="B333" t="s">
        <v>656</v>
      </c>
      <c r="C333" t="s">
        <v>25</v>
      </c>
      <c r="D333" s="1">
        <v>45096</v>
      </c>
    </row>
    <row r="334" spans="1:4" x14ac:dyDescent="0.3">
      <c r="A334" t="s">
        <v>657</v>
      </c>
      <c r="B334" t="s">
        <v>658</v>
      </c>
      <c r="C334" t="s">
        <v>25</v>
      </c>
      <c r="D334" s="1">
        <v>45595</v>
      </c>
    </row>
    <row r="335" spans="1:4" x14ac:dyDescent="0.3">
      <c r="A335" t="s">
        <v>659</v>
      </c>
      <c r="B335" t="s">
        <v>660</v>
      </c>
      <c r="C335" t="s">
        <v>25</v>
      </c>
      <c r="D335" s="1">
        <v>45405</v>
      </c>
    </row>
    <row r="336" spans="1:4" x14ac:dyDescent="0.3">
      <c r="A336" t="s">
        <v>661</v>
      </c>
      <c r="B336" t="s">
        <v>14</v>
      </c>
      <c r="C336" t="s">
        <v>22</v>
      </c>
      <c r="D336" s="1">
        <v>45669</v>
      </c>
    </row>
    <row r="337" spans="1:4" x14ac:dyDescent="0.3">
      <c r="A337" t="s">
        <v>662</v>
      </c>
      <c r="B337" t="s">
        <v>663</v>
      </c>
      <c r="C337" t="s">
        <v>2325</v>
      </c>
      <c r="D337" s="1">
        <v>45266</v>
      </c>
    </row>
    <row r="338" spans="1:4" x14ac:dyDescent="0.3">
      <c r="A338" t="s">
        <v>664</v>
      </c>
      <c r="B338" t="s">
        <v>665</v>
      </c>
      <c r="C338" t="s">
        <v>25</v>
      </c>
      <c r="D338" s="1">
        <v>44929</v>
      </c>
    </row>
    <row r="339" spans="1:4" x14ac:dyDescent="0.3">
      <c r="A339" t="s">
        <v>666</v>
      </c>
      <c r="B339" t="s">
        <v>667</v>
      </c>
      <c r="C339" t="s">
        <v>25</v>
      </c>
      <c r="D339" s="1">
        <v>45286</v>
      </c>
    </row>
    <row r="340" spans="1:4" x14ac:dyDescent="0.3">
      <c r="A340" t="s">
        <v>668</v>
      </c>
      <c r="B340" t="s">
        <v>669</v>
      </c>
      <c r="C340" t="s">
        <v>25</v>
      </c>
      <c r="D340" s="1">
        <v>45501</v>
      </c>
    </row>
    <row r="341" spans="1:4" x14ac:dyDescent="0.3">
      <c r="A341" t="s">
        <v>670</v>
      </c>
      <c r="B341" t="s">
        <v>671</v>
      </c>
      <c r="C341" t="s">
        <v>37</v>
      </c>
      <c r="D341" s="1">
        <v>45316</v>
      </c>
    </row>
    <row r="342" spans="1:4" x14ac:dyDescent="0.3">
      <c r="A342" t="s">
        <v>672</v>
      </c>
      <c r="B342" t="s">
        <v>673</v>
      </c>
      <c r="C342" t="s">
        <v>74</v>
      </c>
      <c r="D342" s="1">
        <v>45768</v>
      </c>
    </row>
    <row r="343" spans="1:4" x14ac:dyDescent="0.3">
      <c r="A343" t="s">
        <v>674</v>
      </c>
      <c r="B343" t="s">
        <v>675</v>
      </c>
      <c r="C343" t="s">
        <v>25</v>
      </c>
      <c r="D343" s="1">
        <v>44977</v>
      </c>
    </row>
    <row r="344" spans="1:4" x14ac:dyDescent="0.3">
      <c r="A344" t="s">
        <v>676</v>
      </c>
      <c r="B344" t="s">
        <v>677</v>
      </c>
      <c r="C344" t="s">
        <v>37</v>
      </c>
      <c r="D344" s="1">
        <v>45308</v>
      </c>
    </row>
    <row r="345" spans="1:4" x14ac:dyDescent="0.3">
      <c r="A345" t="s">
        <v>678</v>
      </c>
      <c r="B345" t="s">
        <v>679</v>
      </c>
      <c r="C345" t="s">
        <v>46</v>
      </c>
      <c r="D345" s="1">
        <v>45124</v>
      </c>
    </row>
    <row r="346" spans="1:4" x14ac:dyDescent="0.3">
      <c r="A346" t="s">
        <v>680</v>
      </c>
      <c r="B346" t="s">
        <v>681</v>
      </c>
      <c r="C346" t="s">
        <v>46</v>
      </c>
      <c r="D346" s="1">
        <v>45412</v>
      </c>
    </row>
    <row r="347" spans="1:4" x14ac:dyDescent="0.3">
      <c r="A347" t="s">
        <v>682</v>
      </c>
      <c r="B347" t="s">
        <v>14</v>
      </c>
      <c r="C347" t="s">
        <v>2325</v>
      </c>
      <c r="D347" s="1">
        <v>45180</v>
      </c>
    </row>
    <row r="348" spans="1:4" x14ac:dyDescent="0.3">
      <c r="A348" t="s">
        <v>683</v>
      </c>
      <c r="B348" t="s">
        <v>684</v>
      </c>
      <c r="C348" t="s">
        <v>2325</v>
      </c>
      <c r="D348" s="1">
        <v>44968</v>
      </c>
    </row>
    <row r="349" spans="1:4" x14ac:dyDescent="0.3">
      <c r="A349" t="s">
        <v>685</v>
      </c>
      <c r="B349" t="s">
        <v>686</v>
      </c>
      <c r="C349" t="s">
        <v>46</v>
      </c>
      <c r="D349" s="1">
        <v>44991</v>
      </c>
    </row>
    <row r="350" spans="1:4" x14ac:dyDescent="0.3">
      <c r="A350" t="s">
        <v>687</v>
      </c>
      <c r="B350" t="s">
        <v>688</v>
      </c>
      <c r="C350" t="s">
        <v>25</v>
      </c>
      <c r="D350" s="1">
        <v>45190</v>
      </c>
    </row>
    <row r="351" spans="1:4" x14ac:dyDescent="0.3">
      <c r="A351" t="s">
        <v>689</v>
      </c>
      <c r="B351" t="s">
        <v>690</v>
      </c>
      <c r="C351" t="s">
        <v>25</v>
      </c>
      <c r="D351" s="1">
        <v>45547</v>
      </c>
    </row>
    <row r="352" spans="1:4" x14ac:dyDescent="0.3">
      <c r="A352" t="s">
        <v>691</v>
      </c>
      <c r="B352" t="s">
        <v>692</v>
      </c>
      <c r="C352" t="s">
        <v>74</v>
      </c>
      <c r="D352" s="1">
        <v>45270</v>
      </c>
    </row>
    <row r="353" spans="1:4" x14ac:dyDescent="0.3">
      <c r="A353" t="s">
        <v>693</v>
      </c>
      <c r="B353" t="s">
        <v>694</v>
      </c>
      <c r="C353" t="s">
        <v>19</v>
      </c>
      <c r="D353" s="1">
        <v>44971</v>
      </c>
    </row>
    <row r="354" spans="1:4" x14ac:dyDescent="0.3">
      <c r="A354" t="s">
        <v>695</v>
      </c>
      <c r="B354" t="s">
        <v>696</v>
      </c>
      <c r="C354" t="s">
        <v>19</v>
      </c>
      <c r="D354" s="1">
        <v>45633</v>
      </c>
    </row>
    <row r="355" spans="1:4" x14ac:dyDescent="0.3">
      <c r="A355" t="s">
        <v>697</v>
      </c>
      <c r="B355" t="s">
        <v>698</v>
      </c>
      <c r="C355" t="s">
        <v>74</v>
      </c>
      <c r="D355" s="1">
        <v>45231</v>
      </c>
    </row>
    <row r="356" spans="1:4" x14ac:dyDescent="0.3">
      <c r="A356" t="s">
        <v>699</v>
      </c>
      <c r="B356" t="s">
        <v>14</v>
      </c>
      <c r="C356" t="s">
        <v>19</v>
      </c>
      <c r="D356" s="1">
        <v>45751</v>
      </c>
    </row>
    <row r="357" spans="1:4" x14ac:dyDescent="0.3">
      <c r="A357" t="s">
        <v>700</v>
      </c>
      <c r="B357" t="s">
        <v>701</v>
      </c>
      <c r="C357" t="s">
        <v>25</v>
      </c>
      <c r="D357" s="1">
        <v>44951</v>
      </c>
    </row>
    <row r="358" spans="1:4" x14ac:dyDescent="0.3">
      <c r="A358" t="s">
        <v>702</v>
      </c>
      <c r="B358" t="s">
        <v>703</v>
      </c>
      <c r="C358" t="s">
        <v>25</v>
      </c>
      <c r="D358" s="1">
        <v>45413</v>
      </c>
    </row>
    <row r="359" spans="1:4" x14ac:dyDescent="0.3">
      <c r="A359" t="s">
        <v>704</v>
      </c>
      <c r="B359" t="s">
        <v>705</v>
      </c>
      <c r="C359" t="s">
        <v>46</v>
      </c>
      <c r="D359" s="1">
        <v>45721</v>
      </c>
    </row>
    <row r="360" spans="1:4" x14ac:dyDescent="0.3">
      <c r="A360" t="s">
        <v>706</v>
      </c>
      <c r="B360" t="s">
        <v>707</v>
      </c>
      <c r="C360" t="s">
        <v>74</v>
      </c>
      <c r="D360" s="1">
        <v>45367</v>
      </c>
    </row>
    <row r="361" spans="1:4" x14ac:dyDescent="0.3">
      <c r="A361" t="s">
        <v>708</v>
      </c>
      <c r="B361" t="s">
        <v>709</v>
      </c>
      <c r="C361" t="s">
        <v>25</v>
      </c>
      <c r="D361" s="1">
        <v>45435</v>
      </c>
    </row>
    <row r="362" spans="1:4" x14ac:dyDescent="0.3">
      <c r="A362" t="s">
        <v>710</v>
      </c>
      <c r="B362" t="s">
        <v>711</v>
      </c>
      <c r="C362" t="s">
        <v>25</v>
      </c>
      <c r="D362" s="1">
        <v>45237</v>
      </c>
    </row>
    <row r="363" spans="1:4" x14ac:dyDescent="0.3">
      <c r="A363" t="s">
        <v>712</v>
      </c>
      <c r="B363" t="s">
        <v>713</v>
      </c>
      <c r="C363" t="s">
        <v>25</v>
      </c>
      <c r="D363" s="1">
        <v>45548</v>
      </c>
    </row>
    <row r="364" spans="1:4" x14ac:dyDescent="0.3">
      <c r="A364" t="s">
        <v>714</v>
      </c>
      <c r="B364" t="s">
        <v>715</v>
      </c>
      <c r="C364" t="s">
        <v>2325</v>
      </c>
      <c r="D364" s="1">
        <v>45398</v>
      </c>
    </row>
    <row r="365" spans="1:4" x14ac:dyDescent="0.3">
      <c r="A365" t="s">
        <v>716</v>
      </c>
      <c r="B365" t="s">
        <v>717</v>
      </c>
      <c r="C365" t="s">
        <v>19</v>
      </c>
      <c r="D365" s="1">
        <v>45007</v>
      </c>
    </row>
    <row r="366" spans="1:4" x14ac:dyDescent="0.3">
      <c r="A366" t="s">
        <v>718</v>
      </c>
      <c r="B366" t="s">
        <v>719</v>
      </c>
      <c r="C366" t="s">
        <v>2325</v>
      </c>
      <c r="D366" s="1">
        <v>45697</v>
      </c>
    </row>
    <row r="367" spans="1:4" x14ac:dyDescent="0.3">
      <c r="A367" t="s">
        <v>720</v>
      </c>
      <c r="B367" t="s">
        <v>721</v>
      </c>
      <c r="C367" t="s">
        <v>2325</v>
      </c>
      <c r="D367" s="1">
        <v>44993</v>
      </c>
    </row>
    <row r="368" spans="1:4" x14ac:dyDescent="0.3">
      <c r="A368" t="s">
        <v>722</v>
      </c>
      <c r="B368" t="s">
        <v>723</v>
      </c>
      <c r="C368" t="s">
        <v>46</v>
      </c>
      <c r="D368" s="1">
        <v>45492</v>
      </c>
    </row>
    <row r="369" spans="1:4" x14ac:dyDescent="0.3">
      <c r="A369" t="s">
        <v>724</v>
      </c>
      <c r="B369" t="s">
        <v>725</v>
      </c>
      <c r="C369" t="s">
        <v>25</v>
      </c>
      <c r="D369" s="1">
        <v>45363</v>
      </c>
    </row>
    <row r="370" spans="1:4" x14ac:dyDescent="0.3">
      <c r="A370" t="s">
        <v>726</v>
      </c>
      <c r="B370" t="s">
        <v>727</v>
      </c>
      <c r="C370" t="s">
        <v>25</v>
      </c>
      <c r="D370" s="1">
        <v>45198</v>
      </c>
    </row>
    <row r="371" spans="1:4" x14ac:dyDescent="0.3">
      <c r="A371" t="s">
        <v>728</v>
      </c>
      <c r="B371" t="s">
        <v>729</v>
      </c>
      <c r="C371" t="s">
        <v>37</v>
      </c>
      <c r="D371" s="1">
        <v>45025</v>
      </c>
    </row>
    <row r="372" spans="1:4" x14ac:dyDescent="0.3">
      <c r="A372" t="s">
        <v>730</v>
      </c>
      <c r="B372" t="s">
        <v>731</v>
      </c>
      <c r="C372" t="s">
        <v>37</v>
      </c>
      <c r="D372" s="1">
        <v>45384</v>
      </c>
    </row>
    <row r="373" spans="1:4" x14ac:dyDescent="0.3">
      <c r="A373" t="s">
        <v>732</v>
      </c>
      <c r="B373" t="s">
        <v>733</v>
      </c>
      <c r="C373" t="s">
        <v>25</v>
      </c>
      <c r="D373" s="1">
        <v>45353</v>
      </c>
    </row>
    <row r="374" spans="1:4" x14ac:dyDescent="0.3">
      <c r="A374" t="s">
        <v>734</v>
      </c>
      <c r="B374" t="s">
        <v>735</v>
      </c>
      <c r="C374" t="s">
        <v>22</v>
      </c>
      <c r="D374" s="1">
        <v>45167</v>
      </c>
    </row>
    <row r="375" spans="1:4" x14ac:dyDescent="0.3">
      <c r="A375" t="s">
        <v>736</v>
      </c>
      <c r="B375" t="s">
        <v>737</v>
      </c>
      <c r="C375" t="s">
        <v>22</v>
      </c>
      <c r="D375" s="1">
        <v>45704</v>
      </c>
    </row>
    <row r="376" spans="1:4" x14ac:dyDescent="0.3">
      <c r="A376" t="s">
        <v>738</v>
      </c>
      <c r="B376" t="s">
        <v>739</v>
      </c>
      <c r="C376" t="s">
        <v>74</v>
      </c>
      <c r="D376" s="1">
        <v>45227</v>
      </c>
    </row>
    <row r="377" spans="1:4" x14ac:dyDescent="0.3">
      <c r="A377" t="s">
        <v>740</v>
      </c>
      <c r="B377" t="s">
        <v>741</v>
      </c>
      <c r="C377" t="s">
        <v>74</v>
      </c>
      <c r="D377" s="1">
        <v>45308</v>
      </c>
    </row>
    <row r="378" spans="1:4" x14ac:dyDescent="0.3">
      <c r="A378" t="s">
        <v>742</v>
      </c>
      <c r="B378" t="s">
        <v>743</v>
      </c>
      <c r="C378" t="s">
        <v>74</v>
      </c>
      <c r="D378" s="1">
        <v>45130</v>
      </c>
    </row>
    <row r="379" spans="1:4" x14ac:dyDescent="0.3">
      <c r="A379" t="s">
        <v>744</v>
      </c>
      <c r="B379" t="s">
        <v>745</v>
      </c>
      <c r="C379" t="s">
        <v>25</v>
      </c>
      <c r="D379" s="1">
        <v>45178</v>
      </c>
    </row>
    <row r="380" spans="1:4" x14ac:dyDescent="0.3">
      <c r="A380" t="s">
        <v>746</v>
      </c>
      <c r="B380" t="s">
        <v>747</v>
      </c>
      <c r="C380" t="s">
        <v>74</v>
      </c>
      <c r="D380" s="1">
        <v>45519</v>
      </c>
    </row>
    <row r="381" spans="1:4" x14ac:dyDescent="0.3">
      <c r="A381" t="s">
        <v>748</v>
      </c>
      <c r="B381" t="s">
        <v>749</v>
      </c>
      <c r="C381" t="s">
        <v>25</v>
      </c>
      <c r="D381" s="1">
        <v>45332</v>
      </c>
    </row>
    <row r="382" spans="1:4" x14ac:dyDescent="0.3">
      <c r="A382" t="s">
        <v>750</v>
      </c>
      <c r="B382" t="s">
        <v>751</v>
      </c>
      <c r="C382" t="s">
        <v>37</v>
      </c>
      <c r="D382" s="1">
        <v>45446</v>
      </c>
    </row>
    <row r="383" spans="1:4" x14ac:dyDescent="0.3">
      <c r="A383" t="s">
        <v>752</v>
      </c>
      <c r="B383" t="s">
        <v>753</v>
      </c>
      <c r="C383" t="s">
        <v>22</v>
      </c>
      <c r="D383" s="1">
        <v>45754</v>
      </c>
    </row>
    <row r="384" spans="1:4" x14ac:dyDescent="0.3">
      <c r="A384" t="s">
        <v>754</v>
      </c>
      <c r="B384" t="s">
        <v>755</v>
      </c>
      <c r="C384" t="s">
        <v>46</v>
      </c>
      <c r="D384" s="1">
        <v>44964</v>
      </c>
    </row>
    <row r="385" spans="1:4" x14ac:dyDescent="0.3">
      <c r="A385" t="s">
        <v>756</v>
      </c>
      <c r="B385" t="s">
        <v>757</v>
      </c>
      <c r="C385" t="s">
        <v>46</v>
      </c>
      <c r="D385" s="1">
        <v>45765</v>
      </c>
    </row>
    <row r="386" spans="1:4" x14ac:dyDescent="0.3">
      <c r="A386" t="s">
        <v>758</v>
      </c>
      <c r="B386" t="s">
        <v>759</v>
      </c>
      <c r="C386" t="s">
        <v>46</v>
      </c>
      <c r="D386" s="1">
        <v>45309</v>
      </c>
    </row>
    <row r="387" spans="1:4" x14ac:dyDescent="0.3">
      <c r="A387" t="s">
        <v>760</v>
      </c>
      <c r="B387" t="s">
        <v>14</v>
      </c>
      <c r="C387" t="s">
        <v>74</v>
      </c>
      <c r="D387" s="1">
        <v>45165</v>
      </c>
    </row>
    <row r="388" spans="1:4" x14ac:dyDescent="0.3">
      <c r="A388" t="s">
        <v>761</v>
      </c>
      <c r="B388" t="s">
        <v>762</v>
      </c>
      <c r="C388" t="s">
        <v>37</v>
      </c>
      <c r="D388" s="1">
        <v>45541</v>
      </c>
    </row>
    <row r="389" spans="1:4" x14ac:dyDescent="0.3">
      <c r="A389" t="s">
        <v>763</v>
      </c>
      <c r="B389" t="s">
        <v>764</v>
      </c>
      <c r="C389" t="s">
        <v>19</v>
      </c>
      <c r="D389" s="1">
        <v>45125</v>
      </c>
    </row>
    <row r="390" spans="1:4" x14ac:dyDescent="0.3">
      <c r="A390" t="s">
        <v>765</v>
      </c>
      <c r="B390" t="s">
        <v>766</v>
      </c>
      <c r="C390" t="s">
        <v>2325</v>
      </c>
      <c r="D390" s="1">
        <v>45451</v>
      </c>
    </row>
    <row r="391" spans="1:4" x14ac:dyDescent="0.3">
      <c r="A391" t="s">
        <v>767</v>
      </c>
      <c r="B391" t="s">
        <v>768</v>
      </c>
      <c r="C391" t="s">
        <v>46</v>
      </c>
      <c r="D391" s="1">
        <v>45544</v>
      </c>
    </row>
    <row r="392" spans="1:4" x14ac:dyDescent="0.3">
      <c r="A392" t="s">
        <v>769</v>
      </c>
      <c r="B392" t="s">
        <v>770</v>
      </c>
      <c r="C392" t="s">
        <v>22</v>
      </c>
      <c r="D392" s="1">
        <v>44933</v>
      </c>
    </row>
    <row r="393" spans="1:4" x14ac:dyDescent="0.3">
      <c r="A393" t="s">
        <v>771</v>
      </c>
      <c r="B393" t="s">
        <v>772</v>
      </c>
      <c r="C393" t="s">
        <v>19</v>
      </c>
      <c r="D393" s="1">
        <v>45653</v>
      </c>
    </row>
    <row r="394" spans="1:4" x14ac:dyDescent="0.3">
      <c r="A394" t="s">
        <v>773</v>
      </c>
      <c r="B394" t="s">
        <v>774</v>
      </c>
      <c r="C394" t="s">
        <v>37</v>
      </c>
      <c r="D394" s="1">
        <v>44965</v>
      </c>
    </row>
    <row r="395" spans="1:4" x14ac:dyDescent="0.3">
      <c r="A395" t="s">
        <v>775</v>
      </c>
      <c r="B395" t="s">
        <v>776</v>
      </c>
      <c r="C395" t="s">
        <v>25</v>
      </c>
      <c r="D395" s="1">
        <v>44972</v>
      </c>
    </row>
    <row r="396" spans="1:4" x14ac:dyDescent="0.3">
      <c r="A396" t="s">
        <v>777</v>
      </c>
      <c r="B396" t="s">
        <v>778</v>
      </c>
      <c r="C396" t="s">
        <v>74</v>
      </c>
      <c r="D396" s="1">
        <v>44966</v>
      </c>
    </row>
    <row r="397" spans="1:4" x14ac:dyDescent="0.3">
      <c r="A397" t="s">
        <v>779</v>
      </c>
      <c r="B397" t="s">
        <v>780</v>
      </c>
      <c r="C397" t="s">
        <v>22</v>
      </c>
      <c r="D397" s="1">
        <v>45135</v>
      </c>
    </row>
    <row r="398" spans="1:4" x14ac:dyDescent="0.3">
      <c r="A398" t="s">
        <v>781</v>
      </c>
      <c r="B398" t="s">
        <v>782</v>
      </c>
      <c r="C398" t="s">
        <v>2325</v>
      </c>
      <c r="D398" s="1">
        <v>45345</v>
      </c>
    </row>
    <row r="399" spans="1:4" x14ac:dyDescent="0.3">
      <c r="A399" t="s">
        <v>783</v>
      </c>
      <c r="B399" t="s">
        <v>784</v>
      </c>
      <c r="C399" t="s">
        <v>25</v>
      </c>
      <c r="D399" s="1">
        <v>45562</v>
      </c>
    </row>
    <row r="400" spans="1:4" x14ac:dyDescent="0.3">
      <c r="A400" t="s">
        <v>785</v>
      </c>
      <c r="B400" t="s">
        <v>786</v>
      </c>
      <c r="C400" t="s">
        <v>37</v>
      </c>
      <c r="D400" s="1">
        <v>44959</v>
      </c>
    </row>
    <row r="401" spans="1:4" x14ac:dyDescent="0.3">
      <c r="A401" t="s">
        <v>787</v>
      </c>
      <c r="B401" t="s">
        <v>788</v>
      </c>
      <c r="C401" t="s">
        <v>12</v>
      </c>
      <c r="D401" s="1">
        <v>45422</v>
      </c>
    </row>
    <row r="402" spans="1:4" x14ac:dyDescent="0.3">
      <c r="A402" t="s">
        <v>789</v>
      </c>
      <c r="B402" t="s">
        <v>790</v>
      </c>
      <c r="C402" t="s">
        <v>25</v>
      </c>
      <c r="D402" s="1">
        <v>45741</v>
      </c>
    </row>
    <row r="403" spans="1:4" x14ac:dyDescent="0.3">
      <c r="A403" t="s">
        <v>791</v>
      </c>
      <c r="B403" t="s">
        <v>792</v>
      </c>
      <c r="C403" t="s">
        <v>12</v>
      </c>
      <c r="D403" s="1">
        <v>45085</v>
      </c>
    </row>
    <row r="404" spans="1:4" x14ac:dyDescent="0.3">
      <c r="A404" t="s">
        <v>793</v>
      </c>
      <c r="B404" t="s">
        <v>794</v>
      </c>
      <c r="C404" t="s">
        <v>25</v>
      </c>
      <c r="D404" s="1">
        <v>45595</v>
      </c>
    </row>
    <row r="405" spans="1:4" x14ac:dyDescent="0.3">
      <c r="A405" t="s">
        <v>795</v>
      </c>
      <c r="B405" t="s">
        <v>796</v>
      </c>
      <c r="C405" t="s">
        <v>25</v>
      </c>
      <c r="D405" s="1">
        <v>45204</v>
      </c>
    </row>
    <row r="406" spans="1:4" x14ac:dyDescent="0.3">
      <c r="A406" t="s">
        <v>797</v>
      </c>
      <c r="B406" t="s">
        <v>798</v>
      </c>
      <c r="C406" t="s">
        <v>74</v>
      </c>
      <c r="D406" s="1">
        <v>45610</v>
      </c>
    </row>
    <row r="407" spans="1:4" x14ac:dyDescent="0.3">
      <c r="A407" t="s">
        <v>799</v>
      </c>
      <c r="B407" t="s">
        <v>800</v>
      </c>
      <c r="C407" t="s">
        <v>25</v>
      </c>
      <c r="D407" s="1">
        <v>45246</v>
      </c>
    </row>
    <row r="408" spans="1:4" x14ac:dyDescent="0.3">
      <c r="A408" t="s">
        <v>801</v>
      </c>
      <c r="B408" t="s">
        <v>802</v>
      </c>
      <c r="C408" t="s">
        <v>2325</v>
      </c>
      <c r="D408" s="1">
        <v>45351</v>
      </c>
    </row>
    <row r="409" spans="1:4" x14ac:dyDescent="0.3">
      <c r="A409" t="s">
        <v>803</v>
      </c>
      <c r="B409" t="s">
        <v>804</v>
      </c>
      <c r="C409" t="s">
        <v>2325</v>
      </c>
      <c r="D409" s="1">
        <v>45586</v>
      </c>
    </row>
    <row r="410" spans="1:4" x14ac:dyDescent="0.3">
      <c r="A410" t="s">
        <v>805</v>
      </c>
      <c r="B410" t="s">
        <v>806</v>
      </c>
      <c r="C410" t="s">
        <v>2325</v>
      </c>
      <c r="D410" s="1">
        <v>45341</v>
      </c>
    </row>
    <row r="411" spans="1:4" x14ac:dyDescent="0.3">
      <c r="A411" t="s">
        <v>807</v>
      </c>
      <c r="B411" t="s">
        <v>808</v>
      </c>
      <c r="C411" t="s">
        <v>25</v>
      </c>
      <c r="D411" s="1">
        <v>45371</v>
      </c>
    </row>
    <row r="412" spans="1:4" x14ac:dyDescent="0.3">
      <c r="A412" t="s">
        <v>809</v>
      </c>
      <c r="B412" t="s">
        <v>810</v>
      </c>
      <c r="C412" t="s">
        <v>2325</v>
      </c>
      <c r="D412" s="1">
        <v>45043</v>
      </c>
    </row>
    <row r="413" spans="1:4" x14ac:dyDescent="0.3">
      <c r="A413" t="s">
        <v>811</v>
      </c>
      <c r="B413" t="s">
        <v>812</v>
      </c>
      <c r="C413" t="s">
        <v>2325</v>
      </c>
      <c r="D413" s="1">
        <v>45518</v>
      </c>
    </row>
    <row r="414" spans="1:4" x14ac:dyDescent="0.3">
      <c r="A414" t="s">
        <v>813</v>
      </c>
      <c r="B414" t="s">
        <v>814</v>
      </c>
      <c r="C414" t="s">
        <v>46</v>
      </c>
      <c r="D414" s="1">
        <v>45718</v>
      </c>
    </row>
    <row r="415" spans="1:4" x14ac:dyDescent="0.3">
      <c r="A415" t="s">
        <v>815</v>
      </c>
      <c r="B415" t="s">
        <v>816</v>
      </c>
      <c r="C415" t="s">
        <v>25</v>
      </c>
      <c r="D415" s="1">
        <v>44979</v>
      </c>
    </row>
    <row r="416" spans="1:4" x14ac:dyDescent="0.3">
      <c r="A416" t="s">
        <v>817</v>
      </c>
      <c r="B416" t="s">
        <v>818</v>
      </c>
      <c r="C416" t="s">
        <v>22</v>
      </c>
      <c r="D416" s="1">
        <v>45752</v>
      </c>
    </row>
    <row r="417" spans="1:4" x14ac:dyDescent="0.3">
      <c r="A417" t="s">
        <v>819</v>
      </c>
      <c r="B417" t="s">
        <v>820</v>
      </c>
      <c r="C417" t="s">
        <v>25</v>
      </c>
      <c r="D417" s="1">
        <v>45513</v>
      </c>
    </row>
    <row r="418" spans="1:4" x14ac:dyDescent="0.3">
      <c r="A418" t="s">
        <v>821</v>
      </c>
      <c r="B418" t="s">
        <v>822</v>
      </c>
      <c r="C418" t="s">
        <v>2325</v>
      </c>
      <c r="D418" s="1">
        <v>45681</v>
      </c>
    </row>
    <row r="419" spans="1:4" x14ac:dyDescent="0.3">
      <c r="A419" t="s">
        <v>823</v>
      </c>
      <c r="B419" t="s">
        <v>824</v>
      </c>
      <c r="C419" t="s">
        <v>25</v>
      </c>
      <c r="D419" s="1">
        <v>45283</v>
      </c>
    </row>
    <row r="420" spans="1:4" x14ac:dyDescent="0.3">
      <c r="A420" t="s">
        <v>825</v>
      </c>
      <c r="B420" t="s">
        <v>826</v>
      </c>
      <c r="C420" t="s">
        <v>12</v>
      </c>
      <c r="D420" s="1">
        <v>45102</v>
      </c>
    </row>
    <row r="421" spans="1:4" x14ac:dyDescent="0.3">
      <c r="A421" t="s">
        <v>827</v>
      </c>
      <c r="B421" t="s">
        <v>828</v>
      </c>
      <c r="C421" t="s">
        <v>25</v>
      </c>
      <c r="D421" s="1">
        <v>45319</v>
      </c>
    </row>
    <row r="422" spans="1:4" x14ac:dyDescent="0.3">
      <c r="A422" t="s">
        <v>829</v>
      </c>
      <c r="B422" t="s">
        <v>830</v>
      </c>
      <c r="C422" t="s">
        <v>37</v>
      </c>
      <c r="D422" s="1">
        <v>45235</v>
      </c>
    </row>
    <row r="423" spans="1:4" x14ac:dyDescent="0.3">
      <c r="A423" t="s">
        <v>831</v>
      </c>
      <c r="B423" t="s">
        <v>832</v>
      </c>
      <c r="C423" t="s">
        <v>25</v>
      </c>
      <c r="D423" s="1">
        <v>45421</v>
      </c>
    </row>
    <row r="424" spans="1:4" x14ac:dyDescent="0.3">
      <c r="A424" t="s">
        <v>833</v>
      </c>
      <c r="B424" t="s">
        <v>834</v>
      </c>
      <c r="C424" t="s">
        <v>19</v>
      </c>
      <c r="D424" s="1">
        <v>45578</v>
      </c>
    </row>
    <row r="425" spans="1:4" x14ac:dyDescent="0.3">
      <c r="A425" t="s">
        <v>835</v>
      </c>
      <c r="B425" t="s">
        <v>836</v>
      </c>
      <c r="C425" t="s">
        <v>19</v>
      </c>
      <c r="D425" s="1">
        <v>45562</v>
      </c>
    </row>
    <row r="426" spans="1:4" x14ac:dyDescent="0.3">
      <c r="A426" t="s">
        <v>837</v>
      </c>
      <c r="B426" t="s">
        <v>838</v>
      </c>
      <c r="C426" t="s">
        <v>25</v>
      </c>
      <c r="D426" s="1">
        <v>45582</v>
      </c>
    </row>
    <row r="427" spans="1:4" x14ac:dyDescent="0.3">
      <c r="A427" t="s">
        <v>839</v>
      </c>
      <c r="B427" t="s">
        <v>840</v>
      </c>
      <c r="C427" t="s">
        <v>37</v>
      </c>
      <c r="D427" s="1">
        <v>45562</v>
      </c>
    </row>
    <row r="428" spans="1:4" x14ac:dyDescent="0.3">
      <c r="A428" t="s">
        <v>841</v>
      </c>
      <c r="B428" t="s">
        <v>842</v>
      </c>
      <c r="C428" t="s">
        <v>37</v>
      </c>
      <c r="D428" s="1">
        <v>45776</v>
      </c>
    </row>
    <row r="429" spans="1:4" x14ac:dyDescent="0.3">
      <c r="A429" t="s">
        <v>843</v>
      </c>
      <c r="B429" t="s">
        <v>844</v>
      </c>
      <c r="C429" t="s">
        <v>19</v>
      </c>
      <c r="D429" s="1">
        <v>45150</v>
      </c>
    </row>
    <row r="430" spans="1:4" x14ac:dyDescent="0.3">
      <c r="A430" t="s">
        <v>845</v>
      </c>
      <c r="B430" t="s">
        <v>14</v>
      </c>
      <c r="C430" t="s">
        <v>12</v>
      </c>
      <c r="D430" s="1">
        <v>45087</v>
      </c>
    </row>
    <row r="431" spans="1:4" x14ac:dyDescent="0.3">
      <c r="A431" t="s">
        <v>846</v>
      </c>
      <c r="B431" t="s">
        <v>847</v>
      </c>
      <c r="C431" t="s">
        <v>25</v>
      </c>
      <c r="D431" s="1">
        <v>45080</v>
      </c>
    </row>
    <row r="432" spans="1:4" x14ac:dyDescent="0.3">
      <c r="A432" t="s">
        <v>848</v>
      </c>
      <c r="B432" t="s">
        <v>849</v>
      </c>
      <c r="C432" t="s">
        <v>25</v>
      </c>
      <c r="D432" s="1">
        <v>45762</v>
      </c>
    </row>
    <row r="433" spans="1:4" x14ac:dyDescent="0.3">
      <c r="A433" t="s">
        <v>850</v>
      </c>
      <c r="B433" t="s">
        <v>851</v>
      </c>
      <c r="C433" t="s">
        <v>25</v>
      </c>
      <c r="D433" s="1">
        <v>45502</v>
      </c>
    </row>
    <row r="434" spans="1:4" x14ac:dyDescent="0.3">
      <c r="A434" t="s">
        <v>852</v>
      </c>
      <c r="B434" t="s">
        <v>853</v>
      </c>
      <c r="C434" t="s">
        <v>22</v>
      </c>
      <c r="D434" s="1">
        <v>44966</v>
      </c>
    </row>
    <row r="435" spans="1:4" x14ac:dyDescent="0.3">
      <c r="A435" t="s">
        <v>854</v>
      </c>
      <c r="B435" t="s">
        <v>855</v>
      </c>
      <c r="C435" t="s">
        <v>2325</v>
      </c>
      <c r="D435" s="1">
        <v>45047</v>
      </c>
    </row>
    <row r="436" spans="1:4" x14ac:dyDescent="0.3">
      <c r="A436" t="s">
        <v>856</v>
      </c>
      <c r="B436" t="s">
        <v>857</v>
      </c>
      <c r="C436" t="s">
        <v>46</v>
      </c>
      <c r="D436" s="1">
        <v>45490</v>
      </c>
    </row>
    <row r="437" spans="1:4" x14ac:dyDescent="0.3">
      <c r="A437" t="s">
        <v>858</v>
      </c>
      <c r="B437" t="s">
        <v>859</v>
      </c>
      <c r="C437" t="s">
        <v>74</v>
      </c>
      <c r="D437" s="1">
        <v>45591</v>
      </c>
    </row>
    <row r="438" spans="1:4" x14ac:dyDescent="0.3">
      <c r="A438" t="s">
        <v>860</v>
      </c>
      <c r="B438" t="s">
        <v>861</v>
      </c>
      <c r="C438" t="s">
        <v>19</v>
      </c>
      <c r="D438" s="1">
        <v>45182</v>
      </c>
    </row>
    <row r="439" spans="1:4" x14ac:dyDescent="0.3">
      <c r="A439" t="s">
        <v>862</v>
      </c>
      <c r="B439" t="s">
        <v>863</v>
      </c>
      <c r="C439" t="s">
        <v>22</v>
      </c>
      <c r="D439" s="1">
        <v>45303</v>
      </c>
    </row>
    <row r="440" spans="1:4" x14ac:dyDescent="0.3">
      <c r="A440" t="s">
        <v>864</v>
      </c>
      <c r="B440" t="s">
        <v>865</v>
      </c>
      <c r="C440" t="s">
        <v>46</v>
      </c>
      <c r="D440" s="1">
        <v>45110</v>
      </c>
    </row>
    <row r="441" spans="1:4" x14ac:dyDescent="0.3">
      <c r="A441" t="s">
        <v>866</v>
      </c>
      <c r="B441" t="s">
        <v>14</v>
      </c>
      <c r="C441" t="s">
        <v>19</v>
      </c>
      <c r="D441" s="1">
        <v>45428</v>
      </c>
    </row>
    <row r="442" spans="1:4" x14ac:dyDescent="0.3">
      <c r="A442" t="s">
        <v>867</v>
      </c>
      <c r="B442" t="s">
        <v>868</v>
      </c>
      <c r="C442" t="s">
        <v>46</v>
      </c>
      <c r="D442" s="1">
        <v>45708</v>
      </c>
    </row>
    <row r="443" spans="1:4" x14ac:dyDescent="0.3">
      <c r="A443" t="s">
        <v>869</v>
      </c>
      <c r="B443" t="s">
        <v>870</v>
      </c>
      <c r="C443" t="s">
        <v>46</v>
      </c>
      <c r="D443" s="1">
        <v>45783</v>
      </c>
    </row>
    <row r="444" spans="1:4" x14ac:dyDescent="0.3">
      <c r="A444" t="s">
        <v>871</v>
      </c>
      <c r="B444" t="s">
        <v>872</v>
      </c>
      <c r="C444" t="s">
        <v>46</v>
      </c>
      <c r="D444" s="1">
        <v>45336</v>
      </c>
    </row>
    <row r="445" spans="1:4" x14ac:dyDescent="0.3">
      <c r="A445" t="s">
        <v>873</v>
      </c>
      <c r="B445" t="s">
        <v>874</v>
      </c>
      <c r="C445" t="s">
        <v>25</v>
      </c>
      <c r="D445" s="1">
        <v>45294</v>
      </c>
    </row>
    <row r="446" spans="1:4" x14ac:dyDescent="0.3">
      <c r="A446" t="s">
        <v>875</v>
      </c>
      <c r="B446" t="s">
        <v>876</v>
      </c>
      <c r="C446" t="s">
        <v>25</v>
      </c>
      <c r="D446" s="1">
        <v>45748</v>
      </c>
    </row>
    <row r="447" spans="1:4" x14ac:dyDescent="0.3">
      <c r="A447" t="s">
        <v>877</v>
      </c>
      <c r="B447" t="s">
        <v>878</v>
      </c>
      <c r="C447" t="s">
        <v>12</v>
      </c>
      <c r="D447" s="1">
        <v>45599</v>
      </c>
    </row>
    <row r="448" spans="1:4" x14ac:dyDescent="0.3">
      <c r="A448" t="s">
        <v>879</v>
      </c>
      <c r="B448" t="s">
        <v>14</v>
      </c>
      <c r="C448" t="s">
        <v>22</v>
      </c>
      <c r="D448" s="1">
        <v>45060</v>
      </c>
    </row>
    <row r="449" spans="1:4" x14ac:dyDescent="0.3">
      <c r="A449" t="s">
        <v>880</v>
      </c>
      <c r="B449" t="s">
        <v>881</v>
      </c>
      <c r="C449" t="s">
        <v>22</v>
      </c>
      <c r="D449" s="1">
        <v>45248</v>
      </c>
    </row>
    <row r="450" spans="1:4" x14ac:dyDescent="0.3">
      <c r="A450" t="s">
        <v>882</v>
      </c>
      <c r="B450" t="s">
        <v>883</v>
      </c>
      <c r="C450" t="s">
        <v>12</v>
      </c>
      <c r="D450" s="1">
        <v>45008</v>
      </c>
    </row>
    <row r="451" spans="1:4" x14ac:dyDescent="0.3">
      <c r="A451" t="s">
        <v>884</v>
      </c>
      <c r="B451" t="s">
        <v>885</v>
      </c>
      <c r="C451" t="s">
        <v>12</v>
      </c>
      <c r="D451" s="1">
        <v>45313</v>
      </c>
    </row>
    <row r="452" spans="1:4" x14ac:dyDescent="0.3">
      <c r="A452" t="s">
        <v>886</v>
      </c>
      <c r="B452" t="s">
        <v>887</v>
      </c>
      <c r="C452" t="s">
        <v>25</v>
      </c>
      <c r="D452" s="1">
        <v>44953</v>
      </c>
    </row>
    <row r="453" spans="1:4" x14ac:dyDescent="0.3">
      <c r="A453" t="s">
        <v>888</v>
      </c>
      <c r="B453" t="s">
        <v>889</v>
      </c>
      <c r="C453" t="s">
        <v>19</v>
      </c>
      <c r="D453" s="1">
        <v>45676</v>
      </c>
    </row>
    <row r="454" spans="1:4" x14ac:dyDescent="0.3">
      <c r="A454" t="s">
        <v>890</v>
      </c>
      <c r="B454" t="s">
        <v>891</v>
      </c>
      <c r="C454" t="s">
        <v>25</v>
      </c>
      <c r="D454" s="1">
        <v>45125</v>
      </c>
    </row>
    <row r="455" spans="1:4" x14ac:dyDescent="0.3">
      <c r="A455" t="s">
        <v>892</v>
      </c>
      <c r="B455" t="s">
        <v>893</v>
      </c>
      <c r="C455" t="s">
        <v>46</v>
      </c>
      <c r="D455" s="1">
        <v>45221</v>
      </c>
    </row>
    <row r="456" spans="1:4" x14ac:dyDescent="0.3">
      <c r="A456" t="s">
        <v>894</v>
      </c>
      <c r="B456" t="s">
        <v>895</v>
      </c>
      <c r="C456" t="s">
        <v>25</v>
      </c>
      <c r="D456" s="1">
        <v>45629</v>
      </c>
    </row>
    <row r="457" spans="1:4" x14ac:dyDescent="0.3">
      <c r="A457" t="s">
        <v>896</v>
      </c>
      <c r="B457" t="s">
        <v>897</v>
      </c>
      <c r="C457" t="s">
        <v>37</v>
      </c>
      <c r="D457" s="1">
        <v>44994</v>
      </c>
    </row>
    <row r="458" spans="1:4" x14ac:dyDescent="0.3">
      <c r="A458" t="s">
        <v>898</v>
      </c>
      <c r="B458" t="s">
        <v>899</v>
      </c>
      <c r="C458" t="s">
        <v>19</v>
      </c>
      <c r="D458" s="1">
        <v>45701</v>
      </c>
    </row>
    <row r="459" spans="1:4" x14ac:dyDescent="0.3">
      <c r="A459" t="s">
        <v>900</v>
      </c>
      <c r="B459" t="s">
        <v>901</v>
      </c>
      <c r="C459" t="s">
        <v>2325</v>
      </c>
      <c r="D459" s="1">
        <v>45555</v>
      </c>
    </row>
    <row r="460" spans="1:4" x14ac:dyDescent="0.3">
      <c r="A460" t="s">
        <v>902</v>
      </c>
      <c r="B460" t="s">
        <v>903</v>
      </c>
      <c r="C460" t="s">
        <v>46</v>
      </c>
      <c r="D460" s="1">
        <v>45074</v>
      </c>
    </row>
    <row r="461" spans="1:4" x14ac:dyDescent="0.3">
      <c r="A461" t="s">
        <v>904</v>
      </c>
      <c r="B461" t="s">
        <v>905</v>
      </c>
      <c r="C461" t="s">
        <v>46</v>
      </c>
      <c r="D461" s="1">
        <v>45140</v>
      </c>
    </row>
    <row r="462" spans="1:4" x14ac:dyDescent="0.3">
      <c r="A462" t="s">
        <v>906</v>
      </c>
      <c r="B462" t="s">
        <v>907</v>
      </c>
      <c r="C462" t="s">
        <v>19</v>
      </c>
      <c r="D462" s="1">
        <v>45445</v>
      </c>
    </row>
    <row r="463" spans="1:4" x14ac:dyDescent="0.3">
      <c r="A463" t="s">
        <v>908</v>
      </c>
      <c r="B463" t="s">
        <v>909</v>
      </c>
      <c r="C463" t="s">
        <v>2325</v>
      </c>
      <c r="D463" s="1">
        <v>44964</v>
      </c>
    </row>
    <row r="464" spans="1:4" x14ac:dyDescent="0.3">
      <c r="A464" t="s">
        <v>910</v>
      </c>
      <c r="B464" t="s">
        <v>911</v>
      </c>
      <c r="C464" t="s">
        <v>2325</v>
      </c>
      <c r="D464" s="1">
        <v>45092</v>
      </c>
    </row>
    <row r="465" spans="1:4" x14ac:dyDescent="0.3">
      <c r="A465" t="s">
        <v>912</v>
      </c>
      <c r="B465" t="s">
        <v>913</v>
      </c>
      <c r="C465" t="s">
        <v>74</v>
      </c>
      <c r="D465" s="1">
        <v>45622</v>
      </c>
    </row>
    <row r="466" spans="1:4" x14ac:dyDescent="0.3">
      <c r="A466" t="s">
        <v>914</v>
      </c>
      <c r="B466" t="s">
        <v>915</v>
      </c>
      <c r="C466" t="s">
        <v>2325</v>
      </c>
      <c r="D466" s="1">
        <v>45099</v>
      </c>
    </row>
    <row r="467" spans="1:4" x14ac:dyDescent="0.3">
      <c r="A467" t="s">
        <v>916</v>
      </c>
      <c r="B467" t="s">
        <v>917</v>
      </c>
      <c r="C467" t="s">
        <v>74</v>
      </c>
      <c r="D467" s="1">
        <v>45044</v>
      </c>
    </row>
    <row r="468" spans="1:4" x14ac:dyDescent="0.3">
      <c r="A468" t="s">
        <v>918</v>
      </c>
      <c r="B468" t="s">
        <v>919</v>
      </c>
      <c r="C468" t="s">
        <v>25</v>
      </c>
      <c r="D468" s="1">
        <v>45578</v>
      </c>
    </row>
    <row r="469" spans="1:4" x14ac:dyDescent="0.3">
      <c r="A469" t="s">
        <v>920</v>
      </c>
      <c r="B469" t="s">
        <v>921</v>
      </c>
      <c r="C469" t="s">
        <v>46</v>
      </c>
      <c r="D469" s="1">
        <v>45495</v>
      </c>
    </row>
    <row r="470" spans="1:4" x14ac:dyDescent="0.3">
      <c r="A470" t="s">
        <v>922</v>
      </c>
      <c r="B470" t="s">
        <v>923</v>
      </c>
      <c r="C470" t="s">
        <v>46</v>
      </c>
      <c r="D470" s="1">
        <v>45034</v>
      </c>
    </row>
    <row r="471" spans="1:4" x14ac:dyDescent="0.3">
      <c r="A471" t="s">
        <v>924</v>
      </c>
      <c r="B471" t="s">
        <v>925</v>
      </c>
      <c r="C471" t="s">
        <v>12</v>
      </c>
      <c r="D471" s="1">
        <v>45571</v>
      </c>
    </row>
    <row r="472" spans="1:4" x14ac:dyDescent="0.3">
      <c r="A472" t="s">
        <v>926</v>
      </c>
      <c r="B472" t="s">
        <v>927</v>
      </c>
      <c r="C472" t="s">
        <v>12</v>
      </c>
      <c r="D472" s="1">
        <v>45743</v>
      </c>
    </row>
    <row r="473" spans="1:4" x14ac:dyDescent="0.3">
      <c r="A473" t="s">
        <v>928</v>
      </c>
      <c r="B473" t="s">
        <v>929</v>
      </c>
      <c r="C473" t="s">
        <v>2325</v>
      </c>
      <c r="D473" s="1">
        <v>45304</v>
      </c>
    </row>
    <row r="474" spans="1:4" x14ac:dyDescent="0.3">
      <c r="A474" t="s">
        <v>930</v>
      </c>
      <c r="B474" t="s">
        <v>931</v>
      </c>
      <c r="C474" t="s">
        <v>2325</v>
      </c>
      <c r="D474" s="1">
        <v>45265</v>
      </c>
    </row>
    <row r="475" spans="1:4" x14ac:dyDescent="0.3">
      <c r="A475" t="s">
        <v>932</v>
      </c>
      <c r="B475" t="s">
        <v>933</v>
      </c>
      <c r="C475" t="s">
        <v>46</v>
      </c>
      <c r="D475" s="1">
        <v>45162</v>
      </c>
    </row>
    <row r="476" spans="1:4" x14ac:dyDescent="0.3">
      <c r="A476" t="s">
        <v>934</v>
      </c>
      <c r="B476" t="s">
        <v>935</v>
      </c>
      <c r="C476" t="s">
        <v>46</v>
      </c>
      <c r="D476" s="1">
        <v>44976</v>
      </c>
    </row>
    <row r="477" spans="1:4" x14ac:dyDescent="0.3">
      <c r="A477" t="s">
        <v>936</v>
      </c>
      <c r="B477" t="s">
        <v>937</v>
      </c>
      <c r="C477" t="s">
        <v>12</v>
      </c>
      <c r="D477" s="1">
        <v>45186</v>
      </c>
    </row>
    <row r="478" spans="1:4" x14ac:dyDescent="0.3">
      <c r="A478" t="s">
        <v>938</v>
      </c>
      <c r="B478" t="s">
        <v>939</v>
      </c>
      <c r="C478" t="s">
        <v>19</v>
      </c>
      <c r="D478" s="1">
        <v>45606</v>
      </c>
    </row>
    <row r="479" spans="1:4" x14ac:dyDescent="0.3">
      <c r="A479" t="s">
        <v>940</v>
      </c>
      <c r="B479" t="s">
        <v>941</v>
      </c>
      <c r="C479" t="s">
        <v>19</v>
      </c>
      <c r="D479" s="1">
        <v>44928</v>
      </c>
    </row>
    <row r="480" spans="1:4" x14ac:dyDescent="0.3">
      <c r="A480" t="s">
        <v>942</v>
      </c>
      <c r="B480" t="s">
        <v>943</v>
      </c>
      <c r="C480" t="s">
        <v>37</v>
      </c>
      <c r="D480" s="1">
        <v>45079</v>
      </c>
    </row>
    <row r="481" spans="1:4" x14ac:dyDescent="0.3">
      <c r="A481" t="s">
        <v>944</v>
      </c>
      <c r="B481" t="s">
        <v>945</v>
      </c>
      <c r="C481" t="s">
        <v>22</v>
      </c>
      <c r="D481" s="1">
        <v>45369</v>
      </c>
    </row>
    <row r="482" spans="1:4" x14ac:dyDescent="0.3">
      <c r="A482" t="s">
        <v>946</v>
      </c>
      <c r="B482" t="s">
        <v>947</v>
      </c>
      <c r="C482" t="s">
        <v>2325</v>
      </c>
      <c r="D482" s="1">
        <v>44975</v>
      </c>
    </row>
    <row r="483" spans="1:4" x14ac:dyDescent="0.3">
      <c r="A483" t="s">
        <v>948</v>
      </c>
      <c r="B483" t="s">
        <v>949</v>
      </c>
      <c r="C483" t="s">
        <v>37</v>
      </c>
      <c r="D483" s="1">
        <v>45554</v>
      </c>
    </row>
    <row r="484" spans="1:4" x14ac:dyDescent="0.3">
      <c r="A484" t="s">
        <v>950</v>
      </c>
      <c r="B484" t="s">
        <v>951</v>
      </c>
      <c r="C484" t="s">
        <v>25</v>
      </c>
      <c r="D484" s="1">
        <v>44982</v>
      </c>
    </row>
    <row r="485" spans="1:4" x14ac:dyDescent="0.3">
      <c r="A485" t="s">
        <v>952</v>
      </c>
      <c r="B485" t="s">
        <v>14</v>
      </c>
      <c r="C485" t="s">
        <v>2325</v>
      </c>
      <c r="D485" s="1">
        <v>45238</v>
      </c>
    </row>
    <row r="486" spans="1:4" x14ac:dyDescent="0.3">
      <c r="A486" t="s">
        <v>953</v>
      </c>
      <c r="B486" t="s">
        <v>954</v>
      </c>
      <c r="C486" t="s">
        <v>2325</v>
      </c>
      <c r="D486" s="1">
        <v>45473</v>
      </c>
    </row>
    <row r="487" spans="1:4" x14ac:dyDescent="0.3">
      <c r="A487" t="s">
        <v>955</v>
      </c>
      <c r="B487" t="s">
        <v>956</v>
      </c>
      <c r="C487" t="s">
        <v>19</v>
      </c>
      <c r="D487" s="1">
        <v>45235</v>
      </c>
    </row>
    <row r="488" spans="1:4" x14ac:dyDescent="0.3">
      <c r="A488" t="s">
        <v>957</v>
      </c>
      <c r="B488" t="s">
        <v>958</v>
      </c>
      <c r="C488" t="s">
        <v>37</v>
      </c>
      <c r="D488" s="1">
        <v>45302</v>
      </c>
    </row>
    <row r="489" spans="1:4" x14ac:dyDescent="0.3">
      <c r="A489" t="s">
        <v>959</v>
      </c>
      <c r="B489" t="s">
        <v>960</v>
      </c>
      <c r="C489" t="s">
        <v>46</v>
      </c>
      <c r="D489" s="1">
        <v>45089</v>
      </c>
    </row>
    <row r="490" spans="1:4" x14ac:dyDescent="0.3">
      <c r="A490" t="s">
        <v>961</v>
      </c>
      <c r="B490" t="s">
        <v>962</v>
      </c>
      <c r="C490" t="s">
        <v>37</v>
      </c>
      <c r="D490" s="1">
        <v>45651</v>
      </c>
    </row>
    <row r="491" spans="1:4" x14ac:dyDescent="0.3">
      <c r="A491" t="s">
        <v>963</v>
      </c>
      <c r="B491" t="s">
        <v>964</v>
      </c>
      <c r="C491" t="s">
        <v>25</v>
      </c>
      <c r="D491" s="1">
        <v>44992</v>
      </c>
    </row>
    <row r="492" spans="1:4" x14ac:dyDescent="0.3">
      <c r="A492" t="s">
        <v>965</v>
      </c>
      <c r="B492" t="s">
        <v>966</v>
      </c>
      <c r="C492" t="s">
        <v>22</v>
      </c>
      <c r="D492" s="1">
        <v>45727</v>
      </c>
    </row>
    <row r="493" spans="1:4" x14ac:dyDescent="0.3">
      <c r="A493" t="s">
        <v>967</v>
      </c>
      <c r="B493" t="s">
        <v>968</v>
      </c>
      <c r="C493" t="s">
        <v>74</v>
      </c>
      <c r="D493" s="1">
        <v>44938</v>
      </c>
    </row>
    <row r="494" spans="1:4" x14ac:dyDescent="0.3">
      <c r="A494" t="s">
        <v>969</v>
      </c>
      <c r="B494" t="s">
        <v>970</v>
      </c>
      <c r="C494" t="s">
        <v>12</v>
      </c>
      <c r="D494" s="1">
        <v>45285</v>
      </c>
    </row>
    <row r="495" spans="1:4" x14ac:dyDescent="0.3">
      <c r="A495" t="s">
        <v>971</v>
      </c>
      <c r="B495" t="s">
        <v>972</v>
      </c>
      <c r="C495" t="s">
        <v>19</v>
      </c>
      <c r="D495" s="1">
        <v>45381</v>
      </c>
    </row>
    <row r="496" spans="1:4" x14ac:dyDescent="0.3">
      <c r="A496" t="s">
        <v>973</v>
      </c>
      <c r="B496" t="s">
        <v>974</v>
      </c>
      <c r="C496" t="s">
        <v>12</v>
      </c>
      <c r="D496" s="1">
        <v>45678</v>
      </c>
    </row>
    <row r="497" spans="1:4" x14ac:dyDescent="0.3">
      <c r="A497" t="s">
        <v>975</v>
      </c>
      <c r="B497" t="s">
        <v>976</v>
      </c>
      <c r="C497" t="s">
        <v>25</v>
      </c>
      <c r="D497" s="1">
        <v>44927</v>
      </c>
    </row>
    <row r="498" spans="1:4" x14ac:dyDescent="0.3">
      <c r="A498" t="s">
        <v>977</v>
      </c>
      <c r="B498" t="s">
        <v>14</v>
      </c>
      <c r="C498" t="s">
        <v>12</v>
      </c>
      <c r="D498" s="1">
        <v>44952</v>
      </c>
    </row>
    <row r="499" spans="1:4" x14ac:dyDescent="0.3">
      <c r="A499" t="s">
        <v>978</v>
      </c>
      <c r="B499" t="s">
        <v>979</v>
      </c>
      <c r="C499" t="s">
        <v>37</v>
      </c>
      <c r="D499" s="1">
        <v>45090</v>
      </c>
    </row>
    <row r="500" spans="1:4" x14ac:dyDescent="0.3">
      <c r="A500" t="s">
        <v>980</v>
      </c>
      <c r="B500" t="s">
        <v>981</v>
      </c>
      <c r="C500" t="s">
        <v>25</v>
      </c>
      <c r="D500" s="1">
        <v>44939</v>
      </c>
    </row>
    <row r="501" spans="1:4" x14ac:dyDescent="0.3">
      <c r="A501" t="s">
        <v>982</v>
      </c>
      <c r="B501" t="s">
        <v>983</v>
      </c>
      <c r="C501" t="s">
        <v>22</v>
      </c>
      <c r="D501" s="1">
        <v>45128</v>
      </c>
    </row>
  </sheetData>
  <conditionalFormatting sqref="A1:A501 A503:A1048576">
    <cfRule type="duplicateValues" dxfId="4" priority="1"/>
    <cfRule type="duplicateValues" dxfId="3" priority="2"/>
    <cfRule type="duplicateValues" dxfId="2" priority="3"/>
  </conditionalFormatting>
  <conditionalFormatting sqref="A9">
    <cfRule type="duplicateValues" dxfId="1" priority="5"/>
  </conditionalFormatting>
  <conditionalFormatting sqref="A542:A1048576 A1:A501">
    <cfRule type="duplicateValues" dxfId="0" priority="4"/>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351E51-7725-4F34-8C74-8688AAA3AD0A}">
  <dimension ref="A1:Q60"/>
  <sheetViews>
    <sheetView tabSelected="1" zoomScale="85" zoomScaleNormal="85" workbookViewId="0">
      <selection activeCell="D16" sqref="D16"/>
    </sheetView>
  </sheetViews>
  <sheetFormatPr defaultRowHeight="14.4" x14ac:dyDescent="0.3"/>
  <cols>
    <col min="1" max="1" width="13.44140625" bestFit="1" customWidth="1"/>
    <col min="2" max="2" width="20.33203125" bestFit="1" customWidth="1"/>
    <col min="3" max="3" width="13.44140625" bestFit="1" customWidth="1"/>
    <col min="4" max="4" width="20.33203125" bestFit="1" customWidth="1"/>
    <col min="5" max="5" width="19.21875" bestFit="1" customWidth="1"/>
    <col min="6" max="8" width="13.44140625" bestFit="1" customWidth="1"/>
    <col min="9" max="9" width="20.33203125" bestFit="1" customWidth="1"/>
    <col min="10" max="10" width="15.5546875" bestFit="1" customWidth="1"/>
    <col min="11" max="11" width="20.33203125" bestFit="1" customWidth="1"/>
    <col min="13" max="13" width="10.109375" customWidth="1"/>
    <col min="14" max="14" width="10.88671875" bestFit="1" customWidth="1"/>
    <col min="15" max="15" width="11.109375" customWidth="1"/>
    <col min="16" max="16" width="12.44140625" customWidth="1"/>
    <col min="17" max="17" width="9.21875" bestFit="1" customWidth="1"/>
    <col min="18" max="18" width="12.5546875" bestFit="1" customWidth="1"/>
  </cols>
  <sheetData>
    <row r="1" spans="1:17" x14ac:dyDescent="0.3">
      <c r="M1" t="s">
        <v>2323</v>
      </c>
      <c r="N1" t="s">
        <v>2326</v>
      </c>
      <c r="O1" t="s">
        <v>2333</v>
      </c>
      <c r="P1" t="s">
        <v>2322</v>
      </c>
      <c r="Q1" t="s">
        <v>2324</v>
      </c>
    </row>
    <row r="2" spans="1:17" x14ac:dyDescent="0.3">
      <c r="I2" s="4" t="s">
        <v>990</v>
      </c>
      <c r="J2">
        <f>GETPIVOTDATA("[Measures].[Sum of total_amount]",$C$6,"[messy_orders_csv].[payment_method]","[messy_orders_csv].[payment_method].&amp;["&amp;I2&amp;"]")</f>
        <v>37007906</v>
      </c>
      <c r="M2" t="s">
        <v>2321</v>
      </c>
      <c r="N2" t="s">
        <v>2331</v>
      </c>
      <c r="P2" s="4" t="s">
        <v>25</v>
      </c>
      <c r="Q2">
        <f t="shared" ref="Q2:Q8" si="0">GETPIVOTDATA("[Measures].[Sum of total_amount]",$A$9,"[messy_customers_csv].[city]","[messy_customers_csv].[city].&amp;["&amp;P2&amp;"]")</f>
        <v>42036589</v>
      </c>
    </row>
    <row r="3" spans="1:17" x14ac:dyDescent="0.3">
      <c r="A3" t="s">
        <v>2300</v>
      </c>
      <c r="C3" t="s">
        <v>2301</v>
      </c>
      <c r="I3" s="4" t="s">
        <v>995</v>
      </c>
      <c r="J3">
        <f t="shared" ref="J3:J6" si="1">GETPIVOTDATA("[Measures].[Sum of total_amount]",$C$6,"[messy_orders_csv].[payment_method]","[messy_orders_csv].[payment_method].&amp;["&amp;I3&amp;"]")</f>
        <v>34231633</v>
      </c>
      <c r="M3" t="s">
        <v>2321</v>
      </c>
      <c r="N3" t="s">
        <v>2329</v>
      </c>
      <c r="P3" s="4" t="s">
        <v>37</v>
      </c>
      <c r="Q3">
        <f t="shared" si="0"/>
        <v>26327044</v>
      </c>
    </row>
    <row r="4" spans="1:17" x14ac:dyDescent="0.3">
      <c r="A4">
        <v>1200</v>
      </c>
      <c r="C4">
        <v>140276820</v>
      </c>
      <c r="I4" s="4" t="s">
        <v>992</v>
      </c>
      <c r="J4">
        <f t="shared" si="1"/>
        <v>18183556</v>
      </c>
      <c r="M4" t="s">
        <v>2321</v>
      </c>
      <c r="N4" t="s">
        <v>2332</v>
      </c>
      <c r="P4" s="4" t="s">
        <v>46</v>
      </c>
      <c r="Q4">
        <f t="shared" si="0"/>
        <v>19327623</v>
      </c>
    </row>
    <row r="5" spans="1:17" x14ac:dyDescent="0.3">
      <c r="I5" s="4" t="s">
        <v>2305</v>
      </c>
      <c r="J5">
        <f t="shared" si="1"/>
        <v>15814203</v>
      </c>
      <c r="M5" t="s">
        <v>2321</v>
      </c>
      <c r="N5" t="s">
        <v>2327</v>
      </c>
      <c r="P5" s="4" t="s">
        <v>2325</v>
      </c>
      <c r="Q5">
        <f t="shared" si="0"/>
        <v>17782046</v>
      </c>
    </row>
    <row r="6" spans="1:17" x14ac:dyDescent="0.3">
      <c r="A6" t="s">
        <v>2302</v>
      </c>
      <c r="C6" s="3" t="s">
        <v>2303</v>
      </c>
      <c r="D6" t="s">
        <v>2301</v>
      </c>
      <c r="I6" s="4" t="s">
        <v>1007</v>
      </c>
      <c r="J6">
        <f t="shared" si="1"/>
        <v>35039522</v>
      </c>
      <c r="M6" t="s">
        <v>2321</v>
      </c>
      <c r="N6" t="s">
        <v>2329</v>
      </c>
      <c r="P6" s="4" t="s">
        <v>12</v>
      </c>
      <c r="Q6">
        <f t="shared" si="0"/>
        <v>12909115</v>
      </c>
    </row>
    <row r="7" spans="1:17" x14ac:dyDescent="0.3">
      <c r="A7">
        <v>80</v>
      </c>
      <c r="C7" s="4" t="s">
        <v>992</v>
      </c>
      <c r="D7">
        <v>18183556</v>
      </c>
      <c r="M7" t="s">
        <v>2321</v>
      </c>
      <c r="N7" t="s">
        <v>2330</v>
      </c>
      <c r="P7" s="4" t="s">
        <v>22</v>
      </c>
      <c r="Q7">
        <f t="shared" si="0"/>
        <v>11002421</v>
      </c>
    </row>
    <row r="8" spans="1:17" x14ac:dyDescent="0.3">
      <c r="C8" s="4" t="s">
        <v>990</v>
      </c>
      <c r="D8">
        <v>37007906</v>
      </c>
      <c r="M8" t="s">
        <v>2321</v>
      </c>
      <c r="N8" t="s">
        <v>2328</v>
      </c>
      <c r="P8" s="4" t="s">
        <v>19</v>
      </c>
      <c r="Q8">
        <f t="shared" si="0"/>
        <v>10891982</v>
      </c>
    </row>
    <row r="9" spans="1:17" x14ac:dyDescent="0.3">
      <c r="A9" s="3" t="s">
        <v>2303</v>
      </c>
      <c r="B9" t="s">
        <v>2301</v>
      </c>
      <c r="C9" s="4" t="s">
        <v>995</v>
      </c>
      <c r="D9">
        <v>34231633</v>
      </c>
      <c r="F9" s="3" t="s">
        <v>2303</v>
      </c>
      <c r="P9" s="4"/>
    </row>
    <row r="10" spans="1:17" x14ac:dyDescent="0.3">
      <c r="A10" s="4" t="s">
        <v>2325</v>
      </c>
      <c r="B10">
        <v>17782046</v>
      </c>
      <c r="C10" s="4" t="s">
        <v>2305</v>
      </c>
      <c r="D10">
        <v>15814203</v>
      </c>
      <c r="F10" s="4" t="s">
        <v>2286</v>
      </c>
      <c r="M10" s="10" t="s">
        <v>2323</v>
      </c>
      <c r="N10" s="10" t="s">
        <v>2326</v>
      </c>
      <c r="O10" s="9" t="s">
        <v>2334</v>
      </c>
      <c r="P10" t="s">
        <v>2335</v>
      </c>
    </row>
    <row r="11" spans="1:17" x14ac:dyDescent="0.3">
      <c r="A11" s="4" t="s">
        <v>19</v>
      </c>
      <c r="B11">
        <v>10891982</v>
      </c>
      <c r="C11" s="4" t="s">
        <v>1007</v>
      </c>
      <c r="D11">
        <v>35039522</v>
      </c>
      <c r="F11" s="4" t="s">
        <v>2290</v>
      </c>
      <c r="M11" s="8" t="s">
        <v>2321</v>
      </c>
      <c r="N11" s="8" t="s">
        <v>2337</v>
      </c>
      <c r="O11" s="7" t="s">
        <v>2321</v>
      </c>
      <c r="P11">
        <f>Q2</f>
        <v>42036589</v>
      </c>
    </row>
    <row r="12" spans="1:17" x14ac:dyDescent="0.3">
      <c r="A12" s="4" t="s">
        <v>25</v>
      </c>
      <c r="B12">
        <v>42036589</v>
      </c>
      <c r="C12" s="4" t="s">
        <v>2304</v>
      </c>
      <c r="D12">
        <v>140276820</v>
      </c>
      <c r="F12" s="4" t="s">
        <v>2298</v>
      </c>
      <c r="M12" s="8" t="s">
        <v>2321</v>
      </c>
      <c r="N12" s="8" t="s">
        <v>2336</v>
      </c>
      <c r="O12" s="7" t="s">
        <v>2321</v>
      </c>
      <c r="P12">
        <f t="shared" ref="P12:P17" si="2">Q3</f>
        <v>26327044</v>
      </c>
    </row>
    <row r="13" spans="1:17" x14ac:dyDescent="0.3">
      <c r="A13" s="4" t="s">
        <v>46</v>
      </c>
      <c r="B13">
        <v>19327623</v>
      </c>
      <c r="F13" s="4" t="s">
        <v>2279</v>
      </c>
      <c r="M13" s="8" t="s">
        <v>2321</v>
      </c>
      <c r="N13" s="8" t="s">
        <v>25</v>
      </c>
      <c r="O13" s="7" t="s">
        <v>2321</v>
      </c>
      <c r="P13">
        <f t="shared" si="2"/>
        <v>19327623</v>
      </c>
    </row>
    <row r="14" spans="1:17" x14ac:dyDescent="0.3">
      <c r="A14" s="4" t="s">
        <v>22</v>
      </c>
      <c r="B14">
        <v>11002421</v>
      </c>
      <c r="F14" s="4" t="s">
        <v>2304</v>
      </c>
      <c r="I14" s="3" t="s">
        <v>2303</v>
      </c>
      <c r="J14" t="s">
        <v>2320</v>
      </c>
      <c r="M14" s="8" t="s">
        <v>2321</v>
      </c>
      <c r="N14" s="8" t="s">
        <v>2338</v>
      </c>
      <c r="O14" s="7" t="s">
        <v>2321</v>
      </c>
      <c r="P14">
        <f t="shared" si="2"/>
        <v>17782046</v>
      </c>
    </row>
    <row r="15" spans="1:17" x14ac:dyDescent="0.3">
      <c r="A15" s="4" t="s">
        <v>37</v>
      </c>
      <c r="B15">
        <v>26327044</v>
      </c>
      <c r="I15" s="4" t="s">
        <v>2280</v>
      </c>
      <c r="J15">
        <v>280</v>
      </c>
      <c r="M15" s="8" t="s">
        <v>2321</v>
      </c>
      <c r="N15" s="8" t="s">
        <v>2339</v>
      </c>
      <c r="O15" s="7" t="s">
        <v>2321</v>
      </c>
      <c r="P15">
        <f t="shared" si="2"/>
        <v>12909115</v>
      </c>
    </row>
    <row r="16" spans="1:17" x14ac:dyDescent="0.3">
      <c r="A16" s="4" t="s">
        <v>12</v>
      </c>
      <c r="B16">
        <v>12909115</v>
      </c>
      <c r="I16" s="4" t="s">
        <v>2289</v>
      </c>
      <c r="J16">
        <v>320</v>
      </c>
      <c r="M16" s="8" t="s">
        <v>2321</v>
      </c>
      <c r="N16" s="8" t="s">
        <v>2340</v>
      </c>
      <c r="O16" s="7" t="s">
        <v>2321</v>
      </c>
      <c r="P16">
        <f t="shared" si="2"/>
        <v>11002421</v>
      </c>
    </row>
    <row r="17" spans="1:16" x14ac:dyDescent="0.3">
      <c r="A17" s="4" t="s">
        <v>2304</v>
      </c>
      <c r="B17">
        <v>140276820</v>
      </c>
      <c r="I17" s="4" t="s">
        <v>2293</v>
      </c>
      <c r="J17">
        <v>339</v>
      </c>
      <c r="M17" s="6" t="s">
        <v>2321</v>
      </c>
      <c r="N17" s="6" t="s">
        <v>2340</v>
      </c>
      <c r="O17" s="5" t="s">
        <v>2321</v>
      </c>
      <c r="P17">
        <f t="shared" si="2"/>
        <v>10891982</v>
      </c>
    </row>
    <row r="18" spans="1:16" x14ac:dyDescent="0.3">
      <c r="I18" s="4" t="s">
        <v>2285</v>
      </c>
      <c r="J18">
        <v>343</v>
      </c>
    </row>
    <row r="19" spans="1:16" x14ac:dyDescent="0.3">
      <c r="F19" s="3" t="s">
        <v>2303</v>
      </c>
      <c r="G19" t="s">
        <v>2319</v>
      </c>
      <c r="I19" s="4" t="s">
        <v>2296</v>
      </c>
      <c r="J19">
        <v>354</v>
      </c>
    </row>
    <row r="20" spans="1:16" x14ac:dyDescent="0.3">
      <c r="A20" t="s">
        <v>2300</v>
      </c>
      <c r="F20" s="4" t="s">
        <v>2298</v>
      </c>
      <c r="G20">
        <v>24</v>
      </c>
      <c r="I20" s="4" t="s">
        <v>2304</v>
      </c>
      <c r="J20">
        <v>1636</v>
      </c>
    </row>
    <row r="21" spans="1:16" x14ac:dyDescent="0.3">
      <c r="A21">
        <v>1200</v>
      </c>
      <c r="F21" s="4" t="s">
        <v>2286</v>
      </c>
      <c r="G21">
        <v>20</v>
      </c>
    </row>
    <row r="22" spans="1:16" x14ac:dyDescent="0.3">
      <c r="F22" s="4" t="s">
        <v>2279</v>
      </c>
      <c r="G22">
        <v>19</v>
      </c>
    </row>
    <row r="23" spans="1:16" x14ac:dyDescent="0.3">
      <c r="F23" s="4" t="s">
        <v>2290</v>
      </c>
      <c r="G23">
        <v>17</v>
      </c>
    </row>
    <row r="24" spans="1:16" x14ac:dyDescent="0.3">
      <c r="F24" s="4" t="s">
        <v>2304</v>
      </c>
      <c r="G24">
        <v>80</v>
      </c>
    </row>
    <row r="26" spans="1:16" x14ac:dyDescent="0.3">
      <c r="J26" s="11"/>
      <c r="K26" s="12"/>
      <c r="L26" s="13"/>
    </row>
    <row r="27" spans="1:16" x14ac:dyDescent="0.3">
      <c r="J27" s="14"/>
      <c r="K27" s="15"/>
      <c r="L27" s="16"/>
    </row>
    <row r="28" spans="1:16" x14ac:dyDescent="0.3">
      <c r="G28" s="3" t="s">
        <v>2303</v>
      </c>
      <c r="H28" t="s">
        <v>2301</v>
      </c>
      <c r="J28" s="14"/>
      <c r="K28" s="15"/>
      <c r="L28" s="16"/>
    </row>
    <row r="29" spans="1:16" x14ac:dyDescent="0.3">
      <c r="G29" s="4" t="s">
        <v>2280</v>
      </c>
      <c r="H29">
        <v>11505231</v>
      </c>
      <c r="J29" s="14"/>
      <c r="K29" s="15"/>
      <c r="L29" s="16"/>
    </row>
    <row r="30" spans="1:16" x14ac:dyDescent="0.3">
      <c r="G30" s="4" t="s">
        <v>2289</v>
      </c>
      <c r="H30">
        <v>13447714</v>
      </c>
      <c r="J30" s="14"/>
      <c r="K30" s="15"/>
      <c r="L30" s="16"/>
    </row>
    <row r="31" spans="1:16" x14ac:dyDescent="0.3">
      <c r="C31" s="3" t="s">
        <v>2303</v>
      </c>
      <c r="D31" t="s">
        <v>2301</v>
      </c>
      <c r="G31" s="4" t="s">
        <v>2293</v>
      </c>
      <c r="H31">
        <v>14232662</v>
      </c>
      <c r="J31" s="14"/>
      <c r="K31" s="15"/>
      <c r="L31" s="16"/>
    </row>
    <row r="32" spans="1:16" x14ac:dyDescent="0.3">
      <c r="C32" s="4" t="s">
        <v>2298</v>
      </c>
      <c r="D32">
        <v>45228682</v>
      </c>
      <c r="G32" s="4" t="s">
        <v>2296</v>
      </c>
      <c r="H32">
        <v>15200728</v>
      </c>
      <c r="J32" s="14"/>
      <c r="K32" s="15"/>
      <c r="L32" s="16"/>
    </row>
    <row r="33" spans="2:12" x14ac:dyDescent="0.3">
      <c r="C33" s="4" t="s">
        <v>2286</v>
      </c>
      <c r="D33">
        <v>35850290</v>
      </c>
      <c r="G33" s="4" t="s">
        <v>2285</v>
      </c>
      <c r="H33">
        <v>15812051</v>
      </c>
      <c r="J33" s="14"/>
      <c r="K33" s="15"/>
      <c r="L33" s="16"/>
    </row>
    <row r="34" spans="2:12" x14ac:dyDescent="0.3">
      <c r="C34" s="4" t="s">
        <v>2279</v>
      </c>
      <c r="D34">
        <v>32552001</v>
      </c>
      <c r="G34" s="4" t="s">
        <v>2304</v>
      </c>
      <c r="H34">
        <v>70198386</v>
      </c>
      <c r="J34" s="14"/>
      <c r="K34" s="15"/>
      <c r="L34" s="16"/>
    </row>
    <row r="35" spans="2:12" x14ac:dyDescent="0.3">
      <c r="C35" s="4" t="s">
        <v>2290</v>
      </c>
      <c r="D35">
        <v>26645847</v>
      </c>
      <c r="J35" s="14"/>
      <c r="K35" s="15"/>
      <c r="L35" s="16"/>
    </row>
    <row r="36" spans="2:12" x14ac:dyDescent="0.3">
      <c r="C36" s="4" t="s">
        <v>2304</v>
      </c>
      <c r="D36">
        <v>140276820</v>
      </c>
      <c r="J36" s="14"/>
      <c r="K36" s="15"/>
      <c r="L36" s="16"/>
    </row>
    <row r="37" spans="2:12" x14ac:dyDescent="0.3">
      <c r="G37" s="3" t="s">
        <v>2303</v>
      </c>
      <c r="H37" t="s">
        <v>2301</v>
      </c>
      <c r="J37" s="14"/>
      <c r="K37" s="15"/>
      <c r="L37" s="16"/>
    </row>
    <row r="38" spans="2:12" x14ac:dyDescent="0.3">
      <c r="G38" s="4" t="s">
        <v>932</v>
      </c>
      <c r="H38">
        <v>1264398</v>
      </c>
      <c r="J38" s="14"/>
      <c r="K38" s="15"/>
      <c r="L38" s="16"/>
    </row>
    <row r="39" spans="2:12" x14ac:dyDescent="0.3">
      <c r="G39" s="4" t="s">
        <v>617</v>
      </c>
      <c r="H39">
        <v>1132867</v>
      </c>
      <c r="J39" s="14"/>
      <c r="K39" s="15"/>
      <c r="L39" s="16"/>
    </row>
    <row r="40" spans="2:12" x14ac:dyDescent="0.3">
      <c r="G40" s="4" t="s">
        <v>433</v>
      </c>
      <c r="H40">
        <v>1311317</v>
      </c>
      <c r="J40" s="14"/>
      <c r="K40" s="15"/>
      <c r="L40" s="16"/>
    </row>
    <row r="41" spans="2:12" x14ac:dyDescent="0.3">
      <c r="G41" s="4" t="s">
        <v>286</v>
      </c>
      <c r="H41">
        <v>1297819</v>
      </c>
      <c r="J41" s="14"/>
      <c r="K41" s="15"/>
      <c r="L41" s="16"/>
    </row>
    <row r="42" spans="2:12" x14ac:dyDescent="0.3">
      <c r="B42" t="s">
        <v>2318</v>
      </c>
      <c r="G42" s="4" t="s">
        <v>276</v>
      </c>
      <c r="H42">
        <v>1154070</v>
      </c>
      <c r="J42" s="14"/>
      <c r="K42" s="15"/>
      <c r="L42" s="16"/>
    </row>
    <row r="43" spans="2:12" x14ac:dyDescent="0.3">
      <c r="B43">
        <v>500</v>
      </c>
      <c r="D43" t="str" cm="1">
        <f t="array" ref="D43:E43">C32:D32</f>
        <v>Smart Phone</v>
      </c>
      <c r="E43">
        <v>45228682</v>
      </c>
      <c r="G43" s="4" t="s">
        <v>2304</v>
      </c>
      <c r="H43">
        <v>6160471</v>
      </c>
      <c r="J43" s="17"/>
      <c r="K43" s="18"/>
      <c r="L43" s="19"/>
    </row>
    <row r="47" spans="2:12" x14ac:dyDescent="0.3">
      <c r="H47" s="3" t="s">
        <v>2303</v>
      </c>
      <c r="I47" t="s">
        <v>2301</v>
      </c>
    </row>
    <row r="48" spans="2:12" x14ac:dyDescent="0.3">
      <c r="H48" s="4" t="s">
        <v>2309</v>
      </c>
      <c r="I48">
        <v>20617038</v>
      </c>
    </row>
    <row r="49" spans="8:9" x14ac:dyDescent="0.3">
      <c r="H49" s="4" t="s">
        <v>2308</v>
      </c>
      <c r="I49">
        <v>18434982</v>
      </c>
    </row>
    <row r="50" spans="8:9" x14ac:dyDescent="0.3">
      <c r="H50" s="4" t="s">
        <v>2306</v>
      </c>
      <c r="I50">
        <v>17992071</v>
      </c>
    </row>
    <row r="51" spans="8:9" x14ac:dyDescent="0.3">
      <c r="H51" s="4" t="s">
        <v>2307</v>
      </c>
      <c r="I51">
        <v>12628022</v>
      </c>
    </row>
    <row r="52" spans="8:9" x14ac:dyDescent="0.3">
      <c r="H52" s="4" t="s">
        <v>2310</v>
      </c>
      <c r="I52">
        <v>11736569</v>
      </c>
    </row>
    <row r="53" spans="8:9" x14ac:dyDescent="0.3">
      <c r="H53" s="4" t="s">
        <v>2311</v>
      </c>
      <c r="I53">
        <v>10195710</v>
      </c>
    </row>
    <row r="54" spans="8:9" x14ac:dyDescent="0.3">
      <c r="H54" s="4" t="s">
        <v>2317</v>
      </c>
      <c r="I54">
        <v>9537758</v>
      </c>
    </row>
    <row r="55" spans="8:9" x14ac:dyDescent="0.3">
      <c r="H55" s="4" t="s">
        <v>2314</v>
      </c>
      <c r="I55">
        <v>8771466</v>
      </c>
    </row>
    <row r="56" spans="8:9" x14ac:dyDescent="0.3">
      <c r="H56" s="4" t="s">
        <v>2313</v>
      </c>
      <c r="I56">
        <v>8298368</v>
      </c>
    </row>
    <row r="57" spans="8:9" x14ac:dyDescent="0.3">
      <c r="H57" s="4" t="s">
        <v>2315</v>
      </c>
      <c r="I57">
        <v>7737568</v>
      </c>
    </row>
    <row r="58" spans="8:9" x14ac:dyDescent="0.3">
      <c r="H58" s="4" t="s">
        <v>2312</v>
      </c>
      <c r="I58">
        <v>7372938</v>
      </c>
    </row>
    <row r="59" spans="8:9" x14ac:dyDescent="0.3">
      <c r="H59" s="4" t="s">
        <v>2316</v>
      </c>
      <c r="I59">
        <v>6954330</v>
      </c>
    </row>
    <row r="60" spans="8:9" x14ac:dyDescent="0.3">
      <c r="H60" s="4" t="s">
        <v>2304</v>
      </c>
      <c r="I60">
        <v>140276820</v>
      </c>
    </row>
  </sheetData>
  <pageMargins left="0.7" right="0.7" top="0.75" bottom="0.75" header="0.3" footer="0.3"/>
  <pageSetup orientation="portrait" r:id="rId16"/>
  <drawing r:id="rId17"/>
  <tableParts count="2">
    <tablePart r:id="rId18"/>
    <tablePart r:id="rId19"/>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42FC1E-496C-485E-B2F4-B6AD37292652}">
  <dimension ref="A2:X28"/>
  <sheetViews>
    <sheetView showGridLines="0" showRowColHeaders="0" zoomScale="72" zoomScaleNormal="72" workbookViewId="0">
      <selection activeCell="B36" sqref="B36"/>
    </sheetView>
  </sheetViews>
  <sheetFormatPr defaultRowHeight="14.4" x14ac:dyDescent="0.3"/>
  <cols>
    <col min="1" max="1" width="19.5546875" bestFit="1" customWidth="1"/>
    <col min="22" max="22" width="8.88671875" customWidth="1"/>
    <col min="23" max="23" width="11.33203125" bestFit="1" customWidth="1"/>
    <col min="24" max="24" width="8.88671875" customWidth="1"/>
  </cols>
  <sheetData>
    <row r="2" spans="1:24" x14ac:dyDescent="0.3">
      <c r="W2" t="str" cm="1">
        <f t="array" ref="W2:X2">'pivot table'!C32:D32</f>
        <v>Smart Phone</v>
      </c>
      <c r="X2">
        <v>45228682</v>
      </c>
    </row>
    <row r="11" spans="1:24" x14ac:dyDescent="0.3">
      <c r="A11">
        <f>GETPIVOTDATA("[Measures].[Count of customer_id]",$A$24)</f>
        <v>500</v>
      </c>
    </row>
    <row r="16" spans="1:24" x14ac:dyDescent="0.3">
      <c r="A16">
        <f>GETPIVOTDATA("[Measures].[Count of order_id]",'pivot table'!$A$3)</f>
        <v>1200</v>
      </c>
    </row>
    <row r="18" spans="1:1" x14ac:dyDescent="0.3">
      <c r="A18">
        <f>GETPIVOTDATA("[Measures].[Count of product_id]",'pivot table'!$A$6)</f>
        <v>80</v>
      </c>
    </row>
    <row r="21" spans="1:1" x14ac:dyDescent="0.3">
      <c r="A21">
        <f>GETPIVOTDATA("[Measures].[Sum of total_amount]",'pivot table'!$C$3)</f>
        <v>140276820</v>
      </c>
    </row>
    <row r="24" spans="1:1" x14ac:dyDescent="0.3">
      <c r="A24" t="s">
        <v>2318</v>
      </c>
    </row>
    <row r="25" spans="1:1" x14ac:dyDescent="0.3">
      <c r="A25">
        <v>500</v>
      </c>
    </row>
    <row r="28" spans="1:1" x14ac:dyDescent="0.3">
      <c r="A28" t="s">
        <v>2341</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Props1.xml><?xml version="1.0" encoding="utf-8"?>
<ds:datastoreItem xmlns:ds="http://schemas.openxmlformats.org/officeDocument/2006/customXml" ds:itemID="{1AD5D442-417A-40F0-8B4D-E5602D763EE2}">
  <ds:schemaRefs/>
</ds:datastoreItem>
</file>

<file path=customXml/itemProps2.xml><?xml version="1.0" encoding="utf-8"?>
<ds:datastoreItem xmlns:ds="http://schemas.openxmlformats.org/officeDocument/2006/customXml" ds:itemID="{F046FCC4-3439-4CC1-90D3-C4CE7A76A1EC}">
  <ds:schemaRefs/>
</ds:datastoreItem>
</file>

<file path=customXml/itemProps3.xml><?xml version="1.0" encoding="utf-8"?>
<ds:datastoreItem xmlns:ds="http://schemas.openxmlformats.org/officeDocument/2006/customXml" ds:itemID="{504C1A3B-5BD0-45BA-B4CF-6E78102BECCD}">
  <ds:schemaRefs/>
</ds:datastoreItem>
</file>

<file path=customXml/itemProps4.xml><?xml version="1.0" encoding="utf-8"?>
<ds:datastoreItem xmlns:ds="http://schemas.openxmlformats.org/officeDocument/2006/customXml" ds:itemID="{C54B5A07-FBB6-4F9F-85CA-FC679BF9352C}">
  <ds:schemaRefs/>
</ds:datastoreItem>
</file>

<file path=customXml/itemProps5.xml><?xml version="1.0" encoding="utf-8"?>
<ds:datastoreItem xmlns:ds="http://schemas.openxmlformats.org/officeDocument/2006/customXml" ds:itemID="{3D194AEF-5112-401E-B570-57ABAC10CF64}">
  <ds:schemaRefs/>
</ds:datastoreItem>
</file>

<file path=customXml/itemProps6.xml><?xml version="1.0" encoding="utf-8"?>
<ds:datastoreItem xmlns:ds="http://schemas.openxmlformats.org/officeDocument/2006/customXml" ds:itemID="{49B2E873-2CB9-43AA-8768-1F1B3A6A31BB}">
  <ds:schemaRefs/>
</ds:datastoreItem>
</file>

<file path=customXml/itemProps7.xml><?xml version="1.0" encoding="utf-8"?>
<ds:datastoreItem xmlns:ds="http://schemas.openxmlformats.org/officeDocument/2006/customXml" ds:itemID="{7BD84E62-D39F-40DD-84C6-416467EB5F09}">
  <ds:schemaRefs/>
</ds:datastoreItem>
</file>

<file path=customXml/itemProps8.xml><?xml version="1.0" encoding="utf-8"?>
<ds:datastoreItem xmlns:ds="http://schemas.openxmlformats.org/officeDocument/2006/customXml" ds:itemID="{4325CC4D-70E4-4DF2-AE61-6EC6DF754B9C}">
  <ds:schemaRefs/>
</ds:datastoreItem>
</file>

<file path=customXml/itemProps9.xml><?xml version="1.0" encoding="utf-8"?>
<ds:datastoreItem xmlns:ds="http://schemas.openxmlformats.org/officeDocument/2006/customXml" ds:itemID="{C8B8297E-EE0C-4865-81CE-ED82B04E8FFA}">
  <ds:schemaRefs/>
</ds:datastoreItem>
</file>

<file path=customXml/itemProps10.xml><?xml version="1.0" encoding="utf-8"?>
<ds:datastoreItem xmlns:ds="http://schemas.openxmlformats.org/officeDocument/2006/customXml" ds:itemID="{4D098049-37C4-4E1B-8337-A2922766C641}">
  <ds:schemaRefs>
    <ds:schemaRef ds:uri="http://schemas.microsoft.com/DataMashup"/>
  </ds:schemaRefs>
</ds:datastoreItem>
</file>

<file path=customXml/itemProps11.xml><?xml version="1.0" encoding="utf-8"?>
<ds:datastoreItem xmlns:ds="http://schemas.openxmlformats.org/officeDocument/2006/customXml" ds:itemID="{57C7DEA1-24EB-4759-BCFF-E593042955D5}">
  <ds:schemaRefs/>
</ds:datastoreItem>
</file>

<file path=customXml/itemProps12.xml><?xml version="1.0" encoding="utf-8"?>
<ds:datastoreItem xmlns:ds="http://schemas.openxmlformats.org/officeDocument/2006/customXml" ds:itemID="{CA98BFBF-84CA-4864-8423-5F4D6326948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messy_products csv</vt:lpstr>
      <vt:lpstr>messy_order_items csv</vt:lpstr>
      <vt:lpstr>messy_orders csv</vt:lpstr>
      <vt:lpstr>messy_customers csv</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manish kumar</dc:creator>
  <cp:lastModifiedBy>manish kumar</cp:lastModifiedBy>
  <dcterms:created xsi:type="dcterms:W3CDTF">2026-05-08T11:03:49Z</dcterms:created>
  <dcterms:modified xsi:type="dcterms:W3CDTF">2026-05-15T03:31:37Z</dcterms:modified>
</cp:coreProperties>
</file>