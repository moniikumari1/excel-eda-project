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R:\"/>
    </mc:Choice>
  </mc:AlternateContent>
  <xr:revisionPtr revIDLastSave="0" documentId="8_{B1BEBB1A-62A0-474D-A2E2-EA475BF43890}" xr6:coauthVersionLast="47" xr6:coauthVersionMax="47" xr10:uidLastSave="{00000000-0000-0000-0000-000000000000}"/>
  <bookViews>
    <workbookView xWindow="-108" yWindow="-108" windowWidth="23256" windowHeight="12456" xr2:uid="{00000000-000D-0000-FFFF-FFFF00000000}"/>
  </bookViews>
  <sheets>
    <sheet name="Ecommerce" sheetId="3" r:id="rId1"/>
    <sheet name="Sheet1" sheetId="10" r:id="rId2"/>
  </sheets>
  <definedNames>
    <definedName name="Slicer_Category">#N/A</definedName>
    <definedName name="Slicer_Month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5" i="3" l="1"/>
  <c r="U10" i="10" s="1"/>
  <c r="W4" i="10"/>
  <c r="V4" i="10"/>
  <c r="U4" i="10"/>
  <c r="O40" i="3"/>
  <c r="P40" i="3"/>
  <c r="N40" i="3"/>
  <c r="N41" i="3"/>
  <c r="P41" i="3"/>
  <c r="O41" i="3"/>
  <c r="W10" i="10"/>
  <c r="V11" i="10"/>
  <c r="K44" i="3"/>
</calcChain>
</file>

<file path=xl/sharedStrings.xml><?xml version="1.0" encoding="utf-8"?>
<sst xmlns="http://schemas.openxmlformats.org/spreadsheetml/2006/main" count="3084" uniqueCount="39">
  <si>
    <t>Sales</t>
  </si>
  <si>
    <t>Order ID</t>
  </si>
  <si>
    <t>Order Date</t>
  </si>
  <si>
    <t>Product</t>
  </si>
  <si>
    <t>Category</t>
  </si>
  <si>
    <t>Profit</t>
  </si>
  <si>
    <t>Region</t>
  </si>
  <si>
    <t>Watch</t>
  </si>
  <si>
    <t>Fashion</t>
  </si>
  <si>
    <t>North</t>
  </si>
  <si>
    <t>Phone</t>
  </si>
  <si>
    <t>Electronics</t>
  </si>
  <si>
    <t>Bag</t>
  </si>
  <si>
    <t>South</t>
  </si>
  <si>
    <t>West</t>
  </si>
  <si>
    <t>Shoes</t>
  </si>
  <si>
    <t>East</t>
  </si>
  <si>
    <t>Laptop</t>
  </si>
  <si>
    <t>Row Labels</t>
  </si>
  <si>
    <t>Grand Total</t>
  </si>
  <si>
    <t>Sum of Sales</t>
  </si>
  <si>
    <t>Sum of Profit</t>
  </si>
  <si>
    <t>Count of Order ID</t>
  </si>
  <si>
    <t>Jan</t>
  </si>
  <si>
    <t>Feb</t>
  </si>
  <si>
    <t>Mar</t>
  </si>
  <si>
    <t>Apr</t>
  </si>
  <si>
    <t>May</t>
  </si>
  <si>
    <t>Jun</t>
  </si>
  <si>
    <t>Jul</t>
  </si>
  <si>
    <t>Aug</t>
  </si>
  <si>
    <t>Sep</t>
  </si>
  <si>
    <t>Oct</t>
  </si>
  <si>
    <t>Nov</t>
  </si>
  <si>
    <t>Dec</t>
  </si>
  <si>
    <t>count order_id</t>
  </si>
  <si>
    <t>total_sale</t>
  </si>
  <si>
    <t>total_profit</t>
  </si>
  <si>
    <t>count_order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</si>
</sst>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2" fontId="0" fillId="0" borderId="0" xfId="0" applyNumberFormat="1"/>
    <xf numFmtId="14" fontId="0" fillId="0" borderId="0" xfId="0" applyNumberFormat="1"/>
    <xf numFmtId="10" fontId="0" fillId="0" borderId="0" xfId="0" applyNumberFormat="1"/>
    <xf numFmtId="164" fontId="0" fillId="0" borderId="0" xfId="0" applyNumberFormat="1"/>
    <xf numFmtId="0" fontId="0" fillId="0" borderId="0" xfId="0" applyNumberFormat="1"/>
  </cellXfs>
  <cellStyles count="1">
    <cellStyle name="Normal" xfId="0" builtinId="0"/>
  </cellStyles>
  <dxfs count="0"/>
  <tableStyles count="1" defaultTableStyle="TableStyleMedium9" defaultPivotStyle="PivotStyleLight16">
    <tableStyle name="Slicer Style 1" pivot="0" table="0" count="0" xr9:uid="{644E331F-ECBD-41F8-925D-0BB0BB459C3F}"/>
  </tableStyles>
  <colors>
    <mruColors>
      <color rgb="FF231B2D"/>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&amp; profit dataset.xlsx]Ecommerce!PivotTable1</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month</a:t>
            </a:r>
            <a:r>
              <a:rPr lang="en-US" b="1" baseline="0">
                <a:solidFill>
                  <a:schemeClr val="tx1"/>
                </a:solidFill>
              </a:rPr>
              <a:t> by sale</a:t>
            </a:r>
            <a:endParaRPr lang="en-US" b="1">
              <a:solidFill>
                <a:schemeClr val="tx1"/>
              </a:solidFill>
            </a:endParaRPr>
          </a:p>
        </c:rich>
      </c:tx>
      <c:layout>
        <c:manualLayout>
          <c:xMode val="edge"/>
          <c:yMode val="edge"/>
          <c:x val="0.20513308699334745"/>
          <c:y val="3.11600584663196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lumMod val="50000"/>
              </a:schemeClr>
            </a:solidFill>
            <a:round/>
          </a:ln>
          <a:effectLst/>
        </c:spPr>
        <c:marker>
          <c:symbol val="circle"/>
          <c:size val="5"/>
          <c:spPr>
            <a:solidFill>
              <a:schemeClr val="accent4">
                <a:lumMod val="20000"/>
                <a:lumOff val="8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4">
                <a:lumMod val="50000"/>
              </a:schemeClr>
            </a:solidFill>
            <a:round/>
          </a:ln>
          <a:effectLst/>
        </c:spPr>
        <c:marker>
          <c:symbol val="circle"/>
          <c:size val="5"/>
          <c:spPr>
            <a:solidFill>
              <a:schemeClr val="accent4">
                <a:lumMod val="20000"/>
                <a:lumOff val="80000"/>
              </a:schemeClr>
            </a:solidFill>
            <a:ln w="9525">
              <a:solidFill>
                <a:schemeClr val="accent1"/>
              </a:solidFill>
            </a:ln>
            <a:effectLst/>
          </c:spPr>
        </c:marker>
        <c:dLbl>
          <c:idx val="0"/>
          <c:layout>
            <c:manualLayout>
              <c:x val="-5.7125098268181421E-2"/>
              <c:y val="-4.4838015432792984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4">
                <a:lumMod val="50000"/>
              </a:schemeClr>
            </a:solidFill>
            <a:round/>
          </a:ln>
          <a:effectLst/>
        </c:spPr>
        <c:marker>
          <c:symbol val="circle"/>
          <c:size val="5"/>
          <c:spPr>
            <a:solidFill>
              <a:schemeClr val="accent4">
                <a:lumMod val="20000"/>
                <a:lumOff val="80000"/>
              </a:schemeClr>
            </a:solidFill>
            <a:ln w="9525">
              <a:solidFill>
                <a:schemeClr val="accent1"/>
              </a:solidFill>
            </a:ln>
            <a:effectLst/>
          </c:spPr>
        </c:marker>
        <c:dLbl>
          <c:idx val="0"/>
          <c:layout>
            <c:manualLayout>
              <c:x val="-8.9821393270411054E-2"/>
              <c:y val="-6.5919705321134753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fld id="{F7393AEB-A536-4C70-A893-A22A64B0E050}" type="VALUE">
                  <a:rPr lang="en-US" b="1">
                    <a:solidFill>
                      <a:schemeClr val="accent4">
                        <a:lumMod val="50000"/>
                      </a:schemeClr>
                    </a:solidFill>
                  </a:rPr>
                  <a:pPr>
                    <a:defRPr b="1">
                      <a:solidFill>
                        <a:schemeClr val="accent4">
                          <a:lumMod val="50000"/>
                        </a:schemeClr>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ln w="28575" cap="rnd">
            <a:solidFill>
              <a:schemeClr val="accent4">
                <a:lumMod val="50000"/>
              </a:schemeClr>
            </a:solidFill>
            <a:round/>
          </a:ln>
          <a:effectLst/>
        </c:spPr>
        <c:marker>
          <c:symbol val="circle"/>
          <c:size val="5"/>
          <c:spPr>
            <a:solidFill>
              <a:schemeClr val="accent4">
                <a:lumMod val="20000"/>
                <a:lumOff val="80000"/>
              </a:schemeClr>
            </a:solidFill>
            <a:ln w="9525">
              <a:solidFill>
                <a:schemeClr val="accent1"/>
              </a:solidFill>
            </a:ln>
            <a:effectLst/>
          </c:spPr>
        </c:marker>
        <c:dLbl>
          <c:idx val="0"/>
          <c:layout>
            <c:manualLayout>
              <c:x val="-5.9460547911197786E-2"/>
              <c:y val="-6.3284701582039735E-2"/>
            </c:manualLayout>
          </c:layout>
          <c:spPr>
            <a:noFill/>
            <a:ln>
              <a:noFill/>
            </a:ln>
            <a:effectLst/>
          </c:spPr>
          <c:txPr>
            <a:bodyPr rot="0" spcFirstLastPara="1" vertOverflow="ellipsis" vert="horz" wrap="square" lIns="38100" tIns="19050" rIns="38100" bIns="19050" anchor="ctr" anchorCtr="0">
              <a:noAutofit/>
            </a:bodyPr>
            <a:lstStyle/>
            <a:p>
              <a:pPr algn="ctr" rtl="0">
                <a:defRPr lang="en-US" sz="900" b="1"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8.8560250463182194E-2"/>
                  <c:h val="8.9518333185318835E-2"/>
                </c:manualLayout>
              </c15:layout>
            </c:ext>
          </c:extLst>
        </c:dLbl>
      </c:pivotFmt>
      <c:pivotFmt>
        <c:idx val="6"/>
        <c:spPr>
          <a:ln w="28575" cap="rnd">
            <a:solidFill>
              <a:schemeClr val="accent4">
                <a:lumMod val="50000"/>
              </a:schemeClr>
            </a:solidFill>
            <a:round/>
          </a:ln>
          <a:effectLst/>
        </c:spPr>
        <c:marker>
          <c:symbol val="circle"/>
          <c:size val="5"/>
          <c:spPr>
            <a:solidFill>
              <a:schemeClr val="accent4">
                <a:lumMod val="20000"/>
                <a:lumOff val="80000"/>
              </a:schemeClr>
            </a:solidFill>
            <a:ln w="9525">
              <a:solidFill>
                <a:schemeClr val="accent1"/>
              </a:solidFill>
            </a:ln>
            <a:effectLst/>
          </c:spPr>
        </c:marker>
        <c:dLbl>
          <c:idx val="0"/>
          <c:layout>
            <c:manualLayout>
              <c:x val="-8.0479594698345439E-2"/>
              <c:y val="4.4759166592659425E-2"/>
            </c:manualLayout>
          </c:layout>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4">
                <a:lumMod val="50000"/>
              </a:schemeClr>
            </a:solidFill>
            <a:round/>
          </a:ln>
          <a:effectLst/>
        </c:spPr>
        <c:marker>
          <c:symbol val="circle"/>
          <c:size val="5"/>
          <c:spPr>
            <a:solidFill>
              <a:schemeClr val="accent4">
                <a:lumMod val="20000"/>
                <a:lumOff val="80000"/>
              </a:schemeClr>
            </a:solidFill>
            <a:ln w="9525">
              <a:solidFill>
                <a:schemeClr val="accent1"/>
              </a:solidFill>
            </a:ln>
            <a:effectLst/>
          </c:spPr>
        </c:marker>
        <c:dLbl>
          <c:idx val="0"/>
          <c:layout>
            <c:manualLayout>
              <c:x val="-5.9460547911197703E-2"/>
              <c:y val="-5.0108437904878442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4">
                <a:lumMod val="50000"/>
              </a:schemeClr>
            </a:solidFill>
            <a:round/>
          </a:ln>
          <a:effectLst/>
        </c:spPr>
        <c:marker>
          <c:symbol val="circle"/>
          <c:size val="5"/>
          <c:spPr>
            <a:solidFill>
              <a:schemeClr val="accent4">
                <a:lumMod val="20000"/>
                <a:lumOff val="80000"/>
              </a:schemeClr>
            </a:solidFill>
            <a:ln w="9525">
              <a:solidFill>
                <a:schemeClr val="accent1"/>
              </a:solidFill>
            </a:ln>
            <a:effectLst/>
          </c:spPr>
        </c:marker>
        <c:dLbl>
          <c:idx val="0"/>
          <c:layout>
            <c:manualLayout>
              <c:x val="-5.9460547911197745E-2"/>
              <c:y val="-6.0649282849049288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4">
                <a:lumMod val="50000"/>
              </a:schemeClr>
            </a:solidFill>
            <a:round/>
          </a:ln>
          <a:effectLst/>
        </c:spPr>
        <c:marker>
          <c:symbol val="circle"/>
          <c:size val="5"/>
          <c:spPr>
            <a:solidFill>
              <a:schemeClr val="accent4">
                <a:lumMod val="20000"/>
                <a:lumOff val="80000"/>
              </a:schemeClr>
            </a:solidFill>
            <a:ln w="9525">
              <a:solidFill>
                <a:schemeClr val="accent1"/>
              </a:solidFill>
            </a:ln>
            <a:effectLst/>
          </c:spPr>
        </c:marker>
        <c:dLbl>
          <c:idx val="0"/>
          <c:layout>
            <c:manualLayout>
              <c:x val="-3.143515219500085E-2"/>
              <c:y val="5.5300011536830292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4">
                <a:lumMod val="50000"/>
              </a:schemeClr>
            </a:solidFill>
            <a:round/>
          </a:ln>
          <a:effectLst/>
        </c:spPr>
        <c:marker>
          <c:symbol val="circle"/>
          <c:size val="5"/>
          <c:spPr>
            <a:solidFill>
              <a:schemeClr val="accent4">
                <a:lumMod val="20000"/>
                <a:lumOff val="80000"/>
              </a:schemeClr>
            </a:solidFill>
            <a:ln w="9525">
              <a:solidFill>
                <a:schemeClr val="accent1"/>
              </a:solidFill>
            </a:ln>
            <a:effectLst/>
          </c:spPr>
        </c:marker>
        <c:dLbl>
          <c:idx val="0"/>
          <c:layout>
            <c:manualLayout>
              <c:x val="-5.7125098268181511E-2"/>
              <c:y val="-4.4838015432793005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4">
                <a:lumMod val="50000"/>
              </a:schemeClr>
            </a:solidFill>
            <a:round/>
          </a:ln>
          <a:effectLst/>
        </c:spPr>
        <c:marker>
          <c:symbol val="circle"/>
          <c:size val="5"/>
          <c:spPr>
            <a:solidFill>
              <a:schemeClr val="accent4">
                <a:lumMod val="20000"/>
                <a:lumOff val="80000"/>
              </a:schemeClr>
            </a:solidFill>
            <a:ln w="9525">
              <a:solidFill>
                <a:schemeClr val="accent1"/>
              </a:solidFill>
            </a:ln>
            <a:effectLst/>
          </c:spPr>
        </c:marker>
      </c:pivotFmt>
      <c:pivotFmt>
        <c:idx val="12"/>
        <c:spPr>
          <a:ln w="28575" cap="rnd">
            <a:solidFill>
              <a:schemeClr val="accent4">
                <a:lumMod val="50000"/>
              </a:schemeClr>
            </a:solidFill>
            <a:round/>
          </a:ln>
          <a:effectLst/>
        </c:spPr>
        <c:marker>
          <c:symbol val="circle"/>
          <c:size val="5"/>
          <c:spPr>
            <a:solidFill>
              <a:schemeClr val="accent4">
                <a:lumMod val="20000"/>
                <a:lumOff val="80000"/>
              </a:schemeClr>
            </a:solidFill>
            <a:ln w="9525">
              <a:solidFill>
                <a:schemeClr val="accent1"/>
              </a:solidFill>
            </a:ln>
            <a:effectLst/>
          </c:spPr>
        </c:marker>
      </c:pivotFmt>
      <c:pivotFmt>
        <c:idx val="13"/>
        <c:spPr>
          <a:ln w="28575" cap="rnd">
            <a:solidFill>
              <a:schemeClr val="accent4">
                <a:lumMod val="50000"/>
              </a:schemeClr>
            </a:solidFill>
            <a:round/>
          </a:ln>
          <a:effectLst/>
        </c:spPr>
        <c:marker>
          <c:symbol val="circle"/>
          <c:size val="5"/>
          <c:spPr>
            <a:solidFill>
              <a:schemeClr val="accent4">
                <a:lumMod val="20000"/>
                <a:lumOff val="80000"/>
              </a:schemeClr>
            </a:solidFill>
            <a:ln w="9525">
              <a:solidFill>
                <a:schemeClr val="accent1"/>
              </a:solidFill>
            </a:ln>
            <a:effectLst/>
          </c:spPr>
        </c:marker>
      </c:pivotFmt>
      <c:pivotFmt>
        <c:idx val="14"/>
        <c:spPr>
          <a:ln w="28575" cap="rnd">
            <a:solidFill>
              <a:schemeClr val="accent4">
                <a:lumMod val="50000"/>
              </a:schemeClr>
            </a:solidFill>
            <a:round/>
          </a:ln>
          <a:effectLst/>
        </c:spPr>
        <c:marker>
          <c:symbol val="circle"/>
          <c:size val="5"/>
          <c:spPr>
            <a:solidFill>
              <a:schemeClr val="accent4">
                <a:lumMod val="20000"/>
                <a:lumOff val="80000"/>
              </a:schemeClr>
            </a:solidFill>
            <a:ln w="9525">
              <a:solidFill>
                <a:schemeClr val="accent1"/>
              </a:solidFill>
            </a:ln>
            <a:effectLst/>
          </c:spPr>
        </c:marker>
      </c:pivotFmt>
    </c:pivotFmts>
    <c:plotArea>
      <c:layout>
        <c:manualLayout>
          <c:layoutTarget val="inner"/>
          <c:xMode val="edge"/>
          <c:yMode val="edge"/>
          <c:x val="0.12923753085965695"/>
          <c:y val="8.7818933183492862E-2"/>
          <c:w val="0.86382268972080345"/>
          <c:h val="0.68466430694100056"/>
        </c:manualLayout>
      </c:layout>
      <c:lineChart>
        <c:grouping val="standard"/>
        <c:varyColors val="0"/>
        <c:ser>
          <c:idx val="0"/>
          <c:order val="0"/>
          <c:tx>
            <c:strRef>
              <c:f>Ecommerce!$N$23</c:f>
              <c:strCache>
                <c:ptCount val="1"/>
                <c:pt idx="0">
                  <c:v>Total</c:v>
                </c:pt>
              </c:strCache>
            </c:strRef>
          </c:tx>
          <c:spPr>
            <a:ln w="28575" cap="rnd">
              <a:solidFill>
                <a:schemeClr val="accent4">
                  <a:lumMod val="50000"/>
                </a:schemeClr>
              </a:solidFill>
              <a:round/>
            </a:ln>
            <a:effectLst/>
          </c:spPr>
          <c:marker>
            <c:symbol val="circle"/>
            <c:size val="5"/>
            <c:spPr>
              <a:solidFill>
                <a:schemeClr val="accent4">
                  <a:lumMod val="20000"/>
                  <a:lumOff val="80000"/>
                </a:schemeClr>
              </a:solidFill>
              <a:ln w="9525">
                <a:solidFill>
                  <a:schemeClr val="accent1"/>
                </a:solidFill>
              </a:ln>
              <a:effectLst/>
            </c:spPr>
          </c:marker>
          <c:dPt>
            <c:idx val="0"/>
            <c:marker>
              <c:symbol val="circle"/>
              <c:size val="5"/>
              <c:spPr>
                <a:solidFill>
                  <a:schemeClr val="accent4">
                    <a:lumMod val="20000"/>
                    <a:lumOff val="80000"/>
                  </a:schemeClr>
                </a:solidFill>
                <a:ln w="9525">
                  <a:solidFill>
                    <a:schemeClr val="accent1"/>
                  </a:solidFill>
                </a:ln>
                <a:effectLst/>
              </c:spPr>
            </c:marker>
            <c:bubble3D val="0"/>
            <c:spPr>
              <a:ln w="28575" cap="rnd">
                <a:solidFill>
                  <a:schemeClr val="accent4">
                    <a:lumMod val="50000"/>
                  </a:schemeClr>
                </a:solidFill>
                <a:round/>
              </a:ln>
              <a:effectLst/>
            </c:spPr>
            <c:extLst>
              <c:ext xmlns:c16="http://schemas.microsoft.com/office/drawing/2014/chart" uri="{C3380CC4-5D6E-409C-BE32-E72D297353CC}">
                <c16:uniqueId val="{00000000-54B2-4EF1-BA80-F4DA050B5D00}"/>
              </c:ext>
            </c:extLst>
          </c:dPt>
          <c:dPt>
            <c:idx val="1"/>
            <c:marker>
              <c:symbol val="circle"/>
              <c:size val="5"/>
              <c:spPr>
                <a:solidFill>
                  <a:schemeClr val="accent4">
                    <a:lumMod val="20000"/>
                    <a:lumOff val="80000"/>
                  </a:schemeClr>
                </a:solidFill>
                <a:ln w="9525">
                  <a:solidFill>
                    <a:schemeClr val="accent1"/>
                  </a:solidFill>
                </a:ln>
                <a:effectLst/>
              </c:spPr>
            </c:marker>
            <c:bubble3D val="0"/>
            <c:spPr>
              <a:ln w="28575" cap="rnd">
                <a:solidFill>
                  <a:schemeClr val="accent4">
                    <a:lumMod val="50000"/>
                  </a:schemeClr>
                </a:solidFill>
                <a:round/>
              </a:ln>
              <a:effectLst/>
            </c:spPr>
            <c:extLst>
              <c:ext xmlns:c16="http://schemas.microsoft.com/office/drawing/2014/chart" uri="{C3380CC4-5D6E-409C-BE32-E72D297353CC}">
                <c16:uniqueId val="{00000001-54B2-4EF1-BA80-F4DA050B5D00}"/>
              </c:ext>
            </c:extLst>
          </c:dPt>
          <c:dPt>
            <c:idx val="2"/>
            <c:marker>
              <c:symbol val="circle"/>
              <c:size val="5"/>
              <c:spPr>
                <a:solidFill>
                  <a:schemeClr val="accent4">
                    <a:lumMod val="20000"/>
                    <a:lumOff val="80000"/>
                  </a:schemeClr>
                </a:solidFill>
                <a:ln w="9525">
                  <a:solidFill>
                    <a:schemeClr val="accent1"/>
                  </a:solidFill>
                </a:ln>
                <a:effectLst/>
              </c:spPr>
            </c:marker>
            <c:bubble3D val="0"/>
            <c:spPr>
              <a:ln w="28575" cap="rnd">
                <a:solidFill>
                  <a:schemeClr val="accent4">
                    <a:lumMod val="50000"/>
                  </a:schemeClr>
                </a:solidFill>
                <a:round/>
              </a:ln>
              <a:effectLst/>
            </c:spPr>
            <c:extLst>
              <c:ext xmlns:c16="http://schemas.microsoft.com/office/drawing/2014/chart" uri="{C3380CC4-5D6E-409C-BE32-E72D297353CC}">
                <c16:uniqueId val="{00000002-54B2-4EF1-BA80-F4DA050B5D00}"/>
              </c:ext>
            </c:extLst>
          </c:dPt>
          <c:dPt>
            <c:idx val="4"/>
            <c:marker>
              <c:symbol val="circle"/>
              <c:size val="5"/>
              <c:spPr>
                <a:solidFill>
                  <a:schemeClr val="accent4">
                    <a:lumMod val="20000"/>
                    <a:lumOff val="80000"/>
                  </a:schemeClr>
                </a:solidFill>
                <a:ln w="9525">
                  <a:solidFill>
                    <a:schemeClr val="accent1"/>
                  </a:solidFill>
                </a:ln>
                <a:effectLst/>
              </c:spPr>
            </c:marker>
            <c:bubble3D val="0"/>
            <c:spPr>
              <a:ln w="28575" cap="rnd">
                <a:solidFill>
                  <a:schemeClr val="accent4">
                    <a:lumMod val="50000"/>
                  </a:schemeClr>
                </a:solidFill>
                <a:round/>
              </a:ln>
              <a:effectLst/>
            </c:spPr>
            <c:extLst>
              <c:ext xmlns:c16="http://schemas.microsoft.com/office/drawing/2014/chart" uri="{C3380CC4-5D6E-409C-BE32-E72D297353CC}">
                <c16:uniqueId val="{00000003-54B2-4EF1-BA80-F4DA050B5D00}"/>
              </c:ext>
            </c:extLst>
          </c:dPt>
          <c:dPt>
            <c:idx val="6"/>
            <c:marker>
              <c:symbol val="circle"/>
              <c:size val="5"/>
              <c:spPr>
                <a:solidFill>
                  <a:schemeClr val="accent4">
                    <a:lumMod val="20000"/>
                    <a:lumOff val="80000"/>
                  </a:schemeClr>
                </a:solidFill>
                <a:ln w="9525">
                  <a:solidFill>
                    <a:schemeClr val="accent1"/>
                  </a:solidFill>
                </a:ln>
                <a:effectLst/>
              </c:spPr>
            </c:marker>
            <c:bubble3D val="0"/>
            <c:spPr>
              <a:ln w="28575" cap="rnd">
                <a:solidFill>
                  <a:schemeClr val="accent4">
                    <a:lumMod val="50000"/>
                  </a:schemeClr>
                </a:solidFill>
                <a:round/>
              </a:ln>
              <a:effectLst/>
            </c:spPr>
            <c:extLst>
              <c:ext xmlns:c16="http://schemas.microsoft.com/office/drawing/2014/chart" uri="{C3380CC4-5D6E-409C-BE32-E72D297353CC}">
                <c16:uniqueId val="{00000004-54B2-4EF1-BA80-F4DA050B5D00}"/>
              </c:ext>
            </c:extLst>
          </c:dPt>
          <c:dPt>
            <c:idx val="8"/>
            <c:marker>
              <c:symbol val="circle"/>
              <c:size val="5"/>
              <c:spPr>
                <a:solidFill>
                  <a:schemeClr val="accent4">
                    <a:lumMod val="20000"/>
                    <a:lumOff val="80000"/>
                  </a:schemeClr>
                </a:solidFill>
                <a:ln w="9525">
                  <a:solidFill>
                    <a:schemeClr val="accent1"/>
                  </a:solidFill>
                </a:ln>
                <a:effectLst/>
              </c:spPr>
            </c:marker>
            <c:bubble3D val="0"/>
            <c:spPr>
              <a:ln w="28575" cap="rnd">
                <a:solidFill>
                  <a:schemeClr val="accent4">
                    <a:lumMod val="50000"/>
                  </a:schemeClr>
                </a:solidFill>
                <a:round/>
              </a:ln>
              <a:effectLst/>
            </c:spPr>
            <c:extLst>
              <c:ext xmlns:c16="http://schemas.microsoft.com/office/drawing/2014/chart" uri="{C3380CC4-5D6E-409C-BE32-E72D297353CC}">
                <c16:uniqueId val="{00000006-54B2-4EF1-BA80-F4DA050B5D00}"/>
              </c:ext>
            </c:extLst>
          </c:dPt>
          <c:dPt>
            <c:idx val="9"/>
            <c:marker>
              <c:symbol val="circle"/>
              <c:size val="5"/>
              <c:spPr>
                <a:solidFill>
                  <a:schemeClr val="accent4">
                    <a:lumMod val="20000"/>
                    <a:lumOff val="80000"/>
                  </a:schemeClr>
                </a:solidFill>
                <a:ln w="9525">
                  <a:solidFill>
                    <a:schemeClr val="accent1"/>
                  </a:solidFill>
                </a:ln>
                <a:effectLst/>
              </c:spPr>
            </c:marker>
            <c:bubble3D val="0"/>
            <c:spPr>
              <a:ln w="28575" cap="rnd">
                <a:solidFill>
                  <a:schemeClr val="accent4">
                    <a:lumMod val="50000"/>
                  </a:schemeClr>
                </a:solidFill>
                <a:round/>
              </a:ln>
              <a:effectLst/>
            </c:spPr>
            <c:extLst>
              <c:ext xmlns:c16="http://schemas.microsoft.com/office/drawing/2014/chart" uri="{C3380CC4-5D6E-409C-BE32-E72D297353CC}">
                <c16:uniqueId val="{00000005-54B2-4EF1-BA80-F4DA050B5D00}"/>
              </c:ext>
            </c:extLst>
          </c:dPt>
          <c:dPt>
            <c:idx val="11"/>
            <c:marker>
              <c:symbol val="circle"/>
              <c:size val="5"/>
              <c:spPr>
                <a:solidFill>
                  <a:schemeClr val="accent4">
                    <a:lumMod val="20000"/>
                    <a:lumOff val="80000"/>
                  </a:schemeClr>
                </a:solidFill>
                <a:ln w="9525">
                  <a:solidFill>
                    <a:schemeClr val="accent1"/>
                  </a:solidFill>
                </a:ln>
                <a:effectLst/>
              </c:spPr>
            </c:marker>
            <c:bubble3D val="0"/>
            <c:spPr>
              <a:ln w="28575" cap="rnd">
                <a:solidFill>
                  <a:schemeClr val="accent4">
                    <a:lumMod val="50000"/>
                  </a:schemeClr>
                </a:solidFill>
                <a:round/>
              </a:ln>
              <a:effectLst/>
            </c:spPr>
            <c:extLst>
              <c:ext xmlns:c16="http://schemas.microsoft.com/office/drawing/2014/chart" uri="{C3380CC4-5D6E-409C-BE32-E72D297353CC}">
                <c16:uniqueId val="{00000007-54B2-4EF1-BA80-F4DA050B5D00}"/>
              </c:ext>
            </c:extLst>
          </c:dPt>
          <c:dLbls>
            <c:dLbl>
              <c:idx val="0"/>
              <c:layout>
                <c:manualLayout>
                  <c:x val="-8.0479594698345439E-2"/>
                  <c:y val="4.4759166592659425E-2"/>
                </c:manualLayout>
              </c:layout>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B2-4EF1-BA80-F4DA050B5D00}"/>
                </c:ext>
              </c:extLst>
            </c:dLbl>
            <c:dLbl>
              <c:idx val="1"/>
              <c:layout>
                <c:manualLayout>
                  <c:x val="-8.9821393270411054E-2"/>
                  <c:y val="-6.5919705321134753E-2"/>
                </c:manualLayout>
              </c:layout>
              <c:tx>
                <c:rich>
                  <a:bodyPr/>
                  <a:lstStyle/>
                  <a:p>
                    <a:fld id="{F7393AEB-A536-4C70-A893-A22A64B0E050}" type="VALUE">
                      <a:rPr lang="en-US" b="1">
                        <a:solidFill>
                          <a:schemeClr val="accent4">
                            <a:lumMod val="50000"/>
                          </a:schemeClr>
                        </a:solidFill>
                      </a:rPr>
                      <a:pPr/>
                      <a:t>[VALUE]</a:t>
                    </a:fld>
                    <a:endParaRPr lang="en-IN"/>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4B2-4EF1-BA80-F4DA050B5D00}"/>
                </c:ext>
              </c:extLst>
            </c:dLbl>
            <c:dLbl>
              <c:idx val="2"/>
              <c:layout>
                <c:manualLayout>
                  <c:x val="-5.9460547911197786E-2"/>
                  <c:y val="-6.3284701582039735E-2"/>
                </c:manualLayout>
              </c:layout>
              <c:spPr>
                <a:noFill/>
                <a:ln>
                  <a:noFill/>
                </a:ln>
                <a:effectLst/>
              </c:spPr>
              <c:txPr>
                <a:bodyPr rot="0" spcFirstLastPara="1" vertOverflow="ellipsis" vert="horz" wrap="square" lIns="38100" tIns="19050" rIns="38100" bIns="19050" anchor="ctr" anchorCtr="0">
                  <a:noAutofit/>
                </a:bodyPr>
                <a:lstStyle/>
                <a:p>
                  <a:pPr algn="ctr" rtl="0">
                    <a:defRPr lang="en-US" sz="900" b="1"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8.8560250463182194E-2"/>
                      <c:h val="8.9518333185318835E-2"/>
                    </c:manualLayout>
                  </c15:layout>
                </c:ext>
                <c:ext xmlns:c16="http://schemas.microsoft.com/office/drawing/2014/chart" uri="{C3380CC4-5D6E-409C-BE32-E72D297353CC}">
                  <c16:uniqueId val="{00000002-54B2-4EF1-BA80-F4DA050B5D00}"/>
                </c:ext>
              </c:extLst>
            </c:dLbl>
            <c:dLbl>
              <c:idx val="4"/>
              <c:layout>
                <c:manualLayout>
                  <c:x val="-5.9460547911197703E-2"/>
                  <c:y val="-5.0108437904878442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B2-4EF1-BA80-F4DA050B5D00}"/>
                </c:ext>
              </c:extLst>
            </c:dLbl>
            <c:dLbl>
              <c:idx val="6"/>
              <c:layout>
                <c:manualLayout>
                  <c:x val="-5.7125098268181421E-2"/>
                  <c:y val="-4.4838015432792984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B2-4EF1-BA80-F4DA050B5D00}"/>
                </c:ext>
              </c:extLst>
            </c:dLbl>
            <c:dLbl>
              <c:idx val="8"/>
              <c:layout>
                <c:manualLayout>
                  <c:x val="-3.143515219500085E-2"/>
                  <c:y val="5.5300011536830292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B2-4EF1-BA80-F4DA050B5D00}"/>
                </c:ext>
              </c:extLst>
            </c:dLbl>
            <c:dLbl>
              <c:idx val="9"/>
              <c:layout>
                <c:manualLayout>
                  <c:x val="-5.9460547911197745E-2"/>
                  <c:y val="-6.0649282849049288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B2-4EF1-BA80-F4DA050B5D00}"/>
                </c:ext>
              </c:extLst>
            </c:dLbl>
            <c:dLbl>
              <c:idx val="11"/>
              <c:layout>
                <c:manualLayout>
                  <c:x val="-5.7125098268181511E-2"/>
                  <c:y val="-4.4838015432793005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accent4">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B2-4EF1-BA80-F4DA050B5D0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Ecommerce!$M$24:$M$36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Ecommerce!$N$24:$N$36</c:f>
              <c:numCache>
                <c:formatCode>General</c:formatCode>
                <c:ptCount val="12"/>
                <c:pt idx="0">
                  <c:v>2006352</c:v>
                </c:pt>
                <c:pt idx="1">
                  <c:v>2011766</c:v>
                </c:pt>
                <c:pt idx="2">
                  <c:v>2311515</c:v>
                </c:pt>
                <c:pt idx="3">
                  <c:v>1948428</c:v>
                </c:pt>
                <c:pt idx="4">
                  <c:v>2640667</c:v>
                </c:pt>
                <c:pt idx="5">
                  <c:v>1905423</c:v>
                </c:pt>
                <c:pt idx="6">
                  <c:v>2018529</c:v>
                </c:pt>
                <c:pt idx="7">
                  <c:v>1636304</c:v>
                </c:pt>
                <c:pt idx="8">
                  <c:v>1500856</c:v>
                </c:pt>
                <c:pt idx="9">
                  <c:v>2059600</c:v>
                </c:pt>
                <c:pt idx="10">
                  <c:v>1780628</c:v>
                </c:pt>
                <c:pt idx="11">
                  <c:v>2591599</c:v>
                </c:pt>
              </c:numCache>
            </c:numRef>
          </c:val>
          <c:smooth val="0"/>
          <c:extLst>
            <c:ext xmlns:c16="http://schemas.microsoft.com/office/drawing/2014/chart" uri="{C3380CC4-5D6E-409C-BE32-E72D297353CC}">
              <c16:uniqueId val="{00000000-0E5F-45F5-AB39-915127EA3013}"/>
            </c:ext>
          </c:extLst>
        </c:ser>
        <c:dLbls>
          <c:dLblPos val="b"/>
          <c:showLegendKey val="0"/>
          <c:showVal val="1"/>
          <c:showCatName val="0"/>
          <c:showSerName val="0"/>
          <c:showPercent val="0"/>
          <c:showBubbleSize val="0"/>
        </c:dLbls>
        <c:marker val="1"/>
        <c:smooth val="0"/>
        <c:axId val="1876629392"/>
        <c:axId val="1876629872"/>
      </c:lineChart>
      <c:catAx>
        <c:axId val="1876629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629872"/>
        <c:crosses val="autoZero"/>
        <c:auto val="1"/>
        <c:lblAlgn val="ctr"/>
        <c:lblOffset val="100"/>
        <c:noMultiLvlLbl val="0"/>
      </c:catAx>
      <c:valAx>
        <c:axId val="1876629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629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&amp; profit dataset.xlsx]Ecommerce!PivotTable11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region by sale and profit</a:t>
            </a:r>
          </a:p>
        </c:rich>
      </c:tx>
      <c:layout>
        <c:manualLayout>
          <c:xMode val="edge"/>
          <c:yMode val="edge"/>
          <c:x val="0.15124819700672712"/>
          <c:y val="2.05128205128205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c:spPr>
        <c:dLbl>
          <c:idx val="0"/>
          <c:layout>
            <c:manualLayout>
              <c:x val="-1.1917145976259421E-16"/>
              <c:y val="0.63641589746080762"/>
            </c:manualLayout>
          </c:layout>
          <c:tx>
            <c:rich>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BD435541-A067-4094-A691-DA836EEDC187}" type="VALUE">
                  <a:rPr lang="en-US" b="1">
                    <a:solidFill>
                      <a:schemeClr val="bg1"/>
                    </a:solidFill>
                  </a:rPr>
                  <a:pPr>
                    <a:defRPr b="1">
                      <a:solidFill>
                        <a:schemeClr val="bg1"/>
                      </a:solidFill>
                    </a:defRPr>
                  </a:pPr>
                  <a:t>[VALUE]</a:t>
                </a:fld>
                <a:endParaRPr lang="en-IN"/>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4">
              <a:lumMod val="75000"/>
            </a:schemeClr>
          </a:solidFill>
          <a:ln>
            <a:noFill/>
          </a:ln>
          <a:effectLst/>
        </c:spPr>
      </c:pivotFmt>
      <c:pivotFmt>
        <c:idx val="8"/>
        <c:spPr>
          <a:solidFill>
            <a:schemeClr val="accent4">
              <a:lumMod val="75000"/>
            </a:schemeClr>
          </a:solidFill>
          <a:ln>
            <a:noFill/>
          </a:ln>
          <a:effectLst/>
        </c:spPr>
      </c:pivotFmt>
      <c:pivotFmt>
        <c:idx val="9"/>
        <c:spPr>
          <a:solidFill>
            <a:schemeClr val="accent4">
              <a:lumMod val="75000"/>
            </a:schemeClr>
          </a:solidFill>
          <a:ln>
            <a:noFill/>
          </a:ln>
          <a:effectLst/>
        </c:spPr>
      </c:pivotFmt>
      <c:pivotFmt>
        <c:idx val="10"/>
        <c:spPr>
          <a:solidFill>
            <a:schemeClr val="accent1"/>
          </a:solidFill>
          <a:ln>
            <a:noFill/>
          </a:ln>
          <a:effectLst/>
        </c:spPr>
        <c:dLbl>
          <c:idx val="0"/>
          <c:layout>
            <c:manualLayout>
              <c:x val="7.1503701864880018E-2"/>
              <c:y val="-1.01967531771517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2.9251514399269037E-2"/>
              <c:y val="-3.05902595314551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3.2501682665854521E-2"/>
              <c:y val="-1.52951297657275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2.9251514399269096E-2"/>
              <c:y val="-1.52951297657275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23742980878632"/>
          <c:y val="0.1137299281530348"/>
          <c:w val="0.71977820952765437"/>
          <c:h val="0.79348844976834498"/>
        </c:manualLayout>
      </c:layout>
      <c:barChart>
        <c:barDir val="col"/>
        <c:grouping val="clustered"/>
        <c:varyColors val="0"/>
        <c:ser>
          <c:idx val="0"/>
          <c:order val="0"/>
          <c:tx>
            <c:strRef>
              <c:f>Ecommerce!$O$1</c:f>
              <c:strCache>
                <c:ptCount val="1"/>
                <c:pt idx="0">
                  <c:v>Sum of Sales</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6-2E64-430F-88F7-7C24BCF7014F}"/>
              </c:ext>
            </c:extLst>
          </c:dPt>
          <c:dPt>
            <c:idx val="1"/>
            <c:invertIfNegative val="0"/>
            <c:bubble3D val="0"/>
            <c:extLst>
              <c:ext xmlns:c16="http://schemas.microsoft.com/office/drawing/2014/chart" uri="{C3380CC4-5D6E-409C-BE32-E72D297353CC}">
                <c16:uniqueId val="{00000005-2E64-430F-88F7-7C24BCF7014F}"/>
              </c:ext>
            </c:extLst>
          </c:dPt>
          <c:dPt>
            <c:idx val="2"/>
            <c:invertIfNegative val="0"/>
            <c:bubble3D val="0"/>
            <c:extLst>
              <c:ext xmlns:c16="http://schemas.microsoft.com/office/drawing/2014/chart" uri="{C3380CC4-5D6E-409C-BE32-E72D297353CC}">
                <c16:uniqueId val="{00000004-2E64-430F-88F7-7C24BCF7014F}"/>
              </c:ext>
            </c:extLst>
          </c:dPt>
          <c:dPt>
            <c:idx val="3"/>
            <c:invertIfNegative val="0"/>
            <c:bubble3D val="0"/>
            <c:extLst>
              <c:ext xmlns:c16="http://schemas.microsoft.com/office/drawing/2014/chart" uri="{C3380CC4-5D6E-409C-BE32-E72D297353CC}">
                <c16:uniqueId val="{00000007-2E64-430F-88F7-7C24BCF7014F}"/>
              </c:ext>
            </c:extLst>
          </c:dPt>
          <c:dLbls>
            <c:dLbl>
              <c:idx val="0"/>
              <c:layout>
                <c:manualLayout>
                  <c:x val="3.2501682665854521E-2"/>
                  <c:y val="-1.52951297657275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E64-430F-88F7-7C24BCF7014F}"/>
                </c:ext>
              </c:extLst>
            </c:dLbl>
            <c:dLbl>
              <c:idx val="1"/>
              <c:layout>
                <c:manualLayout>
                  <c:x val="2.9251514399269037E-2"/>
                  <c:y val="-3.05902595314551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E64-430F-88F7-7C24BCF7014F}"/>
                </c:ext>
              </c:extLst>
            </c:dLbl>
            <c:dLbl>
              <c:idx val="2"/>
              <c:layout>
                <c:manualLayout>
                  <c:x val="7.1503701864880018E-2"/>
                  <c:y val="-1.01967531771517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E64-430F-88F7-7C24BCF7014F}"/>
                </c:ext>
              </c:extLst>
            </c:dLbl>
            <c:dLbl>
              <c:idx val="3"/>
              <c:layout>
                <c:manualLayout>
                  <c:x val="2.9251514399269096E-2"/>
                  <c:y val="-1.52951297657275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E64-430F-88F7-7C24BCF7014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rgbClr val="FFFF00"/>
                      </a:solidFill>
                      <a:prstDash val="sysDot"/>
                      <a:round/>
                    </a:ln>
                    <a:effectLst>
                      <a:glow rad="241300">
                        <a:schemeClr val="accent5">
                          <a:lumMod val="60000"/>
                          <a:lumOff val="40000"/>
                          <a:alpha val="98000"/>
                        </a:schemeClr>
                      </a:glow>
                      <a:softEdge rad="25400"/>
                    </a:effectLst>
                  </c:spPr>
                </c15:leaderLines>
              </c:ext>
            </c:extLst>
          </c:dLbls>
          <c:cat>
            <c:strRef>
              <c:f>Ecommerce!$N$2:$N$6</c:f>
              <c:strCache>
                <c:ptCount val="4"/>
                <c:pt idx="0">
                  <c:v>East</c:v>
                </c:pt>
                <c:pt idx="1">
                  <c:v>North</c:v>
                </c:pt>
                <c:pt idx="2">
                  <c:v>South</c:v>
                </c:pt>
                <c:pt idx="3">
                  <c:v>West</c:v>
                </c:pt>
              </c:strCache>
            </c:strRef>
          </c:cat>
          <c:val>
            <c:numRef>
              <c:f>Ecommerce!$O$2:$O$6</c:f>
              <c:numCache>
                <c:formatCode>0.00%</c:formatCode>
                <c:ptCount val="4"/>
                <c:pt idx="0">
                  <c:v>0.27106260297586399</c:v>
                </c:pt>
                <c:pt idx="1">
                  <c:v>0.23788678585530434</c:v>
                </c:pt>
                <c:pt idx="2">
                  <c:v>0.25061090666196617</c:v>
                </c:pt>
                <c:pt idx="3">
                  <c:v>0.2404397045068655</c:v>
                </c:pt>
              </c:numCache>
            </c:numRef>
          </c:val>
          <c:extLst>
            <c:ext xmlns:c16="http://schemas.microsoft.com/office/drawing/2014/chart" uri="{C3380CC4-5D6E-409C-BE32-E72D297353CC}">
              <c16:uniqueId val="{00000000-A8C9-483D-98C9-564C13A4CA43}"/>
            </c:ext>
          </c:extLst>
        </c:ser>
        <c:dLbls>
          <c:showLegendKey val="0"/>
          <c:showVal val="0"/>
          <c:showCatName val="0"/>
          <c:showSerName val="0"/>
          <c:showPercent val="0"/>
          <c:showBubbleSize val="0"/>
        </c:dLbls>
        <c:gapWidth val="185"/>
        <c:overlap val="100"/>
        <c:axId val="1876639952"/>
        <c:axId val="1876643792"/>
      </c:barChart>
      <c:barChart>
        <c:barDir val="col"/>
        <c:grouping val="clustered"/>
        <c:varyColors val="0"/>
        <c:ser>
          <c:idx val="1"/>
          <c:order val="1"/>
          <c:tx>
            <c:strRef>
              <c:f>Ecommerce!$P$1</c:f>
              <c:strCache>
                <c:ptCount val="1"/>
                <c:pt idx="0">
                  <c:v>Sum of Profit</c:v>
                </c:pt>
              </c:strCache>
            </c:strRef>
          </c:tx>
          <c:spPr>
            <a:solidFill>
              <a:schemeClr val="accent4">
                <a:lumMod val="75000"/>
              </a:schemeClr>
            </a:solidFill>
            <a:ln>
              <a:noFill/>
            </a:ln>
            <a:effectLst/>
          </c:spPr>
          <c:invertIfNegative val="0"/>
          <c:dPt>
            <c:idx val="2"/>
            <c:invertIfNegative val="0"/>
            <c:bubble3D val="0"/>
            <c:spPr>
              <a:solidFill>
                <a:schemeClr val="accent4">
                  <a:lumMod val="75000"/>
                </a:schemeClr>
              </a:solidFill>
              <a:ln>
                <a:noFill/>
              </a:ln>
              <a:effectLst/>
            </c:spPr>
            <c:extLst>
              <c:ext xmlns:c16="http://schemas.microsoft.com/office/drawing/2014/chart" uri="{C3380CC4-5D6E-409C-BE32-E72D297353CC}">
                <c16:uniqueId val="{00000000-2E64-430F-88F7-7C24BCF7014F}"/>
              </c:ext>
            </c:extLst>
          </c:dPt>
          <c:dLbls>
            <c:dLbl>
              <c:idx val="2"/>
              <c:layout>
                <c:manualLayout>
                  <c:x val="-1.1917145976259421E-16"/>
                  <c:y val="0.63641589746080762"/>
                </c:manualLayout>
              </c:layout>
              <c:tx>
                <c:rich>
                  <a:bodyPr/>
                  <a:lstStyle/>
                  <a:p>
                    <a:fld id="{BD435541-A067-4094-A691-DA836EEDC187}" type="VALUE">
                      <a:rPr lang="en-US" b="1">
                        <a:solidFill>
                          <a:schemeClr val="bg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2E64-430F-88F7-7C24BCF7014F}"/>
                </c:ext>
              </c:extLst>
            </c:dLbl>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Ecommerce!$N$2:$N$6</c:f>
              <c:strCache>
                <c:ptCount val="4"/>
                <c:pt idx="0">
                  <c:v>East</c:v>
                </c:pt>
                <c:pt idx="1">
                  <c:v>North</c:v>
                </c:pt>
                <c:pt idx="2">
                  <c:v>South</c:v>
                </c:pt>
                <c:pt idx="3">
                  <c:v>West</c:v>
                </c:pt>
              </c:strCache>
            </c:strRef>
          </c:cat>
          <c:val>
            <c:numRef>
              <c:f>Ecommerce!$P$2:$P$6</c:f>
              <c:numCache>
                <c:formatCode>0.00%</c:formatCode>
                <c:ptCount val="4"/>
                <c:pt idx="0">
                  <c:v>0.24950804321187789</c:v>
                </c:pt>
                <c:pt idx="1">
                  <c:v>0.24387539510815212</c:v>
                </c:pt>
                <c:pt idx="2">
                  <c:v>0.26114016434148313</c:v>
                </c:pt>
                <c:pt idx="3">
                  <c:v>0.24547639733848683</c:v>
                </c:pt>
              </c:numCache>
            </c:numRef>
          </c:val>
          <c:extLst>
            <c:ext xmlns:c16="http://schemas.microsoft.com/office/drawing/2014/chart" uri="{C3380CC4-5D6E-409C-BE32-E72D297353CC}">
              <c16:uniqueId val="{00000001-A8C9-483D-98C9-564C13A4CA43}"/>
            </c:ext>
          </c:extLst>
        </c:ser>
        <c:dLbls>
          <c:showLegendKey val="0"/>
          <c:showVal val="0"/>
          <c:showCatName val="0"/>
          <c:showSerName val="0"/>
          <c:showPercent val="0"/>
          <c:showBubbleSize val="0"/>
        </c:dLbls>
        <c:gapWidth val="372"/>
        <c:overlap val="100"/>
        <c:axId val="1876612592"/>
        <c:axId val="1876612112"/>
      </c:barChart>
      <c:catAx>
        <c:axId val="187663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643792"/>
        <c:crosses val="autoZero"/>
        <c:auto val="1"/>
        <c:lblAlgn val="ctr"/>
        <c:lblOffset val="100"/>
        <c:noMultiLvlLbl val="0"/>
      </c:catAx>
      <c:valAx>
        <c:axId val="187664379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639952"/>
        <c:crosses val="autoZero"/>
        <c:crossBetween val="between"/>
      </c:valAx>
      <c:valAx>
        <c:axId val="187661211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612592"/>
        <c:crosses val="max"/>
        <c:crossBetween val="between"/>
      </c:valAx>
      <c:catAx>
        <c:axId val="1876612592"/>
        <c:scaling>
          <c:orientation val="minMax"/>
        </c:scaling>
        <c:delete val="1"/>
        <c:axPos val="b"/>
        <c:numFmt formatCode="General" sourceLinked="1"/>
        <c:majorTickMark val="out"/>
        <c:minorTickMark val="none"/>
        <c:tickLblPos val="nextTo"/>
        <c:crossAx val="1876612112"/>
        <c:crosses val="autoZero"/>
        <c:auto val="1"/>
        <c:lblAlgn val="ctr"/>
        <c:lblOffset val="100"/>
        <c:noMultiLvlLbl val="0"/>
      </c:catAx>
      <c:spPr>
        <a:noFill/>
        <a:ln>
          <a:noFill/>
        </a:ln>
        <a:effectLst/>
      </c:spPr>
    </c:plotArea>
    <c:legend>
      <c:legendPos val="r"/>
      <c:layout>
        <c:manualLayout>
          <c:xMode val="edge"/>
          <c:yMode val="edge"/>
          <c:x val="0.65593104524899615"/>
          <c:y val="1.6520345934887711E-2"/>
          <c:w val="0.21081205582100018"/>
          <c:h val="0.141481154673906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&amp; profit dataset.xlsx]Ecommerce!PivotTable5</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product</a:t>
            </a:r>
            <a:r>
              <a:rPr lang="en-IN" b="1" baseline="0">
                <a:solidFill>
                  <a:schemeClr val="tx1"/>
                </a:solidFill>
              </a:rPr>
              <a:t> by sale and profit</a:t>
            </a:r>
            <a:endParaRPr lang="en-IN" b="1">
              <a:solidFill>
                <a:schemeClr val="tx1"/>
              </a:solidFill>
            </a:endParaRPr>
          </a:p>
        </c:rich>
      </c:tx>
      <c:layout>
        <c:manualLayout>
          <c:xMode val="edge"/>
          <c:yMode val="edge"/>
          <c:x val="0.12318626978660736"/>
          <c:y val="5.2668136305018603E-3"/>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4"/>
        <c:spPr>
          <a:solidFill>
            <a:srgbClr val="7030A0"/>
          </a:solidFill>
          <a:ln>
            <a:noFill/>
          </a:ln>
          <a:effectLst/>
        </c:spPr>
        <c:marker>
          <c:symbol val="none"/>
        </c:marker>
        <c:dLbl>
          <c:idx val="0"/>
          <c:spPr>
            <a:noFill/>
            <a:ln>
              <a:noFill/>
            </a:ln>
            <a:effectLst/>
          </c:spPr>
          <c:txPr>
            <a:bodyPr rot="5400000" spcFirstLastPara="1" vertOverflow="ellipsis" vert="horz" wrap="square" lIns="72000" tIns="36000" rIns="216000" bIns="72000" anchor="t"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ln w="28575" cap="flat" cmpd="thinThick">
            <a:solidFill>
              <a:schemeClr val="accent5">
                <a:lumMod val="50000"/>
              </a:schemeClr>
            </a:solidFill>
            <a:prstDash val="solid"/>
            <a:miter lim="800000"/>
            <a:headEnd type="triangle"/>
          </a:ln>
          <a:effectLst/>
        </c:spPr>
        <c:marker>
          <c:symbol val="circle"/>
          <c:size val="5"/>
          <c:spPr>
            <a:solidFill>
              <a:schemeClr val="accent4">
                <a:lumMod val="50000"/>
              </a:schemeClr>
            </a:solidFill>
            <a:ln w="9525">
              <a:solidFill>
                <a:schemeClr val="accent2"/>
              </a:solidFill>
              <a:bevel/>
            </a:ln>
            <a:effectLst/>
          </c:spPr>
        </c:marker>
        <c:dLbl>
          <c:idx val="0"/>
          <c:spPr>
            <a:noFill/>
            <a:ln>
              <a:noFill/>
            </a:ln>
            <a:effectLst/>
          </c:spPr>
          <c:txPr>
            <a:bodyPr rot="0" spcFirstLastPara="1" vertOverflow="ellipsis" vert="horz" wrap="square" lIns="36000" tIns="3600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rgbClr val="7030A0"/>
          </a:solidFill>
          <a:ln>
            <a:noFill/>
          </a:ln>
          <a:effectLst/>
        </c:spPr>
        <c:dLbl>
          <c:idx val="0"/>
          <c:layout>
            <c:manualLayout>
              <c:x val="0"/>
              <c:y val="0.52772704562180561"/>
            </c:manualLayout>
          </c:layout>
          <c:tx>
            <c:rich>
              <a:bodyPr rot="5400000" spcFirstLastPara="1" vertOverflow="ellipsis" vert="horz" wrap="square" lIns="72000" tIns="36000" rIns="216000" bIns="72000" anchor="t" anchorCtr="1">
                <a:spAutoFit/>
              </a:bodyPr>
              <a:lstStyle/>
              <a:p>
                <a:pPr>
                  <a:defRPr sz="900" b="1" i="0" u="none" strike="noStrike" kern="1200" baseline="0">
                    <a:solidFill>
                      <a:schemeClr val="bg1"/>
                    </a:solidFill>
                    <a:latin typeface="+mn-lt"/>
                    <a:ea typeface="+mn-ea"/>
                    <a:cs typeface="+mn-cs"/>
                  </a:defRPr>
                </a:pPr>
                <a:fld id="{7E4150D5-97ED-45F2-848D-160F254DAD22}" type="VALUE">
                  <a:rPr lang="en-US" sz="1000" b="1">
                    <a:solidFill>
                      <a:schemeClr val="bg1"/>
                    </a:solidFill>
                  </a:rPr>
                  <a:pPr>
                    <a:defRPr sz="900" b="1" i="0" u="none" strike="noStrike" kern="1200" baseline="0">
                      <a:solidFill>
                        <a:schemeClr val="bg1"/>
                      </a:solidFill>
                      <a:latin typeface="+mn-lt"/>
                      <a:ea typeface="+mn-ea"/>
                      <a:cs typeface="+mn-cs"/>
                    </a:defRPr>
                  </a:pPr>
                  <a:t>[VALUE]</a:t>
                </a:fld>
                <a:endParaRPr lang="en-IN"/>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7"/>
      </c:pivotFmt>
      <c:pivotFmt>
        <c:idx val="8"/>
      </c:pivotFmt>
      <c:pivotFmt>
        <c:idx val="9"/>
      </c:pivotFmt>
      <c:pivotFmt>
        <c:idx val="10"/>
      </c:pivotFmt>
      <c:pivotFmt>
        <c:idx val="11"/>
        <c:spPr>
          <a:ln w="28575" cap="flat" cmpd="thinThick">
            <a:solidFill>
              <a:schemeClr val="accent5">
                <a:lumMod val="50000"/>
              </a:schemeClr>
            </a:solidFill>
            <a:prstDash val="solid"/>
            <a:miter lim="800000"/>
            <a:headEnd type="triangle"/>
          </a:ln>
          <a:effectLst/>
        </c:spPr>
        <c:marker>
          <c:symbol val="circle"/>
          <c:size val="5"/>
          <c:spPr>
            <a:solidFill>
              <a:schemeClr val="accent4">
                <a:lumMod val="50000"/>
              </a:schemeClr>
            </a:solidFill>
            <a:ln w="9525">
              <a:solidFill>
                <a:schemeClr val="accent2"/>
              </a:solidFill>
              <a:bevel/>
            </a:ln>
            <a:effectLst/>
          </c:spPr>
        </c:marker>
        <c:dLbl>
          <c:idx val="0"/>
          <c:layout>
            <c:manualLayout>
              <c:x val="-6.725572974471157E-2"/>
              <c:y val="-0.10133499652283116"/>
            </c:manualLayout>
          </c:layout>
          <c:tx>
            <c:rich>
              <a:bodyPr rot="0" spcFirstLastPara="1" vertOverflow="ellipsis" vert="horz" wrap="square" lIns="36000" tIns="3600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00FE0EE-012A-428F-971E-C01FD9758C98}" type="VALUE">
                  <a:rPr lang="en-US" b="1">
                    <a:solidFill>
                      <a:schemeClr val="tx1">
                        <a:lumMod val="95000"/>
                        <a:lumOff val="5000"/>
                      </a:schemeClr>
                    </a:solidFill>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12"/>
        <c:spPr>
          <a:ln w="28575" cap="flat" cmpd="thinThick">
            <a:solidFill>
              <a:schemeClr val="accent5">
                <a:lumMod val="50000"/>
              </a:schemeClr>
            </a:solidFill>
            <a:prstDash val="solid"/>
            <a:miter lim="800000"/>
            <a:headEnd type="triangle"/>
          </a:ln>
          <a:effectLst/>
        </c:spPr>
        <c:marker>
          <c:symbol val="circle"/>
          <c:size val="5"/>
          <c:spPr>
            <a:solidFill>
              <a:schemeClr val="accent4">
                <a:lumMod val="50000"/>
              </a:schemeClr>
            </a:solidFill>
            <a:ln w="9525">
              <a:solidFill>
                <a:schemeClr val="accent2"/>
              </a:solidFill>
              <a:bevel/>
            </a:ln>
            <a:effectLst/>
          </c:spPr>
        </c:marker>
        <c:dLbl>
          <c:idx val="0"/>
          <c:layout>
            <c:manualLayout>
              <c:x val="-6.7015679403133507E-2"/>
              <c:y val="-0.11786230917770021"/>
            </c:manualLayout>
          </c:layout>
          <c:spPr>
            <a:noFill/>
            <a:ln>
              <a:noFill/>
            </a:ln>
            <a:effectLst/>
          </c:spPr>
          <c:txPr>
            <a:bodyPr rot="0" spcFirstLastPara="1" vertOverflow="ellipsis" vert="horz" wrap="square" lIns="36000" tIns="36000" rIns="38100" bIns="19050" anchor="ctr" anchorCtr="0">
              <a:noAutofit/>
            </a:bodyPr>
            <a:lstStyle/>
            <a:p>
              <a:pPr algn="ctr" rtl="0">
                <a:defRPr lang="en-US"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079544927360386"/>
                  <c:h val="9.1026710058132843E-2"/>
                </c:manualLayout>
              </c15:layout>
            </c:ext>
          </c:extLst>
        </c:dLbl>
      </c:pivotFmt>
      <c:pivotFmt>
        <c:idx val="13"/>
        <c:dLbl>
          <c:idx val="0"/>
          <c:spPr>
            <a:noFill/>
            <a:ln>
              <a:noFill/>
            </a:ln>
            <a:effectLst/>
          </c:spPr>
          <c:txPr>
            <a:bodyPr rot="0" spcFirstLastPara="1" vertOverflow="ellipsis" vert="horz" wrap="square" lIns="36000" tIns="36000" rIns="38100" bIns="19050" anchor="ctr" anchorCtr="0">
              <a:spAutoFit/>
            </a:bodyPr>
            <a:lstStyle/>
            <a:p>
              <a:pPr algn="ctr" rtl="0">
                <a:defRPr lang="en-US"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rect">
                  <a:avLst/>
                </a:prstGeom>
              </c15:spPr>
            </c:ext>
          </c:extLst>
        </c:dLbl>
      </c:pivotFmt>
      <c:pivotFmt>
        <c:idx val="14"/>
        <c:spPr>
          <a:ln w="28575" cap="flat" cmpd="thinThick">
            <a:solidFill>
              <a:schemeClr val="accent5">
                <a:lumMod val="50000"/>
              </a:schemeClr>
            </a:solidFill>
            <a:prstDash val="solid"/>
            <a:miter lim="800000"/>
            <a:headEnd type="triangle"/>
          </a:ln>
          <a:effectLst/>
        </c:spPr>
        <c:marker>
          <c:symbol val="circle"/>
          <c:size val="5"/>
          <c:spPr>
            <a:solidFill>
              <a:schemeClr val="accent4">
                <a:lumMod val="50000"/>
              </a:schemeClr>
            </a:solidFill>
            <a:ln w="9525">
              <a:solidFill>
                <a:schemeClr val="accent2"/>
              </a:solidFill>
              <a:bevel/>
            </a:ln>
            <a:effectLst/>
          </c:spPr>
        </c:marker>
        <c:dLbl>
          <c:idx val="0"/>
          <c:layout>
            <c:manualLayout>
              <c:x val="-6.725572974471157E-2"/>
              <c:y val="-0.14420882593225259"/>
            </c:manualLayout>
          </c:layout>
          <c:spPr>
            <a:noFill/>
            <a:ln>
              <a:noFill/>
            </a:ln>
            <a:effectLst/>
          </c:spPr>
          <c:txPr>
            <a:bodyPr rot="0" spcFirstLastPara="1" vertOverflow="ellipsis" vert="horz" wrap="square" lIns="36000" tIns="36000" rIns="38100" bIns="19050" anchor="ctr" anchorCtr="0">
              <a:spAutoFit/>
            </a:bodyPr>
            <a:lstStyle/>
            <a:p>
              <a:pPr algn="ctr" rtl="0">
                <a:defRPr lang="en-US"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5"/>
        <c:spPr>
          <a:ln w="28575" cap="flat" cmpd="thinThick">
            <a:solidFill>
              <a:schemeClr val="accent5">
                <a:lumMod val="50000"/>
              </a:schemeClr>
            </a:solidFill>
            <a:prstDash val="solid"/>
            <a:miter lim="800000"/>
            <a:headEnd type="triangle"/>
          </a:ln>
          <a:effectLst/>
        </c:spPr>
        <c:marker>
          <c:symbol val="circle"/>
          <c:size val="5"/>
          <c:spPr>
            <a:solidFill>
              <a:schemeClr val="accent4">
                <a:lumMod val="50000"/>
              </a:schemeClr>
            </a:solidFill>
            <a:ln w="9525">
              <a:solidFill>
                <a:schemeClr val="accent2"/>
              </a:solidFill>
              <a:bevel/>
            </a:ln>
            <a:effectLst/>
          </c:spPr>
        </c:marker>
        <c:dLbl>
          <c:idx val="0"/>
          <c:layout>
            <c:manualLayout>
              <c:x val="-6.7255729744711681E-2"/>
              <c:y val="-0.17100496931314102"/>
            </c:manualLayout>
          </c:layout>
          <c:tx>
            <c:rich>
              <a:bodyPr rot="0" spcFirstLastPara="1" vertOverflow="ellipsis" vert="horz" wrap="square" lIns="36000" tIns="36000" rIns="38100" bIns="19050" anchor="ctr" anchorCtr="0">
                <a:spAutoFit/>
              </a:bodyPr>
              <a:lstStyle/>
              <a:p>
                <a:pPr algn="ctr">
                  <a:defRPr lang="en-US" sz="900" b="1" i="0" u="none" strike="noStrike" kern="1200" baseline="0">
                    <a:solidFill>
                      <a:sysClr val="windowText" lastClr="000000">
                        <a:lumMod val="95000"/>
                        <a:lumOff val="5000"/>
                      </a:sysClr>
                    </a:solidFill>
                    <a:latin typeface="+mn-lt"/>
                    <a:ea typeface="+mn-ea"/>
                    <a:cs typeface="+mn-cs"/>
                  </a:defRPr>
                </a:pPr>
                <a:fld id="{F761211E-8C66-4B7E-A5AB-52A87B3C6664}" type="VALUE">
                  <a:rPr lang="en-US" sz="900" b="1" i="0" u="none" strike="noStrike" kern="1200" baseline="0">
                    <a:solidFill>
                      <a:sysClr val="windowText" lastClr="000000">
                        <a:lumMod val="95000"/>
                        <a:lumOff val="5000"/>
                      </a:sysClr>
                    </a:solidFill>
                    <a:latin typeface="+mn-lt"/>
                    <a:ea typeface="+mn-ea"/>
                    <a:cs typeface="+mn-cs"/>
                  </a:rPr>
                  <a:pPr algn="ctr">
                    <a:defRPr lang="en-US" sz="900" b="1" i="0" u="none" strike="noStrike" kern="1200" baseline="0">
                      <a:solidFill>
                        <a:sysClr val="windowText" lastClr="000000">
                          <a:lumMod val="95000"/>
                          <a:lumOff val="5000"/>
                        </a:sysClr>
                      </a:solidFill>
                      <a:latin typeface="+mn-lt"/>
                      <a:ea typeface="+mn-ea"/>
                      <a:cs typeface="+mn-cs"/>
                    </a:defRPr>
                  </a:pPr>
                  <a:t>[VALUE]</a:t>
                </a:fld>
                <a:endParaRPr lang="en-IN"/>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s>
    <c:plotArea>
      <c:layout>
        <c:manualLayout>
          <c:layoutTarget val="inner"/>
          <c:xMode val="edge"/>
          <c:yMode val="edge"/>
          <c:x val="0.13335970213025697"/>
          <c:y val="0.13823476291109926"/>
          <c:w val="0.73712360373557961"/>
          <c:h val="0.72782207698384305"/>
        </c:manualLayout>
      </c:layout>
      <c:barChart>
        <c:barDir val="col"/>
        <c:grouping val="clustered"/>
        <c:varyColors val="0"/>
        <c:ser>
          <c:idx val="0"/>
          <c:order val="0"/>
          <c:tx>
            <c:strRef>
              <c:f>Ecommerce!$J$3</c:f>
              <c:strCache>
                <c:ptCount val="1"/>
                <c:pt idx="0">
                  <c:v>Sum of Sales</c:v>
                </c:pt>
              </c:strCache>
            </c:strRef>
          </c:tx>
          <c:spPr>
            <a:solidFill>
              <a:srgbClr val="7030A0"/>
            </a:solidFill>
            <a:ln>
              <a:noFill/>
            </a:ln>
            <a:effectLst/>
          </c:spPr>
          <c:invertIfNegative val="0"/>
          <c:dPt>
            <c:idx val="2"/>
            <c:invertIfNegative val="0"/>
            <c:bubble3D val="0"/>
            <c:extLst>
              <c:ext xmlns:c16="http://schemas.microsoft.com/office/drawing/2014/chart" uri="{C3380CC4-5D6E-409C-BE32-E72D297353CC}">
                <c16:uniqueId val="{00000000-7CE8-4F06-9274-38B69BB6911A}"/>
              </c:ext>
            </c:extLst>
          </c:dPt>
          <c:dLbls>
            <c:dLbl>
              <c:idx val="2"/>
              <c:layout>
                <c:manualLayout>
                  <c:x val="0"/>
                  <c:y val="0.52772704562180561"/>
                </c:manualLayout>
              </c:layout>
              <c:tx>
                <c:rich>
                  <a:bodyPr/>
                  <a:lstStyle/>
                  <a:p>
                    <a:fld id="{7E4150D5-97ED-45F2-848D-160F254DAD22}" type="VALUE">
                      <a:rPr lang="en-US" sz="1000" b="1">
                        <a:solidFill>
                          <a:schemeClr val="bg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7CE8-4F06-9274-38B69BB6911A}"/>
                </c:ext>
              </c:extLst>
            </c:dLbl>
            <c:spPr>
              <a:noFill/>
              <a:ln>
                <a:noFill/>
              </a:ln>
              <a:effectLst/>
            </c:spPr>
            <c:txPr>
              <a:bodyPr rot="5400000" spcFirstLastPara="1" vertOverflow="ellipsis" vert="horz" wrap="square" lIns="72000" tIns="36000" rIns="216000" bIns="72000" anchor="t"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Ecommerce!$I$4:$I$8</c:f>
              <c:strCache>
                <c:ptCount val="5"/>
                <c:pt idx="0">
                  <c:v>Bag</c:v>
                </c:pt>
                <c:pt idx="1">
                  <c:v>Laptop</c:v>
                </c:pt>
                <c:pt idx="2">
                  <c:v>Phone</c:v>
                </c:pt>
                <c:pt idx="3">
                  <c:v>Shoes</c:v>
                </c:pt>
                <c:pt idx="4">
                  <c:v>Watch</c:v>
                </c:pt>
              </c:strCache>
            </c:strRef>
          </c:cat>
          <c:val>
            <c:numRef>
              <c:f>Ecommerce!$J$4:$J$8</c:f>
              <c:numCache>
                <c:formatCode>General</c:formatCode>
                <c:ptCount val="5"/>
                <c:pt idx="0">
                  <c:v>4249363</c:v>
                </c:pt>
                <c:pt idx="1">
                  <c:v>4467802</c:v>
                </c:pt>
                <c:pt idx="2">
                  <c:v>5317502</c:v>
                </c:pt>
                <c:pt idx="3">
                  <c:v>5376577</c:v>
                </c:pt>
                <c:pt idx="4">
                  <c:v>5000423</c:v>
                </c:pt>
              </c:numCache>
            </c:numRef>
          </c:val>
          <c:extLst>
            <c:ext xmlns:c16="http://schemas.microsoft.com/office/drawing/2014/chart" uri="{C3380CC4-5D6E-409C-BE32-E72D297353CC}">
              <c16:uniqueId val="{00000000-92C5-4B30-B71B-6A3BAA16A447}"/>
            </c:ext>
          </c:extLst>
        </c:ser>
        <c:dLbls>
          <c:showLegendKey val="0"/>
          <c:showVal val="1"/>
          <c:showCatName val="0"/>
          <c:showSerName val="0"/>
          <c:showPercent val="0"/>
          <c:showBubbleSize val="0"/>
        </c:dLbls>
        <c:gapWidth val="219"/>
        <c:axId val="1611696224"/>
        <c:axId val="1611696704"/>
      </c:barChart>
      <c:lineChart>
        <c:grouping val="standard"/>
        <c:varyColors val="0"/>
        <c:ser>
          <c:idx val="1"/>
          <c:order val="1"/>
          <c:tx>
            <c:strRef>
              <c:f>Ecommerce!$K$3</c:f>
              <c:strCache>
                <c:ptCount val="1"/>
                <c:pt idx="0">
                  <c:v>Sum of Profit</c:v>
                </c:pt>
              </c:strCache>
            </c:strRef>
          </c:tx>
          <c:spPr>
            <a:ln w="28575" cap="flat" cmpd="thinThick">
              <a:solidFill>
                <a:schemeClr val="accent5">
                  <a:lumMod val="50000"/>
                </a:schemeClr>
              </a:solidFill>
              <a:prstDash val="solid"/>
              <a:miter lim="800000"/>
              <a:headEnd type="triangle"/>
            </a:ln>
            <a:effectLst/>
          </c:spPr>
          <c:marker>
            <c:symbol val="circle"/>
            <c:size val="5"/>
            <c:spPr>
              <a:solidFill>
                <a:schemeClr val="accent4">
                  <a:lumMod val="50000"/>
                </a:schemeClr>
              </a:solidFill>
              <a:ln w="9525">
                <a:solidFill>
                  <a:schemeClr val="accent2"/>
                </a:solidFill>
                <a:bevel/>
              </a:ln>
              <a:effectLst/>
            </c:spPr>
          </c:marker>
          <c:dPt>
            <c:idx val="0"/>
            <c:bubble3D val="0"/>
            <c:extLst>
              <c:ext xmlns:c16="http://schemas.microsoft.com/office/drawing/2014/chart" uri="{C3380CC4-5D6E-409C-BE32-E72D297353CC}">
                <c16:uniqueId val="{00000006-7CE8-4F06-9274-38B69BB6911A}"/>
              </c:ext>
            </c:extLst>
          </c:dPt>
          <c:dPt>
            <c:idx val="1"/>
            <c:bubble3D val="0"/>
            <c:extLst>
              <c:ext xmlns:c16="http://schemas.microsoft.com/office/drawing/2014/chart" uri="{C3380CC4-5D6E-409C-BE32-E72D297353CC}">
                <c16:uniqueId val="{00000005-7CE8-4F06-9274-38B69BB6911A}"/>
              </c:ext>
            </c:extLst>
          </c:dPt>
          <c:dPt>
            <c:idx val="3"/>
            <c:bubble3D val="0"/>
            <c:extLst>
              <c:ext xmlns:c16="http://schemas.microsoft.com/office/drawing/2014/chart" uri="{C3380CC4-5D6E-409C-BE32-E72D297353CC}">
                <c16:uniqueId val="{00000008-7CE8-4F06-9274-38B69BB6911A}"/>
              </c:ext>
            </c:extLst>
          </c:dPt>
          <c:dPt>
            <c:idx val="4"/>
            <c:bubble3D val="0"/>
            <c:extLst>
              <c:ext xmlns:c16="http://schemas.microsoft.com/office/drawing/2014/chart" uri="{C3380CC4-5D6E-409C-BE32-E72D297353CC}">
                <c16:uniqueId val="{00000009-7CE8-4F06-9274-38B69BB6911A}"/>
              </c:ext>
            </c:extLst>
          </c:dPt>
          <c:dLbls>
            <c:dLbl>
              <c:idx val="0"/>
              <c:layout>
                <c:manualLayout>
                  <c:x val="-6.7015679403133507E-2"/>
                  <c:y val="-0.11786230917770021"/>
                </c:manualLayout>
              </c:layout>
              <c:spPr>
                <a:noFill/>
                <a:ln>
                  <a:noFill/>
                </a:ln>
                <a:effectLst/>
              </c:spPr>
              <c:txPr>
                <a:bodyPr rot="0" spcFirstLastPara="1" vertOverflow="ellipsis" vert="horz" wrap="square" lIns="36000" tIns="36000" rIns="38100" bIns="19050" anchor="ctr" anchorCtr="0">
                  <a:noAutofit/>
                </a:bodyPr>
                <a:lstStyle/>
                <a:p>
                  <a:pPr algn="ctr" rtl="0">
                    <a:defRPr lang="en-US"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079544927360386"/>
                      <c:h val="9.1026710058132843E-2"/>
                    </c:manualLayout>
                  </c15:layout>
                </c:ext>
                <c:ext xmlns:c16="http://schemas.microsoft.com/office/drawing/2014/chart" uri="{C3380CC4-5D6E-409C-BE32-E72D297353CC}">
                  <c16:uniqueId val="{00000006-7CE8-4F06-9274-38B69BB6911A}"/>
                </c:ext>
              </c:extLst>
            </c:dLbl>
            <c:dLbl>
              <c:idx val="1"/>
              <c:layout>
                <c:manualLayout>
                  <c:x val="-6.725572974471157E-2"/>
                  <c:y val="-0.10133499652283116"/>
                </c:manualLayout>
              </c:layout>
              <c:tx>
                <c:rich>
                  <a:bodyPr/>
                  <a:lstStyle/>
                  <a:p>
                    <a:fld id="{200FE0EE-012A-428F-971E-C01FD9758C98}" type="VALUE">
                      <a:rPr lang="en-US" b="1">
                        <a:solidFill>
                          <a:schemeClr val="tx1">
                            <a:lumMod val="95000"/>
                            <a:lumOff val="5000"/>
                          </a:schemeClr>
                        </a:solidFill>
                      </a:rPr>
                      <a:pPr/>
                      <a:t>[VALUE]</a:t>
                    </a:fld>
                    <a:endParaRPr lang="en-IN"/>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7CE8-4F06-9274-38B69BB6911A}"/>
                </c:ext>
              </c:extLst>
            </c:dLbl>
            <c:dLbl>
              <c:idx val="2"/>
              <c:spPr>
                <a:noFill/>
                <a:ln>
                  <a:noFill/>
                </a:ln>
                <a:effectLst/>
              </c:spPr>
              <c:txPr>
                <a:bodyPr rot="0" spcFirstLastPara="1" vertOverflow="ellipsis" vert="horz" wrap="square" lIns="36000" tIns="36000" rIns="38100" bIns="19050" anchor="ctr" anchorCtr="0">
                  <a:spAutoFit/>
                </a:bodyPr>
                <a:lstStyle/>
                <a:p>
                  <a:pPr algn="ctr" rtl="0">
                    <a:defRPr lang="en-US"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69BB-4DDB-9798-452CC2D1DFE2}"/>
                </c:ext>
              </c:extLst>
            </c:dLbl>
            <c:dLbl>
              <c:idx val="3"/>
              <c:layout>
                <c:manualLayout>
                  <c:x val="-6.725572974471157E-2"/>
                  <c:y val="-0.14420882593225259"/>
                </c:manualLayout>
              </c:layout>
              <c:spPr>
                <a:noFill/>
                <a:ln>
                  <a:noFill/>
                </a:ln>
                <a:effectLst/>
              </c:spPr>
              <c:txPr>
                <a:bodyPr rot="0" spcFirstLastPara="1" vertOverflow="ellipsis" vert="horz" wrap="square" lIns="36000" tIns="36000" rIns="38100" bIns="19050" anchor="ctr" anchorCtr="0">
                  <a:spAutoFit/>
                </a:bodyPr>
                <a:lstStyle/>
                <a:p>
                  <a:pPr algn="ctr" rtl="0">
                    <a:defRPr lang="en-US"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8-7CE8-4F06-9274-38B69BB6911A}"/>
                </c:ext>
              </c:extLst>
            </c:dLbl>
            <c:dLbl>
              <c:idx val="4"/>
              <c:layout>
                <c:manualLayout>
                  <c:x val="-6.7255729744711681E-2"/>
                  <c:y val="-0.17100496931314102"/>
                </c:manualLayout>
              </c:layout>
              <c:tx>
                <c:rich>
                  <a:bodyPr rot="0" spcFirstLastPara="1" vertOverflow="ellipsis" vert="horz" wrap="square" lIns="36000" tIns="36000" rIns="38100" bIns="19050" anchor="ctr" anchorCtr="0">
                    <a:spAutoFit/>
                  </a:bodyPr>
                  <a:lstStyle/>
                  <a:p>
                    <a:pPr algn="ctr">
                      <a:defRPr lang="en-US" sz="900" b="1" i="0" u="none" strike="noStrike" kern="1200" baseline="0">
                        <a:solidFill>
                          <a:sysClr val="windowText" lastClr="000000">
                            <a:lumMod val="95000"/>
                            <a:lumOff val="5000"/>
                          </a:sysClr>
                        </a:solidFill>
                        <a:latin typeface="+mn-lt"/>
                        <a:ea typeface="+mn-ea"/>
                        <a:cs typeface="+mn-cs"/>
                      </a:defRPr>
                    </a:pPr>
                    <a:fld id="{F761211E-8C66-4B7E-A5AB-52A87B3C6664}" type="VALUE">
                      <a:rPr lang="en-US" sz="900" b="1" i="0" u="none" strike="noStrike" kern="1200" baseline="0">
                        <a:solidFill>
                          <a:sysClr val="windowText" lastClr="000000">
                            <a:lumMod val="95000"/>
                            <a:lumOff val="5000"/>
                          </a:sysClr>
                        </a:solidFill>
                        <a:latin typeface="+mn-lt"/>
                        <a:ea typeface="+mn-ea"/>
                        <a:cs typeface="+mn-cs"/>
                      </a:rPr>
                      <a:pPr algn="ctr">
                        <a:defRPr lang="en-US" sz="900" b="1" i="0" u="none" strike="noStrike" kern="1200" baseline="0">
                          <a:solidFill>
                            <a:sysClr val="windowText" lastClr="000000">
                              <a:lumMod val="95000"/>
                              <a:lumOff val="5000"/>
                            </a:sysClr>
                          </a:solidFill>
                          <a:latin typeface="+mn-lt"/>
                          <a:ea typeface="+mn-ea"/>
                          <a:cs typeface="+mn-cs"/>
                        </a:defRPr>
                      </a:pPr>
                      <a:t>[VALUE]</a:t>
                    </a:fld>
                    <a:endParaRPr lang="en-IN"/>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 xmlns:c16="http://schemas.microsoft.com/office/drawing/2014/chart" uri="{C3380CC4-5D6E-409C-BE32-E72D297353CC}">
                  <c16:uniqueId val="{00000009-7CE8-4F06-9274-38B69BB6911A}"/>
                </c:ext>
              </c:extLst>
            </c:dLbl>
            <c:spPr>
              <a:noFill/>
              <a:ln>
                <a:noFill/>
              </a:ln>
              <a:effectLst/>
            </c:spPr>
            <c:txPr>
              <a:bodyPr rot="0" spcFirstLastPara="1" vertOverflow="ellipsis" vert="horz" wrap="square" lIns="36000" tIns="3600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Ecommerce!$I$4:$I$8</c:f>
              <c:strCache>
                <c:ptCount val="5"/>
                <c:pt idx="0">
                  <c:v>Bag</c:v>
                </c:pt>
                <c:pt idx="1">
                  <c:v>Laptop</c:v>
                </c:pt>
                <c:pt idx="2">
                  <c:v>Phone</c:v>
                </c:pt>
                <c:pt idx="3">
                  <c:v>Shoes</c:v>
                </c:pt>
                <c:pt idx="4">
                  <c:v>Watch</c:v>
                </c:pt>
              </c:strCache>
            </c:strRef>
          </c:cat>
          <c:val>
            <c:numRef>
              <c:f>Ecommerce!$K$4:$K$8</c:f>
              <c:numCache>
                <c:formatCode>General</c:formatCode>
                <c:ptCount val="5"/>
                <c:pt idx="0">
                  <c:v>712149</c:v>
                </c:pt>
                <c:pt idx="1">
                  <c:v>746545</c:v>
                </c:pt>
                <c:pt idx="2">
                  <c:v>991387</c:v>
                </c:pt>
                <c:pt idx="3">
                  <c:v>864465</c:v>
                </c:pt>
                <c:pt idx="4">
                  <c:v>769146</c:v>
                </c:pt>
              </c:numCache>
            </c:numRef>
          </c:val>
          <c:smooth val="1"/>
          <c:extLst>
            <c:ext xmlns:c16="http://schemas.microsoft.com/office/drawing/2014/chart" uri="{C3380CC4-5D6E-409C-BE32-E72D297353CC}">
              <c16:uniqueId val="{00000001-92C5-4B30-B71B-6A3BAA16A447}"/>
            </c:ext>
          </c:extLst>
        </c:ser>
        <c:dLbls>
          <c:showLegendKey val="0"/>
          <c:showVal val="1"/>
          <c:showCatName val="0"/>
          <c:showSerName val="0"/>
          <c:showPercent val="0"/>
          <c:showBubbleSize val="0"/>
        </c:dLbls>
        <c:marker val="1"/>
        <c:smooth val="0"/>
        <c:axId val="1611701024"/>
        <c:axId val="1611700544"/>
      </c:lineChart>
      <c:catAx>
        <c:axId val="1611696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696704"/>
        <c:crosses val="autoZero"/>
        <c:auto val="1"/>
        <c:lblAlgn val="ctr"/>
        <c:lblOffset val="100"/>
        <c:noMultiLvlLbl val="0"/>
      </c:catAx>
      <c:valAx>
        <c:axId val="1611696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696224"/>
        <c:crosses val="autoZero"/>
        <c:crossBetween val="between"/>
      </c:valAx>
      <c:valAx>
        <c:axId val="161170054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701024"/>
        <c:crosses val="max"/>
        <c:crossBetween val="between"/>
      </c:valAx>
      <c:catAx>
        <c:axId val="1611701024"/>
        <c:scaling>
          <c:orientation val="minMax"/>
        </c:scaling>
        <c:delete val="1"/>
        <c:axPos val="b"/>
        <c:numFmt formatCode="General" sourceLinked="1"/>
        <c:majorTickMark val="out"/>
        <c:minorTickMark val="none"/>
        <c:tickLblPos val="nextTo"/>
        <c:crossAx val="1611700544"/>
        <c:crosses val="autoZero"/>
        <c:auto val="1"/>
        <c:lblAlgn val="ctr"/>
        <c:lblOffset val="100"/>
        <c:noMultiLvlLbl val="0"/>
      </c:catAx>
      <c:spPr>
        <a:noFill/>
        <a:ln>
          <a:noFill/>
        </a:ln>
        <a:effectLst/>
      </c:spPr>
    </c:plotArea>
    <c:legend>
      <c:legendPos val="r"/>
      <c:layout>
        <c:manualLayout>
          <c:xMode val="edge"/>
          <c:yMode val="edge"/>
          <c:x val="0.63145801438636695"/>
          <c:y val="1.6077686028533041E-2"/>
          <c:w val="0.22955545484067819"/>
          <c:h val="0.121923718342572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&amp; profit dataset.xlsx]Ecommerce!PivotTable12</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baseline="0">
                <a:solidFill>
                  <a:schemeClr val="tx1"/>
                </a:solidFill>
              </a:rPr>
              <a:t>orders </a:t>
            </a:r>
            <a:r>
              <a:rPr lang="en-US" sz="1400" b="1" i="0" u="none" strike="noStrike" kern="1200" spc="0" baseline="0">
                <a:solidFill>
                  <a:schemeClr val="tx1"/>
                </a:solidFill>
              </a:rPr>
              <a:t>by product</a:t>
            </a:r>
            <a:r>
              <a:rPr lang="en-US" sz="1400" b="1" baseline="0">
                <a:solidFill>
                  <a:schemeClr val="tx1"/>
                </a:solidFill>
              </a:rPr>
              <a:t> </a:t>
            </a:r>
            <a:endParaRPr lang="en-US" sz="1400" b="1">
              <a:solidFill>
                <a:schemeClr val="tx1"/>
              </a:solidFill>
            </a:endParaRPr>
          </a:p>
        </c:rich>
      </c:tx>
      <c:layout>
        <c:manualLayout>
          <c:xMode val="edge"/>
          <c:yMode val="edge"/>
          <c:x val="0.11991900740204169"/>
          <c:y val="4.0358961876957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a:innerShdw blurRad="63500" dist="50800" dir="162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innerShdw blurRad="63500" dist="50800" dir="16200000">
              <a:prstClr val="black">
                <a:alpha val="50000"/>
              </a:prstClr>
            </a:innerShdw>
          </a:effectLst>
        </c:spPr>
      </c:pivotFmt>
      <c:pivotFmt>
        <c:idx val="4"/>
        <c:spPr>
          <a:solidFill>
            <a:srgbClr val="7030A0"/>
          </a:solidFill>
          <a:ln>
            <a:noFill/>
          </a:ln>
          <a:effectLst>
            <a:innerShdw blurRad="63500" dist="50800" dir="16200000">
              <a:prstClr val="black">
                <a:alpha val="50000"/>
              </a:prstClr>
            </a:innerShdw>
          </a:effectLst>
        </c:spPr>
      </c:pivotFmt>
      <c:pivotFmt>
        <c:idx val="5"/>
        <c:spPr>
          <a:solidFill>
            <a:schemeClr val="accent4">
              <a:lumMod val="60000"/>
              <a:lumOff val="40000"/>
            </a:schemeClr>
          </a:solidFill>
          <a:ln>
            <a:noFill/>
          </a:ln>
          <a:effectLst>
            <a:innerShdw blurRad="63500" dist="50800" dir="16200000">
              <a:prstClr val="black">
                <a:alpha val="50000"/>
              </a:prstClr>
            </a:innerShdw>
          </a:effectLst>
        </c:spPr>
      </c:pivotFmt>
      <c:pivotFmt>
        <c:idx val="6"/>
        <c:spPr>
          <a:solidFill>
            <a:schemeClr val="accent4">
              <a:lumMod val="40000"/>
              <a:lumOff val="60000"/>
            </a:schemeClr>
          </a:solidFill>
          <a:ln>
            <a:noFill/>
          </a:ln>
          <a:effectLst>
            <a:innerShdw blurRad="63500" dist="50800" dir="16200000">
              <a:prstClr val="black">
                <a:alpha val="50000"/>
              </a:prstClr>
            </a:innerShdw>
          </a:effectLst>
        </c:spPr>
      </c:pivotFmt>
      <c:pivotFmt>
        <c:idx val="7"/>
        <c:spPr>
          <a:solidFill>
            <a:schemeClr val="accent4">
              <a:lumMod val="20000"/>
              <a:lumOff val="80000"/>
            </a:schemeClr>
          </a:solidFill>
          <a:ln>
            <a:noFill/>
          </a:ln>
          <a:effectLst>
            <a:innerShdw blurRad="63500" dist="50800" dir="16200000">
              <a:prstClr val="black">
                <a:alpha val="50000"/>
              </a:prstClr>
            </a:innerShdw>
          </a:effectLst>
        </c:spPr>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430623253884839E-2"/>
          <c:y val="0.177395582423644"/>
          <c:w val="0.63948506667498217"/>
          <c:h val="0.73241772624384627"/>
        </c:manualLayout>
      </c:layout>
      <c:doughnutChart>
        <c:varyColors val="1"/>
        <c:ser>
          <c:idx val="0"/>
          <c:order val="0"/>
          <c:tx>
            <c:strRef>
              <c:f>Ecommerce!$K$23</c:f>
              <c:strCache>
                <c:ptCount val="1"/>
                <c:pt idx="0">
                  <c:v>Total</c:v>
                </c:pt>
              </c:strCache>
            </c:strRef>
          </c:tx>
          <c:spPr>
            <a:solidFill>
              <a:srgbClr val="7030A0"/>
            </a:solidFill>
            <a:effectLst>
              <a:innerShdw blurRad="63500" dist="50800" dir="16200000">
                <a:prstClr val="black">
                  <a:alpha val="50000"/>
                </a:prstClr>
              </a:innerShdw>
            </a:effectLst>
          </c:spPr>
          <c:dPt>
            <c:idx val="0"/>
            <c:bubble3D val="0"/>
            <c:spPr>
              <a:solidFill>
                <a:schemeClr val="accent4">
                  <a:lumMod val="40000"/>
                  <a:lumOff val="60000"/>
                </a:schemeClr>
              </a:solidFill>
              <a:ln>
                <a:noFill/>
              </a:ln>
              <a:effectLst>
                <a:innerShdw blurRad="63500" dist="50800" dir="16200000">
                  <a:prstClr val="black">
                    <a:alpha val="50000"/>
                  </a:prstClr>
                </a:innerShdw>
              </a:effectLst>
            </c:spPr>
            <c:extLst>
              <c:ext xmlns:c16="http://schemas.microsoft.com/office/drawing/2014/chart" uri="{C3380CC4-5D6E-409C-BE32-E72D297353CC}">
                <c16:uniqueId val="{00000004-A485-4F54-988D-680BA3E708B8}"/>
              </c:ext>
            </c:extLst>
          </c:dPt>
          <c:dPt>
            <c:idx val="1"/>
            <c:bubble3D val="0"/>
            <c:spPr>
              <a:solidFill>
                <a:schemeClr val="accent4">
                  <a:lumMod val="20000"/>
                  <a:lumOff val="80000"/>
                </a:schemeClr>
              </a:solidFill>
              <a:ln>
                <a:noFill/>
              </a:ln>
              <a:effectLst>
                <a:innerShdw blurRad="63500" dist="50800" dir="16200000">
                  <a:prstClr val="black">
                    <a:alpha val="50000"/>
                  </a:prstClr>
                </a:innerShdw>
              </a:effectLst>
            </c:spPr>
            <c:extLst>
              <c:ext xmlns:c16="http://schemas.microsoft.com/office/drawing/2014/chart" uri="{C3380CC4-5D6E-409C-BE32-E72D297353CC}">
                <c16:uniqueId val="{00000005-A485-4F54-988D-680BA3E708B8}"/>
              </c:ext>
            </c:extLst>
          </c:dPt>
          <c:dPt>
            <c:idx val="2"/>
            <c:bubble3D val="0"/>
            <c:spPr>
              <a:solidFill>
                <a:srgbClr val="7030A0"/>
              </a:solidFill>
              <a:ln>
                <a:noFill/>
              </a:ln>
              <a:effectLst>
                <a:innerShdw blurRad="63500" dist="50800" dir="16200000">
                  <a:prstClr val="black">
                    <a:alpha val="50000"/>
                  </a:prstClr>
                </a:innerShdw>
              </a:effectLst>
            </c:spPr>
            <c:extLst>
              <c:ext xmlns:c16="http://schemas.microsoft.com/office/drawing/2014/chart" uri="{C3380CC4-5D6E-409C-BE32-E72D297353CC}">
                <c16:uniqueId val="{00000002-A485-4F54-988D-680BA3E708B8}"/>
              </c:ext>
            </c:extLst>
          </c:dPt>
          <c:dPt>
            <c:idx val="3"/>
            <c:bubble3D val="0"/>
            <c:spPr>
              <a:solidFill>
                <a:schemeClr val="accent4"/>
              </a:solidFill>
              <a:ln>
                <a:noFill/>
              </a:ln>
              <a:effectLst>
                <a:innerShdw blurRad="63500" dist="50800" dir="16200000">
                  <a:prstClr val="black">
                    <a:alpha val="50000"/>
                  </a:prstClr>
                </a:innerShdw>
              </a:effectLst>
            </c:spPr>
            <c:extLst>
              <c:ext xmlns:c16="http://schemas.microsoft.com/office/drawing/2014/chart" uri="{C3380CC4-5D6E-409C-BE32-E72D297353CC}">
                <c16:uniqueId val="{00000001-A485-4F54-988D-680BA3E708B8}"/>
              </c:ext>
            </c:extLst>
          </c:dPt>
          <c:dPt>
            <c:idx val="4"/>
            <c:bubble3D val="0"/>
            <c:spPr>
              <a:solidFill>
                <a:schemeClr val="accent4">
                  <a:lumMod val="60000"/>
                  <a:lumOff val="40000"/>
                </a:schemeClr>
              </a:solidFill>
              <a:ln>
                <a:noFill/>
              </a:ln>
              <a:effectLst>
                <a:innerShdw blurRad="63500" dist="50800" dir="16200000">
                  <a:prstClr val="black">
                    <a:alpha val="50000"/>
                  </a:prstClr>
                </a:innerShdw>
              </a:effectLst>
            </c:spPr>
            <c:extLst>
              <c:ext xmlns:c16="http://schemas.microsoft.com/office/drawing/2014/chart" uri="{C3380CC4-5D6E-409C-BE32-E72D297353CC}">
                <c16:uniqueId val="{00000003-A485-4F54-988D-680BA3E708B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Ecommerce!$J$24:$J$29</c:f>
              <c:strCache>
                <c:ptCount val="5"/>
                <c:pt idx="0">
                  <c:v>Bag</c:v>
                </c:pt>
                <c:pt idx="1">
                  <c:v>Laptop</c:v>
                </c:pt>
                <c:pt idx="2">
                  <c:v>Phone</c:v>
                </c:pt>
                <c:pt idx="3">
                  <c:v>Shoes</c:v>
                </c:pt>
                <c:pt idx="4">
                  <c:v>Watch</c:v>
                </c:pt>
              </c:strCache>
            </c:strRef>
          </c:cat>
          <c:val>
            <c:numRef>
              <c:f>Ecommerce!$K$24:$K$29</c:f>
              <c:numCache>
                <c:formatCode>General</c:formatCode>
                <c:ptCount val="5"/>
                <c:pt idx="0">
                  <c:v>171</c:v>
                </c:pt>
                <c:pt idx="1">
                  <c:v>181</c:v>
                </c:pt>
                <c:pt idx="2">
                  <c:v>221</c:v>
                </c:pt>
                <c:pt idx="3">
                  <c:v>217</c:v>
                </c:pt>
                <c:pt idx="4">
                  <c:v>210</c:v>
                </c:pt>
              </c:numCache>
            </c:numRef>
          </c:val>
          <c:extLst>
            <c:ext xmlns:c16="http://schemas.microsoft.com/office/drawing/2014/chart" uri="{C3380CC4-5D6E-409C-BE32-E72D297353CC}">
              <c16:uniqueId val="{00000000-A485-4F54-988D-680BA3E708B8}"/>
            </c:ext>
          </c:extLst>
        </c:ser>
        <c:dLbls>
          <c:showLegendKey val="0"/>
          <c:showVal val="0"/>
          <c:showCatName val="0"/>
          <c:showSerName val="0"/>
          <c:showPercent val="0"/>
          <c:showBubbleSize val="0"/>
          <c:showLeaderLines val="1"/>
        </c:dLbls>
        <c:firstSliceAng val="196"/>
        <c:holeSize val="50"/>
      </c:doughnutChart>
      <c:spPr>
        <a:noFill/>
        <a:ln>
          <a:noFill/>
          <a:round/>
        </a:ln>
        <a:effectLst>
          <a:softEdge rad="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&amp; profit dataset.xlsx]Ecommerce!PivotTable8</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category</a:t>
            </a:r>
            <a:r>
              <a:rPr lang="en-US" b="1" baseline="0">
                <a:solidFill>
                  <a:schemeClr val="tx1"/>
                </a:solidFill>
              </a:rPr>
              <a:t> by total sale</a:t>
            </a:r>
            <a:endParaRPr lang="en-US" b="1">
              <a:solidFill>
                <a:schemeClr val="tx1"/>
              </a:solidFill>
            </a:endParaRPr>
          </a:p>
        </c:rich>
      </c:tx>
      <c:layout>
        <c:manualLayout>
          <c:xMode val="edge"/>
          <c:yMode val="edge"/>
          <c:x val="9.1576794955197632E-2"/>
          <c:y val="3.522581784677171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dLbl>
          <c:idx val="0"/>
          <c:layout>
            <c:manualLayout>
              <c:x val="5.1478131724837627E-3"/>
              <c:y val="-5.9876908163909968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911DF13-4A0B-40F1-B7E1-09D75475EDC8}" type="VALUE">
                  <a:rPr lang="en-US" b="1">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8271789943280828"/>
                  <c:h val="0.14951263968528319"/>
                </c:manualLayout>
              </c15:layout>
              <c15:dlblFieldTable/>
              <c15:showDataLabelsRange val="0"/>
            </c:ext>
          </c:extLst>
        </c:dLbl>
      </c:pivotFmt>
      <c:pivotFmt>
        <c:idx val="4"/>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4153539405293817"/>
                  <c:h val="0.14951263968528319"/>
                </c:manualLayout>
              </c15:layout>
            </c:ext>
          </c:extLst>
        </c:dLbl>
      </c:pivotFmt>
    </c:pivotFmts>
    <c:plotArea>
      <c:layout>
        <c:manualLayout>
          <c:layoutTarget val="inner"/>
          <c:xMode val="edge"/>
          <c:yMode val="edge"/>
          <c:x val="0.25540571050563282"/>
          <c:y val="0.17257668362773748"/>
          <c:w val="0.57348097964100686"/>
          <c:h val="0.6816151561023297"/>
        </c:manualLayout>
      </c:layout>
      <c:barChart>
        <c:barDir val="bar"/>
        <c:grouping val="stacked"/>
        <c:varyColors val="0"/>
        <c:ser>
          <c:idx val="0"/>
          <c:order val="0"/>
          <c:tx>
            <c:strRef>
              <c:f>Ecommerce!$P$29</c:f>
              <c:strCache>
                <c:ptCount val="1"/>
                <c:pt idx="0">
                  <c:v>Total</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1-B267-496D-8AE6-25EA26673ED8}"/>
              </c:ext>
            </c:extLst>
          </c:dPt>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B267-496D-8AE6-25EA26673ED8}"/>
              </c:ext>
            </c:extLst>
          </c:dPt>
          <c:dLbls>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4153539405293817"/>
                      <c:h val="0.14951263968528319"/>
                    </c:manualLayout>
                  </c15:layout>
                </c:ext>
                <c:ext xmlns:c16="http://schemas.microsoft.com/office/drawing/2014/chart" uri="{C3380CC4-5D6E-409C-BE32-E72D297353CC}">
                  <c16:uniqueId val="{00000001-B267-496D-8AE6-25EA26673ED8}"/>
                </c:ext>
              </c:extLst>
            </c:dLbl>
            <c:dLbl>
              <c:idx val="1"/>
              <c:layout>
                <c:manualLayout>
                  <c:x val="5.1478131724837627E-3"/>
                  <c:y val="-5.9876908163909968E-3"/>
                </c:manualLayout>
              </c:layout>
              <c:tx>
                <c:rich>
                  <a:bodyPr/>
                  <a:lstStyle/>
                  <a:p>
                    <a:fld id="{1911DF13-4A0B-40F1-B7E1-09D75475EDC8}" type="VALUE">
                      <a:rPr lang="en-US" b="1">
                        <a:solidFill>
                          <a:schemeClr val="bg1"/>
                        </a:solidFill>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layout>
                    <c:manualLayout>
                      <c:w val="0.28271789943280828"/>
                      <c:h val="0.14951263968528319"/>
                    </c:manualLayout>
                  </c15:layout>
                  <c15:dlblFieldTable/>
                  <c15:showDataLabelsRange val="0"/>
                </c:ext>
                <c:ext xmlns:c16="http://schemas.microsoft.com/office/drawing/2014/chart" uri="{C3380CC4-5D6E-409C-BE32-E72D297353CC}">
                  <c16:uniqueId val="{00000000-B267-496D-8AE6-25EA26673ED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Ecommerce!$O$30:$O$32</c:f>
              <c:strCache>
                <c:ptCount val="2"/>
                <c:pt idx="0">
                  <c:v>Electronics</c:v>
                </c:pt>
                <c:pt idx="1">
                  <c:v>Fashion</c:v>
                </c:pt>
              </c:strCache>
            </c:strRef>
          </c:cat>
          <c:val>
            <c:numRef>
              <c:f>Ecommerce!$P$30:$P$32</c:f>
              <c:numCache>
                <c:formatCode>General</c:formatCode>
                <c:ptCount val="2"/>
                <c:pt idx="0">
                  <c:v>11682343</c:v>
                </c:pt>
                <c:pt idx="1">
                  <c:v>12729324</c:v>
                </c:pt>
              </c:numCache>
            </c:numRef>
          </c:val>
          <c:extLst>
            <c:ext xmlns:c16="http://schemas.microsoft.com/office/drawing/2014/chart" uri="{C3380CC4-5D6E-409C-BE32-E72D297353CC}">
              <c16:uniqueId val="{00000000-07F7-4955-916E-3EE041B4B11B}"/>
            </c:ext>
          </c:extLst>
        </c:ser>
        <c:dLbls>
          <c:showLegendKey val="0"/>
          <c:showVal val="0"/>
          <c:showCatName val="0"/>
          <c:showSerName val="0"/>
          <c:showPercent val="0"/>
          <c:showBubbleSize val="0"/>
        </c:dLbls>
        <c:gapWidth val="150"/>
        <c:overlap val="100"/>
        <c:axId val="1611705344"/>
        <c:axId val="1611704864"/>
      </c:barChart>
      <c:catAx>
        <c:axId val="1611705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704864"/>
        <c:crosses val="autoZero"/>
        <c:auto val="1"/>
        <c:lblAlgn val="ctr"/>
        <c:lblOffset val="100"/>
        <c:noMultiLvlLbl val="0"/>
      </c:catAx>
      <c:valAx>
        <c:axId val="16117048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70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image" Target="../media/image7.emf"/><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3</xdr:col>
      <xdr:colOff>153864</xdr:colOff>
      <xdr:row>31</xdr:row>
      <xdr:rowOff>9896</xdr:rowOff>
    </xdr:to>
    <xdr:sp macro="" textlink="">
      <xdr:nvSpPr>
        <xdr:cNvPr id="2" name="Rectangle 1">
          <a:extLst>
            <a:ext uri="{FF2B5EF4-FFF2-40B4-BE49-F238E27FC236}">
              <a16:creationId xmlns:a16="http://schemas.microsoft.com/office/drawing/2014/main" id="{6C296834-F1E8-1DFE-2B58-E13FA1AE8EE3}"/>
            </a:ext>
          </a:extLst>
        </xdr:cNvPr>
        <xdr:cNvSpPr/>
      </xdr:nvSpPr>
      <xdr:spPr>
        <a:xfrm>
          <a:off x="0" y="1"/>
          <a:ext cx="1608591" cy="5462648"/>
        </a:xfrm>
        <a:prstGeom prst="rect">
          <a:avLst/>
        </a:prstGeom>
        <a:ln>
          <a:solidFill>
            <a:schemeClr val="lt1">
              <a:shade val="50000"/>
            </a:schemeClr>
          </a:solidFill>
        </a:ln>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148442</xdr:colOff>
      <xdr:row>0</xdr:row>
      <xdr:rowOff>0</xdr:rowOff>
    </xdr:from>
    <xdr:to>
      <xdr:col>19</xdr:col>
      <xdr:colOff>68920</xdr:colOff>
      <xdr:row>30</xdr:row>
      <xdr:rowOff>148442</xdr:rowOff>
    </xdr:to>
    <xdr:sp macro="" textlink="">
      <xdr:nvSpPr>
        <xdr:cNvPr id="3" name="Rectangle 2">
          <a:extLst>
            <a:ext uri="{FF2B5EF4-FFF2-40B4-BE49-F238E27FC236}">
              <a16:creationId xmlns:a16="http://schemas.microsoft.com/office/drawing/2014/main" id="{96CDC05A-BA34-5EC8-BDDC-679384CBD15B}"/>
            </a:ext>
          </a:extLst>
        </xdr:cNvPr>
        <xdr:cNvSpPr/>
      </xdr:nvSpPr>
      <xdr:spPr>
        <a:xfrm>
          <a:off x="1603169" y="0"/>
          <a:ext cx="9737413" cy="5423065"/>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0</xdr:colOff>
      <xdr:row>1</xdr:row>
      <xdr:rowOff>59764</xdr:rowOff>
    </xdr:from>
    <xdr:to>
      <xdr:col>2</xdr:col>
      <xdr:colOff>139213</xdr:colOff>
      <xdr:row>2</xdr:row>
      <xdr:rowOff>117232</xdr:rowOff>
    </xdr:to>
    <xdr:sp macro="" textlink="">
      <xdr:nvSpPr>
        <xdr:cNvPr id="6" name="TextBox 5">
          <a:extLst>
            <a:ext uri="{FF2B5EF4-FFF2-40B4-BE49-F238E27FC236}">
              <a16:creationId xmlns:a16="http://schemas.microsoft.com/office/drawing/2014/main" id="{15E2084F-DF1C-A4C9-2410-3A77EE907301}"/>
            </a:ext>
          </a:extLst>
        </xdr:cNvPr>
        <xdr:cNvSpPr txBox="1"/>
      </xdr:nvSpPr>
      <xdr:spPr>
        <a:xfrm>
          <a:off x="0" y="239058"/>
          <a:ext cx="1177625" cy="236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Arial" panose="020B0604020202020204" pitchFamily="34" charset="0"/>
              <a:cs typeface="Arial" panose="020B0604020202020204" pitchFamily="34" charset="0"/>
            </a:rPr>
            <a:t>total</a:t>
          </a:r>
          <a:r>
            <a:rPr lang="en-IN" sz="1400" b="1" baseline="0">
              <a:solidFill>
                <a:schemeClr val="bg1"/>
              </a:solidFill>
              <a:latin typeface="Arial" panose="020B0604020202020204" pitchFamily="34" charset="0"/>
              <a:cs typeface="Arial" panose="020B0604020202020204" pitchFamily="34" charset="0"/>
            </a:rPr>
            <a:t> orders</a:t>
          </a:r>
          <a:endParaRPr lang="en-IN" sz="1400" b="1">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37354</xdr:colOff>
      <xdr:row>2</xdr:row>
      <xdr:rowOff>121049</xdr:rowOff>
    </xdr:from>
    <xdr:to>
      <xdr:col>1</xdr:col>
      <xdr:colOff>709707</xdr:colOff>
      <xdr:row>4</xdr:row>
      <xdr:rowOff>14941</xdr:rowOff>
    </xdr:to>
    <xdr:sp macro="" textlink="$U$10">
      <xdr:nvSpPr>
        <xdr:cNvPr id="8" name="TextBox 7">
          <a:extLst>
            <a:ext uri="{FF2B5EF4-FFF2-40B4-BE49-F238E27FC236}">
              <a16:creationId xmlns:a16="http://schemas.microsoft.com/office/drawing/2014/main" id="{65EBDE51-701B-3A50-F9CE-9E85F07F1A3D}"/>
            </a:ext>
          </a:extLst>
        </xdr:cNvPr>
        <xdr:cNvSpPr txBox="1"/>
      </xdr:nvSpPr>
      <xdr:spPr>
        <a:xfrm>
          <a:off x="37354" y="479637"/>
          <a:ext cx="769471" cy="25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B6CBC4C-D6F7-4F32-9FA6-ABADC48DC975}" type="TxLink">
            <a:rPr lang="en-US" sz="1800" b="1" i="0" u="none" strike="noStrike">
              <a:solidFill>
                <a:schemeClr val="bg1"/>
              </a:solidFill>
              <a:latin typeface="Calibri"/>
              <a:ea typeface="Calibri"/>
              <a:cs typeface="Calibri"/>
            </a:rPr>
            <a:pPr/>
            <a:t>1000</a:t>
          </a:fld>
          <a:endParaRPr lang="en-US" sz="1800" b="1">
            <a:solidFill>
              <a:schemeClr val="bg1"/>
            </a:solidFill>
          </a:endParaRPr>
        </a:p>
      </xdr:txBody>
    </xdr:sp>
    <xdr:clientData/>
  </xdr:twoCellAnchor>
  <xdr:twoCellAnchor editAs="oneCell">
    <xdr:from>
      <xdr:col>1</xdr:col>
      <xdr:colOff>940862</xdr:colOff>
      <xdr:row>0</xdr:row>
      <xdr:rowOff>171248</xdr:rowOff>
    </xdr:from>
    <xdr:to>
      <xdr:col>3</xdr:col>
      <xdr:colOff>87491</xdr:colOff>
      <xdr:row>3</xdr:row>
      <xdr:rowOff>35917</xdr:rowOff>
    </xdr:to>
    <xdr:pic>
      <xdr:nvPicPr>
        <xdr:cNvPr id="10" name="Graphic 9" descr="Group brainstorm with solid fill">
          <a:extLst>
            <a:ext uri="{FF2B5EF4-FFF2-40B4-BE49-F238E27FC236}">
              <a16:creationId xmlns:a16="http://schemas.microsoft.com/office/drawing/2014/main" id="{CA8803F4-0C4E-564A-B5C9-D568FF1FCBB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37980" y="171248"/>
          <a:ext cx="498805" cy="402551"/>
        </a:xfrm>
        <a:prstGeom prst="rect">
          <a:avLst/>
        </a:prstGeom>
      </xdr:spPr>
    </xdr:pic>
    <xdr:clientData/>
  </xdr:twoCellAnchor>
  <xdr:twoCellAnchor>
    <xdr:from>
      <xdr:col>0</xdr:col>
      <xdr:colOff>0</xdr:colOff>
      <xdr:row>5</xdr:row>
      <xdr:rowOff>29451</xdr:rowOff>
    </xdr:from>
    <xdr:to>
      <xdr:col>2</xdr:col>
      <xdr:colOff>254000</xdr:colOff>
      <xdr:row>7</xdr:row>
      <xdr:rowOff>37354</xdr:rowOff>
    </xdr:to>
    <xdr:sp macro="" textlink="">
      <xdr:nvSpPr>
        <xdr:cNvPr id="11" name="TextBox 10">
          <a:extLst>
            <a:ext uri="{FF2B5EF4-FFF2-40B4-BE49-F238E27FC236}">
              <a16:creationId xmlns:a16="http://schemas.microsoft.com/office/drawing/2014/main" id="{BA7A471B-8F6A-AA51-F9E4-FA50DC9CA394}"/>
            </a:ext>
          </a:extLst>
        </xdr:cNvPr>
        <xdr:cNvSpPr txBox="1"/>
      </xdr:nvSpPr>
      <xdr:spPr>
        <a:xfrm>
          <a:off x="0" y="925922"/>
          <a:ext cx="1292412" cy="291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Arial" panose="020B0604020202020204" pitchFamily="34" charset="0"/>
              <a:cs typeface="Arial" panose="020B0604020202020204" pitchFamily="34" charset="0"/>
            </a:rPr>
            <a:t>total</a:t>
          </a:r>
          <a:r>
            <a:rPr lang="en-IN" sz="1400" b="1" baseline="0">
              <a:solidFill>
                <a:schemeClr val="bg1"/>
              </a:solidFill>
              <a:latin typeface="Arial" panose="020B0604020202020204" pitchFamily="34" charset="0"/>
              <a:cs typeface="Arial" panose="020B0604020202020204" pitchFamily="34" charset="0"/>
            </a:rPr>
            <a:t> amount</a:t>
          </a:r>
          <a:endParaRPr lang="en-IN" sz="1400" b="1">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0</xdr:colOff>
      <xdr:row>6</xdr:row>
      <xdr:rowOff>43387</xdr:rowOff>
    </xdr:from>
    <xdr:to>
      <xdr:col>3</xdr:col>
      <xdr:colOff>139212</xdr:colOff>
      <xdr:row>8</xdr:row>
      <xdr:rowOff>59477</xdr:rowOff>
    </xdr:to>
    <xdr:sp macro="" textlink="$V$11">
      <xdr:nvSpPr>
        <xdr:cNvPr id="12" name="TextBox 11">
          <a:extLst>
            <a:ext uri="{FF2B5EF4-FFF2-40B4-BE49-F238E27FC236}">
              <a16:creationId xmlns:a16="http://schemas.microsoft.com/office/drawing/2014/main" id="{7F6EC1D4-6322-77C3-C3FE-45D66D1D99D1}"/>
            </a:ext>
          </a:extLst>
        </xdr:cNvPr>
        <xdr:cNvSpPr txBox="1"/>
      </xdr:nvSpPr>
      <xdr:spPr>
        <a:xfrm>
          <a:off x="0" y="1119152"/>
          <a:ext cx="1588506" cy="299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091E461-D6B9-4D1B-A0AE-06AC461FBDA9}" type="TxLink">
            <a:rPr lang="en-US" sz="2000" b="1" i="0" u="none" strike="noStrike">
              <a:solidFill>
                <a:schemeClr val="bg2"/>
              </a:solidFill>
              <a:latin typeface="Calibri"/>
              <a:ea typeface="Calibri"/>
              <a:cs typeface="Calibri"/>
            </a:rPr>
            <a:pPr/>
            <a:t>24411667</a:t>
          </a:fld>
          <a:endParaRPr lang="en-IN" sz="2000" b="1">
            <a:solidFill>
              <a:schemeClr val="bg2"/>
            </a:solidFill>
          </a:endParaRPr>
        </a:p>
      </xdr:txBody>
    </xdr:sp>
    <xdr:clientData/>
  </xdr:twoCellAnchor>
  <xdr:twoCellAnchor editAs="oneCell">
    <xdr:from>
      <xdr:col>2</xdr:col>
      <xdr:colOff>164065</xdr:colOff>
      <xdr:row>4</xdr:row>
      <xdr:rowOff>161337</xdr:rowOff>
    </xdr:from>
    <xdr:to>
      <xdr:col>3</xdr:col>
      <xdr:colOff>200700</xdr:colOff>
      <xdr:row>7</xdr:row>
      <xdr:rowOff>27440</xdr:rowOff>
    </xdr:to>
    <xdr:pic>
      <xdr:nvPicPr>
        <xdr:cNvPr id="16" name="Graphic 15" descr="Money with solid fill">
          <a:extLst>
            <a:ext uri="{FF2B5EF4-FFF2-40B4-BE49-F238E27FC236}">
              <a16:creationId xmlns:a16="http://schemas.microsoft.com/office/drawing/2014/main" id="{91617888-D426-066B-BFD7-0EE2C2CE34F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02477" y="878513"/>
          <a:ext cx="447517" cy="329280"/>
        </a:xfrm>
        <a:prstGeom prst="rect">
          <a:avLst/>
        </a:prstGeom>
      </xdr:spPr>
    </xdr:pic>
    <xdr:clientData/>
  </xdr:twoCellAnchor>
  <xdr:twoCellAnchor>
    <xdr:from>
      <xdr:col>0</xdr:col>
      <xdr:colOff>0</xdr:colOff>
      <xdr:row>9</xdr:row>
      <xdr:rowOff>119529</xdr:rowOff>
    </xdr:from>
    <xdr:to>
      <xdr:col>2</xdr:col>
      <xdr:colOff>366059</xdr:colOff>
      <xdr:row>11</xdr:row>
      <xdr:rowOff>37353</xdr:rowOff>
    </xdr:to>
    <xdr:sp macro="" textlink="">
      <xdr:nvSpPr>
        <xdr:cNvPr id="17" name="TextBox 16">
          <a:extLst>
            <a:ext uri="{FF2B5EF4-FFF2-40B4-BE49-F238E27FC236}">
              <a16:creationId xmlns:a16="http://schemas.microsoft.com/office/drawing/2014/main" id="{3A5A4BDF-5F1A-8959-DF92-F9072AA0590F}"/>
            </a:ext>
          </a:extLst>
        </xdr:cNvPr>
        <xdr:cNvSpPr txBox="1"/>
      </xdr:nvSpPr>
      <xdr:spPr>
        <a:xfrm>
          <a:off x="0" y="1658470"/>
          <a:ext cx="1404471" cy="276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total profit</a:t>
          </a:r>
        </a:p>
      </xdr:txBody>
    </xdr:sp>
    <xdr:clientData/>
  </xdr:twoCellAnchor>
  <xdr:twoCellAnchor>
    <xdr:from>
      <xdr:col>0</xdr:col>
      <xdr:colOff>86691</xdr:colOff>
      <xdr:row>11</xdr:row>
      <xdr:rowOff>6754</xdr:rowOff>
    </xdr:from>
    <xdr:to>
      <xdr:col>1</xdr:col>
      <xdr:colOff>914633</xdr:colOff>
      <xdr:row>12</xdr:row>
      <xdr:rowOff>145965</xdr:rowOff>
    </xdr:to>
    <xdr:sp macro="" textlink="$W$10">
      <xdr:nvSpPr>
        <xdr:cNvPr id="18" name="TextBox 17">
          <a:extLst>
            <a:ext uri="{FF2B5EF4-FFF2-40B4-BE49-F238E27FC236}">
              <a16:creationId xmlns:a16="http://schemas.microsoft.com/office/drawing/2014/main" id="{2BD1E38D-9CCC-2812-BBB3-B964CD66008C}"/>
            </a:ext>
          </a:extLst>
        </xdr:cNvPr>
        <xdr:cNvSpPr txBox="1"/>
      </xdr:nvSpPr>
      <xdr:spPr>
        <a:xfrm>
          <a:off x="86691" y="1896910"/>
          <a:ext cx="926903" cy="317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2066F0-C366-42B2-94DB-798912D1F4C6}" type="TxLink">
            <a:rPr lang="en-US" sz="1800" b="1" i="0" u="none" strike="noStrike">
              <a:solidFill>
                <a:schemeClr val="bg1"/>
              </a:solidFill>
              <a:latin typeface="Calibri"/>
              <a:ea typeface="Calibri"/>
              <a:cs typeface="Calibri"/>
            </a:rPr>
            <a:pPr/>
            <a:t>4083692</a:t>
          </a:fld>
          <a:endParaRPr lang="en-IN" sz="1800" b="1">
            <a:solidFill>
              <a:schemeClr val="bg1"/>
            </a:solidFill>
          </a:endParaRPr>
        </a:p>
      </xdr:txBody>
    </xdr:sp>
    <xdr:clientData/>
  </xdr:twoCellAnchor>
  <xdr:twoCellAnchor editAs="oneCell">
    <xdr:from>
      <xdr:col>1</xdr:col>
      <xdr:colOff>932532</xdr:colOff>
      <xdr:row>9</xdr:row>
      <xdr:rowOff>13217</xdr:rowOff>
    </xdr:from>
    <xdr:to>
      <xdr:col>3</xdr:col>
      <xdr:colOff>163204</xdr:colOff>
      <xdr:row>11</xdr:row>
      <xdr:rowOff>148551</xdr:rowOff>
    </xdr:to>
    <xdr:pic>
      <xdr:nvPicPr>
        <xdr:cNvPr id="20" name="Graphic 19" descr="Bar chart with solid fill">
          <a:extLst>
            <a:ext uri="{FF2B5EF4-FFF2-40B4-BE49-F238E27FC236}">
              <a16:creationId xmlns:a16="http://schemas.microsoft.com/office/drawing/2014/main" id="{4ED8D2B3-FACD-4762-3ECC-965E7EF4774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29650" y="1552158"/>
          <a:ext cx="582848" cy="493922"/>
        </a:xfrm>
        <a:prstGeom prst="rect">
          <a:avLst/>
        </a:prstGeom>
      </xdr:spPr>
    </xdr:pic>
    <xdr:clientData/>
  </xdr:twoCellAnchor>
  <xdr:twoCellAnchor>
    <xdr:from>
      <xdr:col>10</xdr:col>
      <xdr:colOff>46825</xdr:colOff>
      <xdr:row>17</xdr:row>
      <xdr:rowOff>80796</xdr:rowOff>
    </xdr:from>
    <xdr:to>
      <xdr:col>19</xdr:col>
      <xdr:colOff>70070</xdr:colOff>
      <xdr:row>30</xdr:row>
      <xdr:rowOff>44931</xdr:rowOff>
    </xdr:to>
    <xdr:sp macro="" textlink="">
      <xdr:nvSpPr>
        <xdr:cNvPr id="19" name="Rectangle: Rounded Corners 18">
          <a:extLst>
            <a:ext uri="{FF2B5EF4-FFF2-40B4-BE49-F238E27FC236}">
              <a16:creationId xmlns:a16="http://schemas.microsoft.com/office/drawing/2014/main" id="{EEED0015-4346-BD40-1E1F-FE936FBA2C2A}"/>
            </a:ext>
          </a:extLst>
        </xdr:cNvPr>
        <xdr:cNvSpPr/>
      </xdr:nvSpPr>
      <xdr:spPr>
        <a:xfrm>
          <a:off x="5792480" y="3128796"/>
          <a:ext cx="5541176" cy="2355238"/>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62489</xdr:colOff>
      <xdr:row>17</xdr:row>
      <xdr:rowOff>121567</xdr:rowOff>
    </xdr:from>
    <xdr:to>
      <xdr:col>18</xdr:col>
      <xdr:colOff>595586</xdr:colOff>
      <xdr:row>30</xdr:row>
      <xdr:rowOff>140138</xdr:rowOff>
    </xdr:to>
    <xdr:graphicFrame macro="">
      <xdr:nvGraphicFramePr>
        <xdr:cNvPr id="15" name="Chart 14">
          <a:extLst>
            <a:ext uri="{FF2B5EF4-FFF2-40B4-BE49-F238E27FC236}">
              <a16:creationId xmlns:a16="http://schemas.microsoft.com/office/drawing/2014/main" id="{6D4AE9BB-775B-4BBD-B7EC-5B6B9092C0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166651</xdr:colOff>
      <xdr:row>16</xdr:row>
      <xdr:rowOff>81462</xdr:rowOff>
    </xdr:from>
    <xdr:to>
      <xdr:col>9</xdr:col>
      <xdr:colOff>525517</xdr:colOff>
      <xdr:row>30</xdr:row>
      <xdr:rowOff>96113</xdr:rowOff>
    </xdr:to>
    <xdr:sp macro="" textlink="">
      <xdr:nvSpPr>
        <xdr:cNvPr id="21" name="Rectangle: Rounded Corners 20">
          <a:extLst>
            <a:ext uri="{FF2B5EF4-FFF2-40B4-BE49-F238E27FC236}">
              <a16:creationId xmlns:a16="http://schemas.microsoft.com/office/drawing/2014/main" id="{3A274FEE-6F26-5506-4A98-99CDCC45B138}"/>
            </a:ext>
          </a:extLst>
        </xdr:cNvPr>
        <xdr:cNvSpPr/>
      </xdr:nvSpPr>
      <xdr:spPr>
        <a:xfrm>
          <a:off x="1620582" y="2945531"/>
          <a:ext cx="4037487" cy="2589685"/>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261613</xdr:colOff>
      <xdr:row>16</xdr:row>
      <xdr:rowOff>140361</xdr:rowOff>
    </xdr:from>
    <xdr:to>
      <xdr:col>9</xdr:col>
      <xdr:colOff>490482</xdr:colOff>
      <xdr:row>30</xdr:row>
      <xdr:rowOff>56316</xdr:rowOff>
    </xdr:to>
    <xdr:graphicFrame macro="">
      <xdr:nvGraphicFramePr>
        <xdr:cNvPr id="14" name="Chart 13">
          <a:extLst>
            <a:ext uri="{FF2B5EF4-FFF2-40B4-BE49-F238E27FC236}">
              <a16:creationId xmlns:a16="http://schemas.microsoft.com/office/drawing/2014/main" id="{52E64F6E-5CE7-4219-AB78-5AD9B8466B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74705</xdr:colOff>
      <xdr:row>2</xdr:row>
      <xdr:rowOff>171824</xdr:rowOff>
    </xdr:from>
    <xdr:to>
      <xdr:col>19</xdr:col>
      <xdr:colOff>7471</xdr:colOff>
      <xdr:row>16</xdr:row>
      <xdr:rowOff>149411</xdr:rowOff>
    </xdr:to>
    <xdr:sp macro="" textlink="">
      <xdr:nvSpPr>
        <xdr:cNvPr id="22" name="Rectangle: Rounded Corners 21">
          <a:extLst>
            <a:ext uri="{FF2B5EF4-FFF2-40B4-BE49-F238E27FC236}">
              <a16:creationId xmlns:a16="http://schemas.microsoft.com/office/drawing/2014/main" id="{6D3FEB05-9450-DB47-2AAF-3CE8B4180E5C}"/>
            </a:ext>
          </a:extLst>
        </xdr:cNvPr>
        <xdr:cNvSpPr/>
      </xdr:nvSpPr>
      <xdr:spPr>
        <a:xfrm>
          <a:off x="7037293" y="530412"/>
          <a:ext cx="4220884" cy="2412999"/>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70827</xdr:colOff>
      <xdr:row>3</xdr:row>
      <xdr:rowOff>52295</xdr:rowOff>
    </xdr:from>
    <xdr:to>
      <xdr:col>18</xdr:col>
      <xdr:colOff>595491</xdr:colOff>
      <xdr:row>16</xdr:row>
      <xdr:rowOff>109763</xdr:rowOff>
    </xdr:to>
    <xdr:graphicFrame macro="">
      <xdr:nvGraphicFramePr>
        <xdr:cNvPr id="13" name="Chart 12">
          <a:extLst>
            <a:ext uri="{FF2B5EF4-FFF2-40B4-BE49-F238E27FC236}">
              <a16:creationId xmlns:a16="http://schemas.microsoft.com/office/drawing/2014/main" id="{4F70E8E1-61C9-4EF6-8BD1-850E7F7B4A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241500</xdr:colOff>
      <xdr:row>3</xdr:row>
      <xdr:rowOff>44824</xdr:rowOff>
    </xdr:from>
    <xdr:to>
      <xdr:col>7</xdr:col>
      <xdr:colOff>373384</xdr:colOff>
      <xdr:row>16</xdr:row>
      <xdr:rowOff>4741</xdr:rowOff>
    </xdr:to>
    <xdr:sp macro="" textlink="">
      <xdr:nvSpPr>
        <xdr:cNvPr id="24" name="Rectangle: Rounded Corners 23">
          <a:extLst>
            <a:ext uri="{FF2B5EF4-FFF2-40B4-BE49-F238E27FC236}">
              <a16:creationId xmlns:a16="http://schemas.microsoft.com/office/drawing/2014/main" id="{A8AB0168-42BC-F3C7-C128-6A8B3D573EA8}"/>
            </a:ext>
          </a:extLst>
        </xdr:cNvPr>
        <xdr:cNvSpPr/>
      </xdr:nvSpPr>
      <xdr:spPr>
        <a:xfrm>
          <a:off x="1690794" y="582706"/>
          <a:ext cx="2582237" cy="2216035"/>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208171</xdr:colOff>
      <xdr:row>2</xdr:row>
      <xdr:rowOff>156451</xdr:rowOff>
    </xdr:from>
    <xdr:to>
      <xdr:col>7</xdr:col>
      <xdr:colOff>385379</xdr:colOff>
      <xdr:row>15</xdr:row>
      <xdr:rowOff>140138</xdr:rowOff>
    </xdr:to>
    <xdr:graphicFrame macro="">
      <xdr:nvGraphicFramePr>
        <xdr:cNvPr id="4" name="Chart 3">
          <a:extLst>
            <a:ext uri="{FF2B5EF4-FFF2-40B4-BE49-F238E27FC236}">
              <a16:creationId xmlns:a16="http://schemas.microsoft.com/office/drawing/2014/main" id="{A588AE61-6121-49F6-9198-DA9C9B6640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468061</xdr:colOff>
      <xdr:row>3</xdr:row>
      <xdr:rowOff>80452</xdr:rowOff>
    </xdr:from>
    <xdr:to>
      <xdr:col>12</xdr:col>
      <xdr:colOff>21119</xdr:colOff>
      <xdr:row>15</xdr:row>
      <xdr:rowOff>124413</xdr:rowOff>
    </xdr:to>
    <xdr:sp macro="" textlink="">
      <xdr:nvSpPr>
        <xdr:cNvPr id="26" name="Rectangle: Rounded Corners 25">
          <a:extLst>
            <a:ext uri="{FF2B5EF4-FFF2-40B4-BE49-F238E27FC236}">
              <a16:creationId xmlns:a16="http://schemas.microsoft.com/office/drawing/2014/main" id="{088920C8-D5B1-E1AF-EA0B-9E2E7DDCB88F}"/>
            </a:ext>
          </a:extLst>
        </xdr:cNvPr>
        <xdr:cNvSpPr/>
      </xdr:nvSpPr>
      <xdr:spPr>
        <a:xfrm>
          <a:off x="4367708" y="618334"/>
          <a:ext cx="2615999" cy="2120785"/>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549376</xdr:colOff>
      <xdr:row>3</xdr:row>
      <xdr:rowOff>132604</xdr:rowOff>
    </xdr:from>
    <xdr:to>
      <xdr:col>11</xdr:col>
      <xdr:colOff>564029</xdr:colOff>
      <xdr:row>15</xdr:row>
      <xdr:rowOff>125277</xdr:rowOff>
    </xdr:to>
    <xdr:graphicFrame macro="">
      <xdr:nvGraphicFramePr>
        <xdr:cNvPr id="25" name="Chart 24">
          <a:extLst>
            <a:ext uri="{FF2B5EF4-FFF2-40B4-BE49-F238E27FC236}">
              <a16:creationId xmlns:a16="http://schemas.microsoft.com/office/drawing/2014/main" id="{C0C968AF-7120-48C7-89FB-A50D8C58E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57147</xdr:colOff>
      <xdr:row>19</xdr:row>
      <xdr:rowOff>163966</xdr:rowOff>
    </xdr:from>
    <xdr:to>
      <xdr:col>2</xdr:col>
      <xdr:colOff>395844</xdr:colOff>
      <xdr:row>29</xdr:row>
      <xdr:rowOff>0</xdr:rowOff>
    </xdr:to>
    <mc:AlternateContent xmlns:mc="http://schemas.openxmlformats.org/markup-compatibility/2006" xmlns:a14="http://schemas.microsoft.com/office/drawing/2010/main">
      <mc:Choice Requires="a14">
        <xdr:graphicFrame macro="">
          <xdr:nvGraphicFramePr>
            <xdr:cNvPr id="27" name="Months (Order Date) 1">
              <a:extLst>
                <a:ext uri="{FF2B5EF4-FFF2-40B4-BE49-F238E27FC236}">
                  <a16:creationId xmlns:a16="http://schemas.microsoft.com/office/drawing/2014/main" id="{21FD1FC7-E4D9-4377-B9CA-E69244AC9F4A}"/>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57147" y="3479161"/>
              <a:ext cx="1377788" cy="1617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0</xdr:colOff>
      <xdr:row>22</xdr:row>
      <xdr:rowOff>0</xdr:rowOff>
    </xdr:from>
    <xdr:to>
      <xdr:col>22</xdr:col>
      <xdr:colOff>270642</xdr:colOff>
      <xdr:row>23</xdr:row>
      <xdr:rowOff>7620</xdr:rowOff>
    </xdr:to>
    <xdr:pic>
      <xdr:nvPicPr>
        <xdr:cNvPr id="28" name="Picture 27">
          <a:extLst>
            <a:ext uri="{FF2B5EF4-FFF2-40B4-BE49-F238E27FC236}">
              <a16:creationId xmlns:a16="http://schemas.microsoft.com/office/drawing/2014/main" id="{B70C7D52-EF2F-E17D-68FB-3BB0F0AB3984}"/>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2938760" y="3947160"/>
          <a:ext cx="109728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72280</xdr:colOff>
      <xdr:row>14</xdr:row>
      <xdr:rowOff>32699</xdr:rowOff>
    </xdr:from>
    <xdr:to>
      <xdr:col>3</xdr:col>
      <xdr:colOff>64810</xdr:colOff>
      <xdr:row>19</xdr:row>
      <xdr:rowOff>55108</xdr:rowOff>
    </xdr:to>
    <mc:AlternateContent xmlns:mc="http://schemas.openxmlformats.org/markup-compatibility/2006" xmlns:a14="http://schemas.microsoft.com/office/drawing/2010/main">
      <mc:Choice Requires="a14">
        <xdr:graphicFrame macro="">
          <xdr:nvGraphicFramePr>
            <xdr:cNvPr id="29" name="Category 1">
              <a:extLst>
                <a:ext uri="{FF2B5EF4-FFF2-40B4-BE49-F238E27FC236}">
                  <a16:creationId xmlns:a16="http://schemas.microsoft.com/office/drawing/2014/main" id="{F176DBC4-E05E-4EF1-AC7D-7C5CB270C95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2280" y="2457244"/>
              <a:ext cx="1447257" cy="913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499243</xdr:colOff>
      <xdr:row>0</xdr:row>
      <xdr:rowOff>0</xdr:rowOff>
    </xdr:from>
    <xdr:to>
      <xdr:col>14</xdr:col>
      <xdr:colOff>157655</xdr:colOff>
      <xdr:row>3</xdr:row>
      <xdr:rowOff>0</xdr:rowOff>
    </xdr:to>
    <xdr:sp macro="" textlink="">
      <xdr:nvSpPr>
        <xdr:cNvPr id="30" name="TextBox 29">
          <a:extLst>
            <a:ext uri="{FF2B5EF4-FFF2-40B4-BE49-F238E27FC236}">
              <a16:creationId xmlns:a16="http://schemas.microsoft.com/office/drawing/2014/main" id="{E213172D-6B75-A2EC-B04D-7764EE267154}"/>
            </a:ext>
          </a:extLst>
        </xdr:cNvPr>
        <xdr:cNvSpPr txBox="1"/>
      </xdr:nvSpPr>
      <xdr:spPr>
        <a:xfrm>
          <a:off x="3792484" y="0"/>
          <a:ext cx="4563240" cy="551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baseline="0">
              <a:solidFill>
                <a:schemeClr val="tx1"/>
              </a:solidFill>
            </a:rPr>
            <a:t>Product Sales &amp; Profit</a:t>
          </a:r>
          <a:r>
            <a:rPr lang="en-IN" sz="2400" b="1">
              <a:solidFill>
                <a:schemeClr val="tx1"/>
              </a:solidFill>
            </a:rPr>
            <a:t> Dashboard</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sh kumar" refreshedDate="46126.652810995372" createdVersion="8" refreshedVersion="8" minRefreshableVersion="3" recordCount="1000" xr:uid="{CD340CDF-029B-48EB-83E8-3332DFF0D661}">
  <cacheSource type="worksheet">
    <worksheetSource name="Table3"/>
  </cacheSource>
  <cacheFields count="9">
    <cacheField name="Order ID" numFmtId="0">
      <sharedItems containsSemiMixedTypes="0" containsString="0" containsNumber="1" containsInteger="1" minValue="1" maxValue="1000"/>
    </cacheField>
    <cacheField name="Order Date" numFmtId="14">
      <sharedItems containsSemiMixedTypes="0" containsNonDate="0" containsDate="1" containsString="0" minDate="2024-01-02T00:00:00" maxDate="2025-01-01T00:00:00" count="348">
        <d v="2024-12-19T00:00:00"/>
        <d v="2024-11-12T00:00:00"/>
        <d v="2024-06-06T00:00:00"/>
        <d v="2024-12-18T00:00:00"/>
        <d v="2024-07-09T00:00:00"/>
        <d v="2024-12-01T00:00:00"/>
        <d v="2024-05-06T00:00:00"/>
        <d v="2024-10-09T00:00:00"/>
        <d v="2024-09-17T00:00:00"/>
        <d v="2024-05-12T00:00:00"/>
        <d v="2024-06-22T00:00:00"/>
        <d v="2024-02-03T00:00:00"/>
        <d v="2024-10-10T00:00:00"/>
        <d v="2024-12-15T00:00:00"/>
        <d v="2024-03-06T00:00:00"/>
        <d v="2024-05-27T00:00:00"/>
        <d v="2024-12-05T00:00:00"/>
        <d v="2024-03-22T00:00:00"/>
        <d v="2024-10-18T00:00:00"/>
        <d v="2024-03-14T00:00:00"/>
        <d v="2024-01-24T00:00:00"/>
        <d v="2024-12-22T00:00:00"/>
        <d v="2024-11-14T00:00:00"/>
        <d v="2024-10-08T00:00:00"/>
        <d v="2024-04-04T00:00:00"/>
        <d v="2024-06-19T00:00:00"/>
        <d v="2024-10-23T00:00:00"/>
        <d v="2024-01-16T00:00:00"/>
        <d v="2024-08-28T00:00:00"/>
        <d v="2024-06-23T00:00:00"/>
        <d v="2024-08-29T00:00:00"/>
        <d v="2024-03-13T00:00:00"/>
        <d v="2024-07-28T00:00:00"/>
        <d v="2024-11-10T00:00:00"/>
        <d v="2024-08-27T00:00:00"/>
        <d v="2024-06-27T00:00:00"/>
        <d v="2024-01-25T00:00:00"/>
        <d v="2024-04-30T00:00:00"/>
        <d v="2024-01-21T00:00:00"/>
        <d v="2024-12-11T00:00:00"/>
        <d v="2024-03-05T00:00:00"/>
        <d v="2024-08-02T00:00:00"/>
        <d v="2024-10-22T00:00:00"/>
        <d v="2024-10-05T00:00:00"/>
        <d v="2024-11-18T00:00:00"/>
        <d v="2024-01-27T00:00:00"/>
        <d v="2024-06-12T00:00:00"/>
        <d v="2024-07-24T00:00:00"/>
        <d v="2024-10-14T00:00:00"/>
        <d v="2024-09-21T00:00:00"/>
        <d v="2024-01-10T00:00:00"/>
        <d v="2024-10-12T00:00:00"/>
        <d v="2024-02-06T00:00:00"/>
        <d v="2024-08-01T00:00:00"/>
        <d v="2024-07-27T00:00:00"/>
        <d v="2024-06-10T00:00:00"/>
        <d v="2024-12-12T00:00:00"/>
        <d v="2024-03-30T00:00:00"/>
        <d v="2024-08-08T00:00:00"/>
        <d v="2024-11-15T00:00:00"/>
        <d v="2024-05-17T00:00:00"/>
        <d v="2024-06-18T00:00:00"/>
        <d v="2024-11-09T00:00:00"/>
        <d v="2024-09-22T00:00:00"/>
        <d v="2024-05-20T00:00:00"/>
        <d v="2024-06-03T00:00:00"/>
        <d v="2024-08-24T00:00:00"/>
        <d v="2024-05-05T00:00:00"/>
        <d v="2024-05-10T00:00:00"/>
        <d v="2024-09-20T00:00:00"/>
        <d v="2024-06-16T00:00:00"/>
        <d v="2024-05-13T00:00:00"/>
        <d v="2024-02-12T00:00:00"/>
        <d v="2024-12-10T00:00:00"/>
        <d v="2024-03-02T00:00:00"/>
        <d v="2024-05-31T00:00:00"/>
        <d v="2024-05-24T00:00:00"/>
        <d v="2024-05-07T00:00:00"/>
        <d v="2024-04-02T00:00:00"/>
        <d v="2024-08-09T00:00:00"/>
        <d v="2024-12-07T00:00:00"/>
        <d v="2024-04-01T00:00:00"/>
        <d v="2024-06-17T00:00:00"/>
        <d v="2024-04-15T00:00:00"/>
        <d v="2024-03-27T00:00:00"/>
        <d v="2024-03-01T00:00:00"/>
        <d v="2024-09-15T00:00:00"/>
        <d v="2024-12-25T00:00:00"/>
        <d v="2024-10-01T00:00:00"/>
        <d v="2024-08-26T00:00:00"/>
        <d v="2024-01-05T00:00:00"/>
        <d v="2024-01-11T00:00:00"/>
        <d v="2024-03-11T00:00:00"/>
        <d v="2024-01-08T00:00:00"/>
        <d v="2024-05-09T00:00:00"/>
        <d v="2024-01-22T00:00:00"/>
        <d v="2024-01-04T00:00:00"/>
        <d v="2024-02-08T00:00:00"/>
        <d v="2024-01-15T00:00:00"/>
        <d v="2024-11-26T00:00:00"/>
        <d v="2024-04-24T00:00:00"/>
        <d v="2024-02-15T00:00:00"/>
        <d v="2024-04-16T00:00:00"/>
        <d v="2024-05-03T00:00:00"/>
        <d v="2024-07-06T00:00:00"/>
        <d v="2024-12-13T00:00:00"/>
        <d v="2024-02-29T00:00:00"/>
        <d v="2024-01-02T00:00:00"/>
        <d v="2024-07-26T00:00:00"/>
        <d v="2024-03-21T00:00:00"/>
        <d v="2024-07-30T00:00:00"/>
        <d v="2024-07-12T00:00:00"/>
        <d v="2024-06-28T00:00:00"/>
        <d v="2024-09-04T00:00:00"/>
        <d v="2024-12-30T00:00:00"/>
        <d v="2024-02-05T00:00:00"/>
        <d v="2024-07-08T00:00:00"/>
        <d v="2024-01-19T00:00:00"/>
        <d v="2024-03-09T00:00:00"/>
        <d v="2024-05-30T00:00:00"/>
        <d v="2024-12-04T00:00:00"/>
        <d v="2024-07-25T00:00:00"/>
        <d v="2024-01-09T00:00:00"/>
        <d v="2024-02-22T00:00:00"/>
        <d v="2024-11-21T00:00:00"/>
        <d v="2024-10-20T00:00:00"/>
        <d v="2024-07-15T00:00:00"/>
        <d v="2024-12-17T00:00:00"/>
        <d v="2024-03-28T00:00:00"/>
        <d v="2024-04-28T00:00:00"/>
        <d v="2024-09-08T00:00:00"/>
        <d v="2024-05-28T00:00:00"/>
        <d v="2024-06-02T00:00:00"/>
        <d v="2024-07-19T00:00:00"/>
        <d v="2024-10-29T00:00:00"/>
        <d v="2024-09-18T00:00:00"/>
        <d v="2024-03-19T00:00:00"/>
        <d v="2024-03-10T00:00:00"/>
        <d v="2024-11-27T00:00:00"/>
        <d v="2024-03-18T00:00:00"/>
        <d v="2024-08-30T00:00:00"/>
        <d v="2024-05-18T00:00:00"/>
        <d v="2024-01-18T00:00:00"/>
        <d v="2024-04-06T00:00:00"/>
        <d v="2024-02-14T00:00:00"/>
        <d v="2024-04-26T00:00:00"/>
        <d v="2024-08-23T00:00:00"/>
        <d v="2024-10-02T00:00:00"/>
        <d v="2024-06-05T00:00:00"/>
        <d v="2024-08-11T00:00:00"/>
        <d v="2024-05-29T00:00:00"/>
        <d v="2024-01-31T00:00:00"/>
        <d v="2024-08-10T00:00:00"/>
        <d v="2024-09-19T00:00:00"/>
        <d v="2024-07-18T00:00:00"/>
        <d v="2024-12-16T00:00:00"/>
        <d v="2024-08-06T00:00:00"/>
        <d v="2024-02-20T00:00:00"/>
        <d v="2024-11-05T00:00:00"/>
        <d v="2024-11-04T00:00:00"/>
        <d v="2024-04-12T00:00:00"/>
        <d v="2024-01-28T00:00:00"/>
        <d v="2024-05-19T00:00:00"/>
        <d v="2024-06-01T00:00:00"/>
        <d v="2024-08-14T00:00:00"/>
        <d v="2024-04-08T00:00:00"/>
        <d v="2024-03-26T00:00:00"/>
        <d v="2024-05-26T00:00:00"/>
        <d v="2024-09-12T00:00:00"/>
        <d v="2024-11-19T00:00:00"/>
        <d v="2024-02-04T00:00:00"/>
        <d v="2024-07-10T00:00:00"/>
        <d v="2024-02-27T00:00:00"/>
        <d v="2024-01-29T00:00:00"/>
        <d v="2024-09-26T00:00:00"/>
        <d v="2024-06-30T00:00:00"/>
        <d v="2024-02-10T00:00:00"/>
        <d v="2024-07-11T00:00:00"/>
        <d v="2024-09-02T00:00:00"/>
        <d v="2024-12-20T00:00:00"/>
        <d v="2024-11-16T00:00:00"/>
        <d v="2024-08-22T00:00:00"/>
        <d v="2024-01-12T00:00:00"/>
        <d v="2024-06-21T00:00:00"/>
        <d v="2024-09-05T00:00:00"/>
        <d v="2024-03-23T00:00:00"/>
        <d v="2024-05-04T00:00:00"/>
        <d v="2024-07-16T00:00:00"/>
        <d v="2024-10-17T00:00:00"/>
        <d v="2024-06-15T00:00:00"/>
        <d v="2024-10-24T00:00:00"/>
        <d v="2024-04-03T00:00:00"/>
        <d v="2024-01-03T00:00:00"/>
        <d v="2024-02-07T00:00:00"/>
        <d v="2024-10-16T00:00:00"/>
        <d v="2024-05-25T00:00:00"/>
        <d v="2024-12-21T00:00:00"/>
        <d v="2024-05-01T00:00:00"/>
        <d v="2024-03-08T00:00:00"/>
        <d v="2024-12-06T00:00:00"/>
        <d v="2024-12-02T00:00:00"/>
        <d v="2024-01-26T00:00:00"/>
        <d v="2024-04-05T00:00:00"/>
        <d v="2024-11-22T00:00:00"/>
        <d v="2024-03-31T00:00:00"/>
        <d v="2024-12-27T00:00:00"/>
        <d v="2024-04-23T00:00:00"/>
        <d v="2024-03-24T00:00:00"/>
        <d v="2024-11-11T00:00:00"/>
        <d v="2024-03-20T00:00:00"/>
        <d v="2024-09-27T00:00:00"/>
        <d v="2024-03-15T00:00:00"/>
        <d v="2024-08-05T00:00:00"/>
        <d v="2024-10-26T00:00:00"/>
        <d v="2024-06-26T00:00:00"/>
        <d v="2024-11-25T00:00:00"/>
        <d v="2024-04-20T00:00:00"/>
        <d v="2024-04-25T00:00:00"/>
        <d v="2024-07-31T00:00:00"/>
        <d v="2024-02-18T00:00:00"/>
        <d v="2024-11-07T00:00:00"/>
        <d v="2024-03-17T00:00:00"/>
        <d v="2024-08-12T00:00:00"/>
        <d v="2024-06-29T00:00:00"/>
        <d v="2024-06-09T00:00:00"/>
        <d v="2024-04-09T00:00:00"/>
        <d v="2024-12-31T00:00:00"/>
        <d v="2024-03-29T00:00:00"/>
        <d v="2024-11-06T00:00:00"/>
        <d v="2024-05-08T00:00:00"/>
        <d v="2024-08-07T00:00:00"/>
        <d v="2024-05-15T00:00:00"/>
        <d v="2024-10-31T00:00:00"/>
        <d v="2024-12-26T00:00:00"/>
        <d v="2024-04-07T00:00:00"/>
        <d v="2024-12-14T00:00:00"/>
        <d v="2024-04-18T00:00:00"/>
        <d v="2024-09-11T00:00:00"/>
        <d v="2024-06-04T00:00:00"/>
        <d v="2024-04-22T00:00:00"/>
        <d v="2024-07-21T00:00:00"/>
        <d v="2024-08-16T00:00:00"/>
        <d v="2024-09-13T00:00:00"/>
        <d v="2024-04-13T00:00:00"/>
        <d v="2024-10-15T00:00:00"/>
        <d v="2024-02-24T00:00:00"/>
        <d v="2024-02-26T00:00:00"/>
        <d v="2024-05-22T00:00:00"/>
        <d v="2024-03-04T00:00:00"/>
        <d v="2024-02-21T00:00:00"/>
        <d v="2024-02-01T00:00:00"/>
        <d v="2024-04-14T00:00:00"/>
        <d v="2024-08-21T00:00:00"/>
        <d v="2024-05-11T00:00:00"/>
        <d v="2024-02-19T00:00:00"/>
        <d v="2024-07-17T00:00:00"/>
        <d v="2024-10-13T00:00:00"/>
        <d v="2024-10-04T00:00:00"/>
        <d v="2024-11-28T00:00:00"/>
        <d v="2024-04-10T00:00:00"/>
        <d v="2024-04-19T00:00:00"/>
        <d v="2024-12-24T00:00:00"/>
        <d v="2024-11-29T00:00:00"/>
        <d v="2024-05-21T00:00:00"/>
        <d v="2024-12-29T00:00:00"/>
        <d v="2024-10-11T00:00:00"/>
        <d v="2024-02-09T00:00:00"/>
        <d v="2024-10-30T00:00:00"/>
        <d v="2024-07-01T00:00:00"/>
        <d v="2024-04-21T00:00:00"/>
        <d v="2024-11-02T00:00:00"/>
        <d v="2024-08-18T00:00:00"/>
        <d v="2024-01-07T00:00:00"/>
        <d v="2024-09-25T00:00:00"/>
        <d v="2024-06-07T00:00:00"/>
        <d v="2024-09-14T00:00:00"/>
        <d v="2024-01-17T00:00:00"/>
        <d v="2024-01-14T00:00:00"/>
        <d v="2024-08-20T00:00:00"/>
        <d v="2024-09-09T00:00:00"/>
        <d v="2024-07-29T00:00:00"/>
        <d v="2024-03-25T00:00:00"/>
        <d v="2024-10-07T00:00:00"/>
        <d v="2024-03-12T00:00:00"/>
        <d v="2024-12-03T00:00:00"/>
        <d v="2024-05-16T00:00:00"/>
        <d v="2024-06-25T00:00:00"/>
        <d v="2024-01-06T00:00:00"/>
        <d v="2024-08-17T00:00:00"/>
        <d v="2024-11-08T00:00:00"/>
        <d v="2024-07-22T00:00:00"/>
        <d v="2024-07-03T00:00:00"/>
        <d v="2024-09-01T00:00:00"/>
        <d v="2024-10-19T00:00:00"/>
        <d v="2024-07-04T00:00:00"/>
        <d v="2024-12-28T00:00:00"/>
        <d v="2024-08-03T00:00:00"/>
        <d v="2024-07-14T00:00:00"/>
        <d v="2024-02-02T00:00:00"/>
        <d v="2024-08-25T00:00:00"/>
        <d v="2024-06-13T00:00:00"/>
        <d v="2024-01-13T00:00:00"/>
        <d v="2024-05-02T00:00:00"/>
        <d v="2024-01-20T00:00:00"/>
        <d v="2024-11-24T00:00:00"/>
        <d v="2024-05-23T00:00:00"/>
        <d v="2024-11-01T00:00:00"/>
        <d v="2024-08-31T00:00:00"/>
        <d v="2024-10-03T00:00:00"/>
        <d v="2024-09-03T00:00:00"/>
        <d v="2024-02-17T00:00:00"/>
        <d v="2024-10-28T00:00:00"/>
        <d v="2024-12-08T00:00:00"/>
        <d v="2024-11-23T00:00:00"/>
        <d v="2024-03-16T00:00:00"/>
        <d v="2024-10-21T00:00:00"/>
        <d v="2024-12-09T00:00:00"/>
        <d v="2024-12-23T00:00:00"/>
        <d v="2024-10-25T00:00:00"/>
        <d v="2024-09-29T00:00:00"/>
        <d v="2024-04-29T00:00:00"/>
        <d v="2024-01-30T00:00:00"/>
        <d v="2024-04-11T00:00:00"/>
        <d v="2024-02-28T00:00:00"/>
        <d v="2024-11-13T00:00:00"/>
        <d v="2024-07-13T00:00:00"/>
        <d v="2024-06-24T00:00:00"/>
        <d v="2024-04-27T00:00:00"/>
        <d v="2024-08-15T00:00:00"/>
        <d v="2024-08-04T00:00:00"/>
        <d v="2024-06-08T00:00:00"/>
        <d v="2024-05-14T00:00:00"/>
        <d v="2024-06-14T00:00:00"/>
        <d v="2024-02-23T00:00:00"/>
        <d v="2024-08-19T00:00:00"/>
        <d v="2024-10-06T00:00:00"/>
        <d v="2024-09-24T00:00:00"/>
        <d v="2024-08-13T00:00:00"/>
        <d v="2024-04-17T00:00:00"/>
        <d v="2024-07-07T00:00:00"/>
        <d v="2024-07-20T00:00:00"/>
        <d v="2024-09-16T00:00:00"/>
        <d v="2024-10-27T00:00:00"/>
        <d v="2024-02-25T00:00:00"/>
        <d v="2024-03-03T00:00:00"/>
        <d v="2024-07-23T00:00:00"/>
        <d v="2024-11-20T00:00:00"/>
        <d v="2024-09-06T00:00:00"/>
      </sharedItems>
      <fieldGroup par="8"/>
    </cacheField>
    <cacheField name="Product" numFmtId="0">
      <sharedItems count="5">
        <s v="Watch"/>
        <s v="Phone"/>
        <s v="Bag"/>
        <s v="Shoes"/>
        <s v="Laptop"/>
      </sharedItems>
    </cacheField>
    <cacheField name="Category" numFmtId="0">
      <sharedItems count="2">
        <s v="Fashion"/>
        <s v="Electronics"/>
      </sharedItems>
    </cacheField>
    <cacheField name="Sales" numFmtId="0">
      <sharedItems containsSemiMixedTypes="0" containsString="0" containsNumber="1" containsInteger="1" minValue="512" maxValue="49979"/>
    </cacheField>
    <cacheField name="Profit" numFmtId="0">
      <sharedItems containsSemiMixedTypes="0" containsString="0" containsNumber="1" containsInteger="1" minValue="-1987" maxValue="9975"/>
    </cacheField>
    <cacheField name="Region" numFmtId="0">
      <sharedItems count="4">
        <s v="North"/>
        <s v="South"/>
        <s v="West"/>
        <s v="East"/>
      </sharedItems>
    </cacheField>
    <cacheField name="Days (Order Date)" numFmtId="0" databaseField="0">
      <fieldGroup base="1">
        <rangePr groupBy="days" startDate="2024-01-02T00:00:00" endDate="2025-01-01T00:00:00"/>
        <groupItems count="368">
          <s v="&lt;02-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5"/>
        </groupItems>
      </fieldGroup>
    </cacheField>
    <cacheField name="Months (Order Date)" numFmtId="0" databaseField="0">
      <fieldGroup base="1">
        <rangePr groupBy="months" startDate="2024-01-02T00:00:00" endDate="2025-01-01T00:00:00"/>
        <groupItems count="14">
          <s v="&lt;02-01-2024"/>
          <s v="Jan"/>
          <s v="Feb"/>
          <s v="Mar"/>
          <s v="Apr"/>
          <s v="May"/>
          <s v="Jun"/>
          <s v="Jul"/>
          <s v="Aug"/>
          <s v="Sep"/>
          <s v="Oct"/>
          <s v="Nov"/>
          <s v="Dec"/>
          <s v="&gt;01-01-2025"/>
        </groupItems>
      </fieldGroup>
    </cacheField>
  </cacheFields>
  <extLst>
    <ext xmlns:x14="http://schemas.microsoft.com/office/spreadsheetml/2009/9/main" uri="{725AE2AE-9491-48be-B2B4-4EB974FC3084}">
      <x14:pivotCacheDefinition pivotCacheId="8499825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n v="41475"/>
    <n v="5231"/>
    <x v="0"/>
  </r>
  <r>
    <n v="2"/>
    <x v="1"/>
    <x v="1"/>
    <x v="1"/>
    <n v="26581"/>
    <n v="6751"/>
    <x v="0"/>
  </r>
  <r>
    <n v="3"/>
    <x v="2"/>
    <x v="2"/>
    <x v="1"/>
    <n v="33768"/>
    <n v="-842"/>
    <x v="1"/>
  </r>
  <r>
    <n v="4"/>
    <x v="3"/>
    <x v="1"/>
    <x v="1"/>
    <n v="22745"/>
    <n v="1034"/>
    <x v="2"/>
  </r>
  <r>
    <n v="5"/>
    <x v="4"/>
    <x v="3"/>
    <x v="0"/>
    <n v="38165"/>
    <n v="1837"/>
    <x v="1"/>
  </r>
  <r>
    <n v="6"/>
    <x v="5"/>
    <x v="2"/>
    <x v="0"/>
    <n v="1362"/>
    <n v="2647"/>
    <x v="1"/>
  </r>
  <r>
    <n v="7"/>
    <x v="6"/>
    <x v="2"/>
    <x v="0"/>
    <n v="31123"/>
    <n v="7527"/>
    <x v="3"/>
  </r>
  <r>
    <n v="8"/>
    <x v="7"/>
    <x v="2"/>
    <x v="0"/>
    <n v="49791"/>
    <n v="460"/>
    <x v="1"/>
  </r>
  <r>
    <n v="9"/>
    <x v="8"/>
    <x v="4"/>
    <x v="0"/>
    <n v="18178"/>
    <n v="-564"/>
    <x v="3"/>
  </r>
  <r>
    <n v="10"/>
    <x v="9"/>
    <x v="1"/>
    <x v="0"/>
    <n v="10458"/>
    <n v="-990"/>
    <x v="3"/>
  </r>
  <r>
    <n v="11"/>
    <x v="10"/>
    <x v="3"/>
    <x v="0"/>
    <n v="48862"/>
    <n v="2636"/>
    <x v="0"/>
  </r>
  <r>
    <n v="12"/>
    <x v="11"/>
    <x v="3"/>
    <x v="0"/>
    <n v="6436"/>
    <n v="4050"/>
    <x v="3"/>
  </r>
  <r>
    <n v="13"/>
    <x v="12"/>
    <x v="3"/>
    <x v="1"/>
    <n v="43100"/>
    <n v="3783"/>
    <x v="3"/>
  </r>
  <r>
    <n v="14"/>
    <x v="13"/>
    <x v="0"/>
    <x v="0"/>
    <n v="10184"/>
    <n v="2713"/>
    <x v="2"/>
  </r>
  <r>
    <n v="15"/>
    <x v="14"/>
    <x v="4"/>
    <x v="1"/>
    <n v="19284"/>
    <n v="8603"/>
    <x v="2"/>
  </r>
  <r>
    <n v="16"/>
    <x v="15"/>
    <x v="4"/>
    <x v="1"/>
    <n v="10125"/>
    <n v="8712"/>
    <x v="0"/>
  </r>
  <r>
    <n v="17"/>
    <x v="16"/>
    <x v="1"/>
    <x v="1"/>
    <n v="39083"/>
    <n v="359"/>
    <x v="0"/>
  </r>
  <r>
    <n v="18"/>
    <x v="17"/>
    <x v="2"/>
    <x v="1"/>
    <n v="7085"/>
    <n v="5290"/>
    <x v="2"/>
  </r>
  <r>
    <n v="19"/>
    <x v="18"/>
    <x v="0"/>
    <x v="0"/>
    <n v="6250"/>
    <n v="2034"/>
    <x v="2"/>
  </r>
  <r>
    <n v="20"/>
    <x v="19"/>
    <x v="3"/>
    <x v="0"/>
    <n v="4144"/>
    <n v="4503"/>
    <x v="0"/>
  </r>
  <r>
    <n v="21"/>
    <x v="20"/>
    <x v="2"/>
    <x v="1"/>
    <n v="33929"/>
    <n v="6258"/>
    <x v="1"/>
  </r>
  <r>
    <n v="22"/>
    <x v="21"/>
    <x v="1"/>
    <x v="1"/>
    <n v="30689"/>
    <n v="3470"/>
    <x v="1"/>
  </r>
  <r>
    <n v="23"/>
    <x v="22"/>
    <x v="0"/>
    <x v="0"/>
    <n v="39009"/>
    <n v="5578"/>
    <x v="0"/>
  </r>
  <r>
    <n v="24"/>
    <x v="19"/>
    <x v="0"/>
    <x v="0"/>
    <n v="5800"/>
    <n v="2909"/>
    <x v="0"/>
  </r>
  <r>
    <n v="25"/>
    <x v="23"/>
    <x v="0"/>
    <x v="1"/>
    <n v="16073"/>
    <n v="-1260"/>
    <x v="2"/>
  </r>
  <r>
    <n v="26"/>
    <x v="24"/>
    <x v="2"/>
    <x v="1"/>
    <n v="27717"/>
    <n v="-1539"/>
    <x v="2"/>
  </r>
  <r>
    <n v="27"/>
    <x v="25"/>
    <x v="0"/>
    <x v="0"/>
    <n v="7846"/>
    <n v="8796"/>
    <x v="2"/>
  </r>
  <r>
    <n v="28"/>
    <x v="26"/>
    <x v="3"/>
    <x v="0"/>
    <n v="8931"/>
    <n v="935"/>
    <x v="0"/>
  </r>
  <r>
    <n v="29"/>
    <x v="27"/>
    <x v="0"/>
    <x v="0"/>
    <n v="19592"/>
    <n v="-1693"/>
    <x v="1"/>
  </r>
  <r>
    <n v="30"/>
    <x v="28"/>
    <x v="4"/>
    <x v="1"/>
    <n v="3239"/>
    <n v="773"/>
    <x v="1"/>
  </r>
  <r>
    <n v="31"/>
    <x v="29"/>
    <x v="1"/>
    <x v="0"/>
    <n v="42482"/>
    <n v="9599"/>
    <x v="3"/>
  </r>
  <r>
    <n v="32"/>
    <x v="30"/>
    <x v="4"/>
    <x v="0"/>
    <n v="48498"/>
    <n v="6592"/>
    <x v="3"/>
  </r>
  <r>
    <n v="33"/>
    <x v="5"/>
    <x v="3"/>
    <x v="0"/>
    <n v="46984"/>
    <n v="9303"/>
    <x v="0"/>
  </r>
  <r>
    <n v="34"/>
    <x v="31"/>
    <x v="4"/>
    <x v="0"/>
    <n v="41481"/>
    <n v="2324"/>
    <x v="1"/>
  </r>
  <r>
    <n v="35"/>
    <x v="32"/>
    <x v="1"/>
    <x v="1"/>
    <n v="11180"/>
    <n v="1976"/>
    <x v="1"/>
  </r>
  <r>
    <n v="36"/>
    <x v="33"/>
    <x v="4"/>
    <x v="1"/>
    <n v="47563"/>
    <n v="7587"/>
    <x v="2"/>
  </r>
  <r>
    <n v="37"/>
    <x v="34"/>
    <x v="3"/>
    <x v="0"/>
    <n v="20822"/>
    <n v="3599"/>
    <x v="3"/>
  </r>
  <r>
    <n v="38"/>
    <x v="35"/>
    <x v="3"/>
    <x v="1"/>
    <n v="27854"/>
    <n v="5099"/>
    <x v="1"/>
  </r>
  <r>
    <n v="39"/>
    <x v="36"/>
    <x v="4"/>
    <x v="0"/>
    <n v="46301"/>
    <n v="7890"/>
    <x v="0"/>
  </r>
  <r>
    <n v="40"/>
    <x v="37"/>
    <x v="4"/>
    <x v="1"/>
    <n v="44965"/>
    <n v="7469"/>
    <x v="2"/>
  </r>
  <r>
    <n v="41"/>
    <x v="38"/>
    <x v="0"/>
    <x v="0"/>
    <n v="1591"/>
    <n v="889"/>
    <x v="2"/>
  </r>
  <r>
    <n v="42"/>
    <x v="39"/>
    <x v="2"/>
    <x v="0"/>
    <n v="13451"/>
    <n v="-1257"/>
    <x v="2"/>
  </r>
  <r>
    <n v="43"/>
    <x v="40"/>
    <x v="1"/>
    <x v="0"/>
    <n v="24516"/>
    <n v="8951"/>
    <x v="1"/>
  </r>
  <r>
    <n v="44"/>
    <x v="41"/>
    <x v="2"/>
    <x v="0"/>
    <n v="47423"/>
    <n v="6180"/>
    <x v="1"/>
  </r>
  <r>
    <n v="45"/>
    <x v="42"/>
    <x v="2"/>
    <x v="0"/>
    <n v="26474"/>
    <n v="2305"/>
    <x v="0"/>
  </r>
  <r>
    <n v="46"/>
    <x v="43"/>
    <x v="1"/>
    <x v="0"/>
    <n v="4550"/>
    <n v="1817"/>
    <x v="2"/>
  </r>
  <r>
    <n v="47"/>
    <x v="44"/>
    <x v="1"/>
    <x v="0"/>
    <n v="4804"/>
    <n v="8945"/>
    <x v="0"/>
  </r>
  <r>
    <n v="48"/>
    <x v="14"/>
    <x v="4"/>
    <x v="0"/>
    <n v="48960"/>
    <n v="-1573"/>
    <x v="0"/>
  </r>
  <r>
    <n v="49"/>
    <x v="45"/>
    <x v="1"/>
    <x v="1"/>
    <n v="26266"/>
    <n v="2706"/>
    <x v="0"/>
  </r>
  <r>
    <n v="50"/>
    <x v="46"/>
    <x v="4"/>
    <x v="0"/>
    <n v="4472"/>
    <n v="8793"/>
    <x v="0"/>
  </r>
  <r>
    <n v="51"/>
    <x v="47"/>
    <x v="4"/>
    <x v="0"/>
    <n v="43161"/>
    <n v="39"/>
    <x v="1"/>
  </r>
  <r>
    <n v="52"/>
    <x v="48"/>
    <x v="1"/>
    <x v="1"/>
    <n v="21331"/>
    <n v="7302"/>
    <x v="2"/>
  </r>
  <r>
    <n v="53"/>
    <x v="15"/>
    <x v="3"/>
    <x v="0"/>
    <n v="32372"/>
    <n v="2841"/>
    <x v="1"/>
  </r>
  <r>
    <n v="54"/>
    <x v="49"/>
    <x v="2"/>
    <x v="1"/>
    <n v="43398"/>
    <n v="2937"/>
    <x v="1"/>
  </r>
  <r>
    <n v="55"/>
    <x v="50"/>
    <x v="1"/>
    <x v="1"/>
    <n v="42973"/>
    <n v="1812"/>
    <x v="0"/>
  </r>
  <r>
    <n v="56"/>
    <x v="51"/>
    <x v="4"/>
    <x v="0"/>
    <n v="11736"/>
    <n v="8556"/>
    <x v="0"/>
  </r>
  <r>
    <n v="57"/>
    <x v="52"/>
    <x v="1"/>
    <x v="0"/>
    <n v="45280"/>
    <n v="9638"/>
    <x v="0"/>
  </r>
  <r>
    <n v="58"/>
    <x v="53"/>
    <x v="4"/>
    <x v="0"/>
    <n v="40748"/>
    <n v="271"/>
    <x v="1"/>
  </r>
  <r>
    <n v="59"/>
    <x v="54"/>
    <x v="3"/>
    <x v="0"/>
    <n v="29037"/>
    <n v="7754"/>
    <x v="1"/>
  </r>
  <r>
    <n v="60"/>
    <x v="55"/>
    <x v="0"/>
    <x v="1"/>
    <n v="1466"/>
    <n v="4339"/>
    <x v="1"/>
  </r>
  <r>
    <n v="61"/>
    <x v="56"/>
    <x v="3"/>
    <x v="1"/>
    <n v="36775"/>
    <n v="-657"/>
    <x v="3"/>
  </r>
  <r>
    <n v="62"/>
    <x v="57"/>
    <x v="2"/>
    <x v="1"/>
    <n v="560"/>
    <n v="1748"/>
    <x v="2"/>
  </r>
  <r>
    <n v="63"/>
    <x v="11"/>
    <x v="0"/>
    <x v="1"/>
    <n v="2552"/>
    <n v="-18"/>
    <x v="2"/>
  </r>
  <r>
    <n v="64"/>
    <x v="58"/>
    <x v="3"/>
    <x v="1"/>
    <n v="17150"/>
    <n v="2696"/>
    <x v="3"/>
  </r>
  <r>
    <n v="65"/>
    <x v="4"/>
    <x v="1"/>
    <x v="0"/>
    <n v="28854"/>
    <n v="9619"/>
    <x v="0"/>
  </r>
  <r>
    <n v="66"/>
    <x v="59"/>
    <x v="0"/>
    <x v="1"/>
    <n v="10630"/>
    <n v="193"/>
    <x v="2"/>
  </r>
  <r>
    <n v="67"/>
    <x v="60"/>
    <x v="1"/>
    <x v="0"/>
    <n v="21387"/>
    <n v="2458"/>
    <x v="2"/>
  </r>
  <r>
    <n v="68"/>
    <x v="61"/>
    <x v="2"/>
    <x v="1"/>
    <n v="42938"/>
    <n v="-1238"/>
    <x v="3"/>
  </r>
  <r>
    <n v="69"/>
    <x v="62"/>
    <x v="1"/>
    <x v="1"/>
    <n v="44912"/>
    <n v="8743"/>
    <x v="2"/>
  </r>
  <r>
    <n v="70"/>
    <x v="63"/>
    <x v="4"/>
    <x v="1"/>
    <n v="46894"/>
    <n v="2134"/>
    <x v="2"/>
  </r>
  <r>
    <n v="71"/>
    <x v="64"/>
    <x v="3"/>
    <x v="0"/>
    <n v="23050"/>
    <n v="-755"/>
    <x v="2"/>
  </r>
  <r>
    <n v="72"/>
    <x v="65"/>
    <x v="1"/>
    <x v="0"/>
    <n v="37747"/>
    <n v="5997"/>
    <x v="1"/>
  </r>
  <r>
    <n v="73"/>
    <x v="66"/>
    <x v="3"/>
    <x v="1"/>
    <n v="2096"/>
    <n v="5054"/>
    <x v="1"/>
  </r>
  <r>
    <n v="74"/>
    <x v="67"/>
    <x v="2"/>
    <x v="0"/>
    <n v="10437"/>
    <n v="4349"/>
    <x v="3"/>
  </r>
  <r>
    <n v="75"/>
    <x v="68"/>
    <x v="2"/>
    <x v="0"/>
    <n v="25755"/>
    <n v="5273"/>
    <x v="2"/>
  </r>
  <r>
    <n v="76"/>
    <x v="24"/>
    <x v="1"/>
    <x v="1"/>
    <n v="47627"/>
    <n v="2106"/>
    <x v="3"/>
  </r>
  <r>
    <n v="77"/>
    <x v="69"/>
    <x v="4"/>
    <x v="1"/>
    <n v="13299"/>
    <n v="413"/>
    <x v="2"/>
  </r>
  <r>
    <n v="78"/>
    <x v="70"/>
    <x v="3"/>
    <x v="0"/>
    <n v="3531"/>
    <n v="-67"/>
    <x v="1"/>
  </r>
  <r>
    <n v="79"/>
    <x v="71"/>
    <x v="1"/>
    <x v="0"/>
    <n v="34205"/>
    <n v="5578"/>
    <x v="3"/>
  </r>
  <r>
    <n v="80"/>
    <x v="72"/>
    <x v="3"/>
    <x v="0"/>
    <n v="18977"/>
    <n v="-1131"/>
    <x v="2"/>
  </r>
  <r>
    <n v="81"/>
    <x v="73"/>
    <x v="2"/>
    <x v="1"/>
    <n v="4283"/>
    <n v="6067"/>
    <x v="1"/>
  </r>
  <r>
    <n v="82"/>
    <x v="27"/>
    <x v="1"/>
    <x v="1"/>
    <n v="11906"/>
    <n v="9637"/>
    <x v="0"/>
  </r>
  <r>
    <n v="83"/>
    <x v="60"/>
    <x v="3"/>
    <x v="0"/>
    <n v="24218"/>
    <n v="9201"/>
    <x v="1"/>
  </r>
  <r>
    <n v="84"/>
    <x v="39"/>
    <x v="4"/>
    <x v="1"/>
    <n v="35278"/>
    <n v="-1469"/>
    <x v="3"/>
  </r>
  <r>
    <n v="85"/>
    <x v="74"/>
    <x v="3"/>
    <x v="0"/>
    <n v="30452"/>
    <n v="6899"/>
    <x v="1"/>
  </r>
  <r>
    <n v="86"/>
    <x v="75"/>
    <x v="3"/>
    <x v="0"/>
    <n v="25393"/>
    <n v="6528"/>
    <x v="2"/>
  </r>
  <r>
    <n v="87"/>
    <x v="76"/>
    <x v="0"/>
    <x v="1"/>
    <n v="36874"/>
    <n v="8577"/>
    <x v="3"/>
  </r>
  <r>
    <n v="88"/>
    <x v="77"/>
    <x v="2"/>
    <x v="1"/>
    <n v="49645"/>
    <n v="7138"/>
    <x v="1"/>
  </r>
  <r>
    <n v="89"/>
    <x v="78"/>
    <x v="1"/>
    <x v="0"/>
    <n v="4305"/>
    <n v="6509"/>
    <x v="0"/>
  </r>
  <r>
    <n v="90"/>
    <x v="79"/>
    <x v="3"/>
    <x v="1"/>
    <n v="5810"/>
    <n v="1221"/>
    <x v="0"/>
  </r>
  <r>
    <n v="91"/>
    <x v="80"/>
    <x v="0"/>
    <x v="0"/>
    <n v="11380"/>
    <n v="5188"/>
    <x v="2"/>
  </r>
  <r>
    <n v="92"/>
    <x v="15"/>
    <x v="0"/>
    <x v="1"/>
    <n v="29206"/>
    <n v="6286"/>
    <x v="1"/>
  </r>
  <r>
    <n v="93"/>
    <x v="81"/>
    <x v="4"/>
    <x v="1"/>
    <n v="24833"/>
    <n v="1330"/>
    <x v="0"/>
  </r>
  <r>
    <n v="94"/>
    <x v="82"/>
    <x v="3"/>
    <x v="0"/>
    <n v="47620"/>
    <n v="7784"/>
    <x v="2"/>
  </r>
  <r>
    <n v="95"/>
    <x v="83"/>
    <x v="0"/>
    <x v="1"/>
    <n v="13285"/>
    <n v="1392"/>
    <x v="0"/>
  </r>
  <r>
    <n v="96"/>
    <x v="84"/>
    <x v="0"/>
    <x v="1"/>
    <n v="11165"/>
    <n v="7846"/>
    <x v="3"/>
  </r>
  <r>
    <n v="97"/>
    <x v="85"/>
    <x v="2"/>
    <x v="1"/>
    <n v="34751"/>
    <n v="-526"/>
    <x v="2"/>
  </r>
  <r>
    <n v="98"/>
    <x v="86"/>
    <x v="3"/>
    <x v="0"/>
    <n v="41804"/>
    <n v="3052"/>
    <x v="0"/>
  </r>
  <r>
    <n v="99"/>
    <x v="87"/>
    <x v="2"/>
    <x v="0"/>
    <n v="14133"/>
    <n v="-1599"/>
    <x v="0"/>
  </r>
  <r>
    <n v="100"/>
    <x v="88"/>
    <x v="0"/>
    <x v="0"/>
    <n v="22031"/>
    <n v="3129"/>
    <x v="1"/>
  </r>
  <r>
    <n v="101"/>
    <x v="89"/>
    <x v="2"/>
    <x v="1"/>
    <n v="49116"/>
    <n v="3235"/>
    <x v="1"/>
  </r>
  <r>
    <n v="102"/>
    <x v="90"/>
    <x v="3"/>
    <x v="1"/>
    <n v="20426"/>
    <n v="4810"/>
    <x v="2"/>
  </r>
  <r>
    <n v="103"/>
    <x v="62"/>
    <x v="3"/>
    <x v="0"/>
    <n v="14936"/>
    <n v="5092"/>
    <x v="1"/>
  </r>
  <r>
    <n v="104"/>
    <x v="91"/>
    <x v="2"/>
    <x v="0"/>
    <n v="3604"/>
    <n v="363"/>
    <x v="1"/>
  </r>
  <r>
    <n v="105"/>
    <x v="92"/>
    <x v="4"/>
    <x v="0"/>
    <n v="11039"/>
    <n v="6145"/>
    <x v="3"/>
  </r>
  <r>
    <n v="106"/>
    <x v="93"/>
    <x v="1"/>
    <x v="1"/>
    <n v="38502"/>
    <n v="3607"/>
    <x v="1"/>
  </r>
  <r>
    <n v="107"/>
    <x v="94"/>
    <x v="4"/>
    <x v="1"/>
    <n v="19673"/>
    <n v="8513"/>
    <x v="0"/>
  </r>
  <r>
    <n v="108"/>
    <x v="95"/>
    <x v="3"/>
    <x v="1"/>
    <n v="25523"/>
    <n v="1146"/>
    <x v="1"/>
  </r>
  <r>
    <n v="109"/>
    <x v="96"/>
    <x v="0"/>
    <x v="0"/>
    <n v="787"/>
    <n v="7669"/>
    <x v="3"/>
  </r>
  <r>
    <n v="110"/>
    <x v="72"/>
    <x v="0"/>
    <x v="1"/>
    <n v="29276"/>
    <n v="1694"/>
    <x v="1"/>
  </r>
  <r>
    <n v="111"/>
    <x v="85"/>
    <x v="3"/>
    <x v="0"/>
    <n v="865"/>
    <n v="-1726"/>
    <x v="3"/>
  </r>
  <r>
    <n v="112"/>
    <x v="97"/>
    <x v="4"/>
    <x v="1"/>
    <n v="5509"/>
    <n v="3374"/>
    <x v="0"/>
  </r>
  <r>
    <n v="113"/>
    <x v="98"/>
    <x v="4"/>
    <x v="0"/>
    <n v="44446"/>
    <n v="6661"/>
    <x v="3"/>
  </r>
  <r>
    <n v="114"/>
    <x v="99"/>
    <x v="3"/>
    <x v="0"/>
    <n v="44228"/>
    <n v="9219"/>
    <x v="1"/>
  </r>
  <r>
    <n v="115"/>
    <x v="100"/>
    <x v="3"/>
    <x v="0"/>
    <n v="47829"/>
    <n v="7317"/>
    <x v="0"/>
  </r>
  <r>
    <n v="116"/>
    <x v="101"/>
    <x v="4"/>
    <x v="1"/>
    <n v="32302"/>
    <n v="3486"/>
    <x v="0"/>
  </r>
  <r>
    <n v="117"/>
    <x v="102"/>
    <x v="3"/>
    <x v="1"/>
    <n v="47716"/>
    <n v="-194"/>
    <x v="2"/>
  </r>
  <r>
    <n v="118"/>
    <x v="16"/>
    <x v="1"/>
    <x v="1"/>
    <n v="44028"/>
    <n v="4787"/>
    <x v="1"/>
  </r>
  <r>
    <n v="119"/>
    <x v="103"/>
    <x v="1"/>
    <x v="1"/>
    <n v="30898"/>
    <n v="5400"/>
    <x v="0"/>
  </r>
  <r>
    <n v="120"/>
    <x v="52"/>
    <x v="0"/>
    <x v="0"/>
    <n v="40168"/>
    <n v="2036"/>
    <x v="3"/>
  </r>
  <r>
    <n v="121"/>
    <x v="104"/>
    <x v="1"/>
    <x v="1"/>
    <n v="8653"/>
    <n v="8090"/>
    <x v="3"/>
  </r>
  <r>
    <n v="122"/>
    <x v="105"/>
    <x v="0"/>
    <x v="0"/>
    <n v="5154"/>
    <n v="-1090"/>
    <x v="2"/>
  </r>
  <r>
    <n v="123"/>
    <x v="106"/>
    <x v="4"/>
    <x v="1"/>
    <n v="9409"/>
    <n v="9225"/>
    <x v="0"/>
  </r>
  <r>
    <n v="124"/>
    <x v="107"/>
    <x v="4"/>
    <x v="1"/>
    <n v="24671"/>
    <n v="371"/>
    <x v="1"/>
  </r>
  <r>
    <n v="125"/>
    <x v="108"/>
    <x v="4"/>
    <x v="1"/>
    <n v="43065"/>
    <n v="2419"/>
    <x v="3"/>
  </r>
  <r>
    <n v="126"/>
    <x v="66"/>
    <x v="3"/>
    <x v="1"/>
    <n v="6901"/>
    <n v="5908"/>
    <x v="2"/>
  </r>
  <r>
    <n v="127"/>
    <x v="68"/>
    <x v="0"/>
    <x v="1"/>
    <n v="32296"/>
    <n v="9457"/>
    <x v="2"/>
  </r>
  <r>
    <n v="128"/>
    <x v="109"/>
    <x v="3"/>
    <x v="0"/>
    <n v="33016"/>
    <n v="-1912"/>
    <x v="3"/>
  </r>
  <r>
    <n v="129"/>
    <x v="110"/>
    <x v="1"/>
    <x v="1"/>
    <n v="5823"/>
    <n v="1206"/>
    <x v="1"/>
  </r>
  <r>
    <n v="130"/>
    <x v="111"/>
    <x v="4"/>
    <x v="1"/>
    <n v="13870"/>
    <n v="4094"/>
    <x v="2"/>
  </r>
  <r>
    <n v="131"/>
    <x v="112"/>
    <x v="2"/>
    <x v="0"/>
    <n v="6149"/>
    <n v="295"/>
    <x v="3"/>
  </r>
  <r>
    <n v="132"/>
    <x v="113"/>
    <x v="1"/>
    <x v="1"/>
    <n v="37537"/>
    <n v="4125"/>
    <x v="3"/>
  </r>
  <r>
    <n v="133"/>
    <x v="114"/>
    <x v="2"/>
    <x v="1"/>
    <n v="17427"/>
    <n v="5962"/>
    <x v="3"/>
  </r>
  <r>
    <n v="134"/>
    <x v="115"/>
    <x v="3"/>
    <x v="0"/>
    <n v="26981"/>
    <n v="8229"/>
    <x v="1"/>
  </r>
  <r>
    <n v="135"/>
    <x v="55"/>
    <x v="0"/>
    <x v="0"/>
    <n v="36487"/>
    <n v="99"/>
    <x v="0"/>
  </r>
  <r>
    <n v="136"/>
    <x v="98"/>
    <x v="0"/>
    <x v="0"/>
    <n v="9635"/>
    <n v="4159"/>
    <x v="1"/>
  </r>
  <r>
    <n v="137"/>
    <x v="89"/>
    <x v="1"/>
    <x v="0"/>
    <n v="23728"/>
    <n v="5854"/>
    <x v="2"/>
  </r>
  <r>
    <n v="138"/>
    <x v="116"/>
    <x v="0"/>
    <x v="0"/>
    <n v="26326"/>
    <n v="8573"/>
    <x v="1"/>
  </r>
  <r>
    <n v="139"/>
    <x v="117"/>
    <x v="0"/>
    <x v="0"/>
    <n v="42822"/>
    <n v="9136"/>
    <x v="1"/>
  </r>
  <r>
    <n v="140"/>
    <x v="118"/>
    <x v="3"/>
    <x v="0"/>
    <n v="3661"/>
    <n v="5571"/>
    <x v="0"/>
  </r>
  <r>
    <n v="141"/>
    <x v="119"/>
    <x v="3"/>
    <x v="1"/>
    <n v="24027"/>
    <n v="1220"/>
    <x v="3"/>
  </r>
  <r>
    <n v="142"/>
    <x v="120"/>
    <x v="0"/>
    <x v="1"/>
    <n v="5771"/>
    <n v="981"/>
    <x v="1"/>
  </r>
  <r>
    <n v="143"/>
    <x v="121"/>
    <x v="0"/>
    <x v="0"/>
    <n v="1399"/>
    <n v="5809"/>
    <x v="2"/>
  </r>
  <r>
    <n v="144"/>
    <x v="5"/>
    <x v="0"/>
    <x v="1"/>
    <n v="15959"/>
    <n v="6276"/>
    <x v="3"/>
  </r>
  <r>
    <n v="145"/>
    <x v="122"/>
    <x v="2"/>
    <x v="1"/>
    <n v="29365"/>
    <n v="6218"/>
    <x v="2"/>
  </r>
  <r>
    <n v="146"/>
    <x v="123"/>
    <x v="2"/>
    <x v="1"/>
    <n v="36083"/>
    <n v="-1409"/>
    <x v="3"/>
  </r>
  <r>
    <n v="147"/>
    <x v="124"/>
    <x v="0"/>
    <x v="0"/>
    <n v="9690"/>
    <n v="8416"/>
    <x v="2"/>
  </r>
  <r>
    <n v="148"/>
    <x v="125"/>
    <x v="1"/>
    <x v="0"/>
    <n v="11917"/>
    <n v="6059"/>
    <x v="0"/>
  </r>
  <r>
    <n v="149"/>
    <x v="4"/>
    <x v="1"/>
    <x v="0"/>
    <n v="30653"/>
    <n v="5172"/>
    <x v="2"/>
  </r>
  <r>
    <n v="150"/>
    <x v="62"/>
    <x v="4"/>
    <x v="0"/>
    <n v="44993"/>
    <n v="-1284"/>
    <x v="2"/>
  </r>
  <r>
    <n v="151"/>
    <x v="82"/>
    <x v="4"/>
    <x v="1"/>
    <n v="35208"/>
    <n v="4066"/>
    <x v="1"/>
  </r>
  <r>
    <n v="152"/>
    <x v="12"/>
    <x v="0"/>
    <x v="0"/>
    <n v="45681"/>
    <n v="7306"/>
    <x v="1"/>
  </r>
  <r>
    <n v="153"/>
    <x v="126"/>
    <x v="4"/>
    <x v="0"/>
    <n v="47659"/>
    <n v="-6"/>
    <x v="0"/>
  </r>
  <r>
    <n v="154"/>
    <x v="38"/>
    <x v="2"/>
    <x v="0"/>
    <n v="18013"/>
    <n v="7228"/>
    <x v="0"/>
  </r>
  <r>
    <n v="155"/>
    <x v="127"/>
    <x v="1"/>
    <x v="0"/>
    <n v="8203"/>
    <n v="583"/>
    <x v="0"/>
  </r>
  <r>
    <n v="156"/>
    <x v="128"/>
    <x v="1"/>
    <x v="1"/>
    <n v="18892"/>
    <n v="3853"/>
    <x v="1"/>
  </r>
  <r>
    <n v="157"/>
    <x v="60"/>
    <x v="2"/>
    <x v="0"/>
    <n v="14403"/>
    <n v="4198"/>
    <x v="2"/>
  </r>
  <r>
    <n v="158"/>
    <x v="129"/>
    <x v="4"/>
    <x v="0"/>
    <n v="25084"/>
    <n v="5502"/>
    <x v="1"/>
  </r>
  <r>
    <n v="159"/>
    <x v="130"/>
    <x v="0"/>
    <x v="0"/>
    <n v="31042"/>
    <n v="7053"/>
    <x v="3"/>
  </r>
  <r>
    <n v="160"/>
    <x v="131"/>
    <x v="1"/>
    <x v="1"/>
    <n v="23346"/>
    <n v="4962"/>
    <x v="2"/>
  </r>
  <r>
    <n v="161"/>
    <x v="120"/>
    <x v="1"/>
    <x v="1"/>
    <n v="13483"/>
    <n v="-783"/>
    <x v="1"/>
  </r>
  <r>
    <n v="162"/>
    <x v="132"/>
    <x v="1"/>
    <x v="0"/>
    <n v="41466"/>
    <n v="432"/>
    <x v="2"/>
  </r>
  <r>
    <n v="163"/>
    <x v="133"/>
    <x v="3"/>
    <x v="0"/>
    <n v="35191"/>
    <n v="9550"/>
    <x v="3"/>
  </r>
  <r>
    <n v="164"/>
    <x v="18"/>
    <x v="1"/>
    <x v="1"/>
    <n v="2386"/>
    <n v="5061"/>
    <x v="1"/>
  </r>
  <r>
    <n v="165"/>
    <x v="96"/>
    <x v="3"/>
    <x v="0"/>
    <n v="43023"/>
    <n v="-1220"/>
    <x v="3"/>
  </r>
  <r>
    <n v="166"/>
    <x v="134"/>
    <x v="2"/>
    <x v="1"/>
    <n v="10832"/>
    <n v="5893"/>
    <x v="1"/>
  </r>
  <r>
    <n v="167"/>
    <x v="135"/>
    <x v="3"/>
    <x v="0"/>
    <n v="1142"/>
    <n v="9467"/>
    <x v="3"/>
  </r>
  <r>
    <n v="168"/>
    <x v="23"/>
    <x v="0"/>
    <x v="1"/>
    <n v="41281"/>
    <n v="5933"/>
    <x v="2"/>
  </r>
  <r>
    <n v="169"/>
    <x v="54"/>
    <x v="0"/>
    <x v="0"/>
    <n v="35136"/>
    <n v="2885"/>
    <x v="0"/>
  </r>
  <r>
    <n v="170"/>
    <x v="136"/>
    <x v="1"/>
    <x v="0"/>
    <n v="14876"/>
    <n v="5230"/>
    <x v="2"/>
  </r>
  <r>
    <n v="171"/>
    <x v="137"/>
    <x v="0"/>
    <x v="0"/>
    <n v="4255"/>
    <n v="9643"/>
    <x v="0"/>
  </r>
  <r>
    <n v="172"/>
    <x v="138"/>
    <x v="4"/>
    <x v="0"/>
    <n v="1319"/>
    <n v="8167"/>
    <x v="0"/>
  </r>
  <r>
    <n v="173"/>
    <x v="139"/>
    <x v="3"/>
    <x v="0"/>
    <n v="28441"/>
    <n v="1265"/>
    <x v="3"/>
  </r>
  <r>
    <n v="174"/>
    <x v="140"/>
    <x v="2"/>
    <x v="1"/>
    <n v="24993"/>
    <n v="3471"/>
    <x v="1"/>
  </r>
  <r>
    <n v="175"/>
    <x v="141"/>
    <x v="4"/>
    <x v="0"/>
    <n v="3319"/>
    <n v="3158"/>
    <x v="2"/>
  </r>
  <r>
    <n v="176"/>
    <x v="142"/>
    <x v="1"/>
    <x v="1"/>
    <n v="34535"/>
    <n v="3267"/>
    <x v="2"/>
  </r>
  <r>
    <n v="177"/>
    <x v="17"/>
    <x v="4"/>
    <x v="1"/>
    <n v="39573"/>
    <n v="2663"/>
    <x v="2"/>
  </r>
  <r>
    <n v="178"/>
    <x v="143"/>
    <x v="3"/>
    <x v="1"/>
    <n v="27655"/>
    <n v="7481"/>
    <x v="2"/>
  </r>
  <r>
    <n v="179"/>
    <x v="144"/>
    <x v="0"/>
    <x v="1"/>
    <n v="3224"/>
    <n v="4011"/>
    <x v="1"/>
  </r>
  <r>
    <n v="180"/>
    <x v="145"/>
    <x v="3"/>
    <x v="1"/>
    <n v="9588"/>
    <n v="986"/>
    <x v="2"/>
  </r>
  <r>
    <n v="181"/>
    <x v="109"/>
    <x v="0"/>
    <x v="0"/>
    <n v="34741"/>
    <n v="5298"/>
    <x v="0"/>
  </r>
  <r>
    <n v="182"/>
    <x v="50"/>
    <x v="0"/>
    <x v="1"/>
    <n v="11881"/>
    <n v="3068"/>
    <x v="3"/>
  </r>
  <r>
    <n v="183"/>
    <x v="146"/>
    <x v="1"/>
    <x v="0"/>
    <n v="37127"/>
    <n v="8122"/>
    <x v="1"/>
  </r>
  <r>
    <n v="184"/>
    <x v="9"/>
    <x v="3"/>
    <x v="0"/>
    <n v="39334"/>
    <n v="9539"/>
    <x v="1"/>
  </r>
  <r>
    <n v="185"/>
    <x v="59"/>
    <x v="4"/>
    <x v="0"/>
    <n v="2696"/>
    <n v="474"/>
    <x v="3"/>
  </r>
  <r>
    <n v="186"/>
    <x v="103"/>
    <x v="0"/>
    <x v="1"/>
    <n v="27970"/>
    <n v="7298"/>
    <x v="1"/>
  </r>
  <r>
    <n v="187"/>
    <x v="147"/>
    <x v="1"/>
    <x v="0"/>
    <n v="634"/>
    <n v="6019"/>
    <x v="3"/>
  </r>
  <r>
    <n v="188"/>
    <x v="148"/>
    <x v="1"/>
    <x v="1"/>
    <n v="12640"/>
    <n v="2413"/>
    <x v="0"/>
  </r>
  <r>
    <n v="189"/>
    <x v="149"/>
    <x v="1"/>
    <x v="1"/>
    <n v="28656"/>
    <n v="3877"/>
    <x v="0"/>
  </r>
  <r>
    <n v="190"/>
    <x v="127"/>
    <x v="3"/>
    <x v="1"/>
    <n v="27288"/>
    <n v="1238"/>
    <x v="2"/>
  </r>
  <r>
    <n v="191"/>
    <x v="99"/>
    <x v="2"/>
    <x v="1"/>
    <n v="19384"/>
    <n v="9127"/>
    <x v="3"/>
  </r>
  <r>
    <n v="192"/>
    <x v="150"/>
    <x v="3"/>
    <x v="0"/>
    <n v="47197"/>
    <n v="6224"/>
    <x v="0"/>
  </r>
  <r>
    <n v="193"/>
    <x v="45"/>
    <x v="1"/>
    <x v="0"/>
    <n v="36639"/>
    <n v="5670"/>
    <x v="3"/>
  </r>
  <r>
    <n v="194"/>
    <x v="151"/>
    <x v="1"/>
    <x v="1"/>
    <n v="40670"/>
    <n v="-1686"/>
    <x v="3"/>
  </r>
  <r>
    <n v="195"/>
    <x v="63"/>
    <x v="2"/>
    <x v="0"/>
    <n v="5783"/>
    <n v="2381"/>
    <x v="1"/>
  </r>
  <r>
    <n v="196"/>
    <x v="151"/>
    <x v="1"/>
    <x v="1"/>
    <n v="11651"/>
    <n v="20"/>
    <x v="1"/>
  </r>
  <r>
    <n v="197"/>
    <x v="152"/>
    <x v="0"/>
    <x v="1"/>
    <n v="5527"/>
    <n v="9534"/>
    <x v="2"/>
  </r>
  <r>
    <n v="198"/>
    <x v="153"/>
    <x v="1"/>
    <x v="0"/>
    <n v="34836"/>
    <n v="4897"/>
    <x v="2"/>
  </r>
  <r>
    <n v="199"/>
    <x v="154"/>
    <x v="4"/>
    <x v="1"/>
    <n v="37801"/>
    <n v="966"/>
    <x v="2"/>
  </r>
  <r>
    <n v="200"/>
    <x v="55"/>
    <x v="0"/>
    <x v="1"/>
    <n v="29158"/>
    <n v="3697"/>
    <x v="2"/>
  </r>
  <r>
    <n v="201"/>
    <x v="96"/>
    <x v="4"/>
    <x v="0"/>
    <n v="36122"/>
    <n v="1402"/>
    <x v="0"/>
  </r>
  <r>
    <n v="202"/>
    <x v="155"/>
    <x v="4"/>
    <x v="1"/>
    <n v="6949"/>
    <n v="9301"/>
    <x v="2"/>
  </r>
  <r>
    <n v="203"/>
    <x v="156"/>
    <x v="1"/>
    <x v="0"/>
    <n v="24448"/>
    <n v="8696"/>
    <x v="1"/>
  </r>
  <r>
    <n v="204"/>
    <x v="157"/>
    <x v="3"/>
    <x v="0"/>
    <n v="6294"/>
    <n v="1922"/>
    <x v="2"/>
  </r>
  <r>
    <n v="205"/>
    <x v="158"/>
    <x v="1"/>
    <x v="0"/>
    <n v="27826"/>
    <n v="7995"/>
    <x v="3"/>
  </r>
  <r>
    <n v="206"/>
    <x v="68"/>
    <x v="3"/>
    <x v="0"/>
    <n v="11562"/>
    <n v="1641"/>
    <x v="0"/>
  </r>
  <r>
    <n v="207"/>
    <x v="98"/>
    <x v="0"/>
    <x v="1"/>
    <n v="25992"/>
    <n v="4955"/>
    <x v="0"/>
  </r>
  <r>
    <n v="208"/>
    <x v="11"/>
    <x v="2"/>
    <x v="0"/>
    <n v="48753"/>
    <n v="2964"/>
    <x v="3"/>
  </r>
  <r>
    <n v="209"/>
    <x v="159"/>
    <x v="0"/>
    <x v="0"/>
    <n v="29026"/>
    <n v="2797"/>
    <x v="3"/>
  </r>
  <r>
    <n v="210"/>
    <x v="17"/>
    <x v="0"/>
    <x v="1"/>
    <n v="5589"/>
    <n v="3697"/>
    <x v="3"/>
  </r>
  <r>
    <n v="211"/>
    <x v="120"/>
    <x v="3"/>
    <x v="0"/>
    <n v="8881"/>
    <n v="5094"/>
    <x v="3"/>
  </r>
  <r>
    <n v="212"/>
    <x v="160"/>
    <x v="3"/>
    <x v="1"/>
    <n v="35784"/>
    <n v="8373"/>
    <x v="0"/>
  </r>
  <r>
    <n v="213"/>
    <x v="57"/>
    <x v="2"/>
    <x v="0"/>
    <n v="13871"/>
    <n v="4485"/>
    <x v="1"/>
  </r>
  <r>
    <n v="214"/>
    <x v="161"/>
    <x v="0"/>
    <x v="1"/>
    <n v="11503"/>
    <n v="8439"/>
    <x v="2"/>
  </r>
  <r>
    <n v="215"/>
    <x v="162"/>
    <x v="3"/>
    <x v="1"/>
    <n v="16406"/>
    <n v="1254"/>
    <x v="2"/>
  </r>
  <r>
    <n v="216"/>
    <x v="163"/>
    <x v="0"/>
    <x v="0"/>
    <n v="26623"/>
    <n v="7245"/>
    <x v="3"/>
  </r>
  <r>
    <n v="217"/>
    <x v="164"/>
    <x v="4"/>
    <x v="1"/>
    <n v="4520"/>
    <n v="-378"/>
    <x v="0"/>
  </r>
  <r>
    <n v="218"/>
    <x v="165"/>
    <x v="2"/>
    <x v="0"/>
    <n v="45505"/>
    <n v="-1851"/>
    <x v="0"/>
  </r>
  <r>
    <n v="219"/>
    <x v="166"/>
    <x v="1"/>
    <x v="0"/>
    <n v="45487"/>
    <n v="1903"/>
    <x v="0"/>
  </r>
  <r>
    <n v="220"/>
    <x v="123"/>
    <x v="4"/>
    <x v="0"/>
    <n v="42500"/>
    <n v="3966"/>
    <x v="2"/>
  </r>
  <r>
    <n v="221"/>
    <x v="167"/>
    <x v="1"/>
    <x v="1"/>
    <n v="32034"/>
    <n v="-1885"/>
    <x v="2"/>
  </r>
  <r>
    <n v="222"/>
    <x v="166"/>
    <x v="2"/>
    <x v="0"/>
    <n v="19114"/>
    <n v="5385"/>
    <x v="0"/>
  </r>
  <r>
    <n v="223"/>
    <x v="148"/>
    <x v="1"/>
    <x v="1"/>
    <n v="28974"/>
    <n v="-321"/>
    <x v="1"/>
  </r>
  <r>
    <n v="224"/>
    <x v="133"/>
    <x v="0"/>
    <x v="0"/>
    <n v="23773"/>
    <n v="-1227"/>
    <x v="3"/>
  </r>
  <r>
    <n v="225"/>
    <x v="43"/>
    <x v="2"/>
    <x v="1"/>
    <n v="8007"/>
    <n v="-1872"/>
    <x v="1"/>
  </r>
  <r>
    <n v="226"/>
    <x v="65"/>
    <x v="2"/>
    <x v="0"/>
    <n v="11668"/>
    <n v="-932"/>
    <x v="3"/>
  </r>
  <r>
    <n v="227"/>
    <x v="168"/>
    <x v="3"/>
    <x v="0"/>
    <n v="35774"/>
    <n v="-151"/>
    <x v="0"/>
  </r>
  <r>
    <n v="228"/>
    <x v="169"/>
    <x v="1"/>
    <x v="0"/>
    <n v="9155"/>
    <n v="7988"/>
    <x v="3"/>
  </r>
  <r>
    <n v="229"/>
    <x v="170"/>
    <x v="4"/>
    <x v="0"/>
    <n v="28339"/>
    <n v="7182"/>
    <x v="1"/>
  </r>
  <r>
    <n v="230"/>
    <x v="171"/>
    <x v="0"/>
    <x v="0"/>
    <n v="36111"/>
    <n v="9109"/>
    <x v="3"/>
  </r>
  <r>
    <n v="231"/>
    <x v="172"/>
    <x v="4"/>
    <x v="0"/>
    <n v="46751"/>
    <n v="1792"/>
    <x v="2"/>
  </r>
  <r>
    <n v="232"/>
    <x v="173"/>
    <x v="0"/>
    <x v="0"/>
    <n v="33028"/>
    <n v="1941"/>
    <x v="2"/>
  </r>
  <r>
    <n v="233"/>
    <x v="84"/>
    <x v="3"/>
    <x v="1"/>
    <n v="23733"/>
    <n v="9527"/>
    <x v="0"/>
  </r>
  <r>
    <n v="234"/>
    <x v="5"/>
    <x v="0"/>
    <x v="1"/>
    <n v="37485"/>
    <n v="2226"/>
    <x v="1"/>
  </r>
  <r>
    <n v="235"/>
    <x v="174"/>
    <x v="2"/>
    <x v="0"/>
    <n v="23721"/>
    <n v="8356"/>
    <x v="1"/>
  </r>
  <r>
    <n v="236"/>
    <x v="175"/>
    <x v="2"/>
    <x v="0"/>
    <n v="22907"/>
    <n v="9016"/>
    <x v="1"/>
  </r>
  <r>
    <n v="237"/>
    <x v="176"/>
    <x v="2"/>
    <x v="1"/>
    <n v="33223"/>
    <n v="-76"/>
    <x v="1"/>
  </r>
  <r>
    <n v="238"/>
    <x v="62"/>
    <x v="1"/>
    <x v="0"/>
    <n v="36915"/>
    <n v="2894"/>
    <x v="3"/>
  </r>
  <r>
    <n v="239"/>
    <x v="91"/>
    <x v="1"/>
    <x v="0"/>
    <n v="21885"/>
    <n v="437"/>
    <x v="0"/>
  </r>
  <r>
    <n v="240"/>
    <x v="177"/>
    <x v="4"/>
    <x v="1"/>
    <n v="24668"/>
    <n v="192"/>
    <x v="3"/>
  </r>
  <r>
    <n v="241"/>
    <x v="176"/>
    <x v="1"/>
    <x v="1"/>
    <n v="2846"/>
    <n v="6226"/>
    <x v="1"/>
  </r>
  <r>
    <n v="242"/>
    <x v="94"/>
    <x v="4"/>
    <x v="1"/>
    <n v="5251"/>
    <n v="-142"/>
    <x v="3"/>
  </r>
  <r>
    <n v="243"/>
    <x v="178"/>
    <x v="0"/>
    <x v="1"/>
    <n v="28770"/>
    <n v="8820"/>
    <x v="1"/>
  </r>
  <r>
    <n v="244"/>
    <x v="179"/>
    <x v="4"/>
    <x v="1"/>
    <n v="42610"/>
    <n v="3655"/>
    <x v="3"/>
  </r>
  <r>
    <n v="245"/>
    <x v="180"/>
    <x v="3"/>
    <x v="0"/>
    <n v="44382"/>
    <n v="3946"/>
    <x v="3"/>
  </r>
  <r>
    <n v="246"/>
    <x v="82"/>
    <x v="0"/>
    <x v="0"/>
    <n v="7820"/>
    <n v="3243"/>
    <x v="2"/>
  </r>
  <r>
    <n v="247"/>
    <x v="181"/>
    <x v="3"/>
    <x v="1"/>
    <n v="21306"/>
    <n v="7357"/>
    <x v="1"/>
  </r>
  <r>
    <n v="248"/>
    <x v="151"/>
    <x v="3"/>
    <x v="0"/>
    <n v="2829"/>
    <n v="1119"/>
    <x v="0"/>
  </r>
  <r>
    <n v="249"/>
    <x v="182"/>
    <x v="1"/>
    <x v="0"/>
    <n v="38784"/>
    <n v="3213"/>
    <x v="1"/>
  </r>
  <r>
    <n v="250"/>
    <x v="177"/>
    <x v="1"/>
    <x v="0"/>
    <n v="45465"/>
    <n v="-1278"/>
    <x v="0"/>
  </r>
  <r>
    <n v="251"/>
    <x v="183"/>
    <x v="3"/>
    <x v="0"/>
    <n v="29730"/>
    <n v="6065"/>
    <x v="0"/>
  </r>
  <r>
    <n v="252"/>
    <x v="165"/>
    <x v="3"/>
    <x v="1"/>
    <n v="4898"/>
    <n v="9835"/>
    <x v="1"/>
  </r>
  <r>
    <n v="253"/>
    <x v="151"/>
    <x v="3"/>
    <x v="1"/>
    <n v="11855"/>
    <n v="8361"/>
    <x v="2"/>
  </r>
  <r>
    <n v="254"/>
    <x v="145"/>
    <x v="1"/>
    <x v="0"/>
    <n v="24529"/>
    <n v="8554"/>
    <x v="2"/>
  </r>
  <r>
    <n v="255"/>
    <x v="184"/>
    <x v="0"/>
    <x v="1"/>
    <n v="22602"/>
    <n v="9594"/>
    <x v="2"/>
  </r>
  <r>
    <n v="256"/>
    <x v="13"/>
    <x v="4"/>
    <x v="0"/>
    <n v="49835"/>
    <n v="2044"/>
    <x v="3"/>
  </r>
  <r>
    <n v="257"/>
    <x v="185"/>
    <x v="1"/>
    <x v="0"/>
    <n v="19163"/>
    <n v="1491"/>
    <x v="2"/>
  </r>
  <r>
    <n v="258"/>
    <x v="132"/>
    <x v="1"/>
    <x v="1"/>
    <n v="28883"/>
    <n v="2244"/>
    <x v="0"/>
  </r>
  <r>
    <n v="259"/>
    <x v="12"/>
    <x v="3"/>
    <x v="1"/>
    <n v="38948"/>
    <n v="9587"/>
    <x v="3"/>
  </r>
  <r>
    <n v="260"/>
    <x v="105"/>
    <x v="3"/>
    <x v="0"/>
    <n v="32723"/>
    <n v="6387"/>
    <x v="3"/>
  </r>
  <r>
    <n v="261"/>
    <x v="177"/>
    <x v="4"/>
    <x v="0"/>
    <n v="44359"/>
    <n v="6815"/>
    <x v="0"/>
  </r>
  <r>
    <n v="262"/>
    <x v="186"/>
    <x v="4"/>
    <x v="0"/>
    <n v="35598"/>
    <n v="8891"/>
    <x v="1"/>
  </r>
  <r>
    <n v="263"/>
    <x v="187"/>
    <x v="2"/>
    <x v="1"/>
    <n v="41776"/>
    <n v="2510"/>
    <x v="2"/>
  </r>
  <r>
    <n v="264"/>
    <x v="188"/>
    <x v="3"/>
    <x v="0"/>
    <n v="41489"/>
    <n v="5278"/>
    <x v="3"/>
  </r>
  <r>
    <n v="265"/>
    <x v="7"/>
    <x v="0"/>
    <x v="1"/>
    <n v="42780"/>
    <n v="2600"/>
    <x v="3"/>
  </r>
  <r>
    <n v="266"/>
    <x v="88"/>
    <x v="1"/>
    <x v="0"/>
    <n v="21706"/>
    <n v="1569"/>
    <x v="0"/>
  </r>
  <r>
    <n v="267"/>
    <x v="189"/>
    <x v="1"/>
    <x v="1"/>
    <n v="32536"/>
    <n v="9681"/>
    <x v="2"/>
  </r>
  <r>
    <n v="268"/>
    <x v="135"/>
    <x v="3"/>
    <x v="0"/>
    <n v="13473"/>
    <n v="-1048"/>
    <x v="0"/>
  </r>
  <r>
    <n v="269"/>
    <x v="89"/>
    <x v="1"/>
    <x v="1"/>
    <n v="7883"/>
    <n v="7129"/>
    <x v="3"/>
  </r>
  <r>
    <n v="270"/>
    <x v="190"/>
    <x v="0"/>
    <x v="0"/>
    <n v="31142"/>
    <n v="-1647"/>
    <x v="0"/>
  </r>
  <r>
    <n v="271"/>
    <x v="90"/>
    <x v="4"/>
    <x v="0"/>
    <n v="46162"/>
    <n v="1715"/>
    <x v="3"/>
  </r>
  <r>
    <n v="272"/>
    <x v="191"/>
    <x v="3"/>
    <x v="0"/>
    <n v="48122"/>
    <n v="985"/>
    <x v="3"/>
  </r>
  <r>
    <n v="273"/>
    <x v="21"/>
    <x v="0"/>
    <x v="1"/>
    <n v="34661"/>
    <n v="-855"/>
    <x v="1"/>
  </r>
  <r>
    <n v="274"/>
    <x v="29"/>
    <x v="2"/>
    <x v="1"/>
    <n v="843"/>
    <n v="4624"/>
    <x v="0"/>
  </r>
  <r>
    <n v="275"/>
    <x v="192"/>
    <x v="2"/>
    <x v="0"/>
    <n v="41444"/>
    <n v="9944"/>
    <x v="2"/>
  </r>
  <r>
    <n v="276"/>
    <x v="81"/>
    <x v="0"/>
    <x v="1"/>
    <n v="30212"/>
    <n v="3779"/>
    <x v="2"/>
  </r>
  <r>
    <n v="277"/>
    <x v="9"/>
    <x v="3"/>
    <x v="0"/>
    <n v="32574"/>
    <n v="4316"/>
    <x v="1"/>
  </r>
  <r>
    <n v="278"/>
    <x v="92"/>
    <x v="1"/>
    <x v="0"/>
    <n v="36089"/>
    <n v="6985"/>
    <x v="2"/>
  </r>
  <r>
    <n v="279"/>
    <x v="80"/>
    <x v="3"/>
    <x v="1"/>
    <n v="22390"/>
    <n v="4395"/>
    <x v="1"/>
  </r>
  <r>
    <n v="280"/>
    <x v="193"/>
    <x v="4"/>
    <x v="0"/>
    <n v="18308"/>
    <n v="383"/>
    <x v="1"/>
  </r>
  <r>
    <n v="281"/>
    <x v="115"/>
    <x v="4"/>
    <x v="1"/>
    <n v="49952"/>
    <n v="9069"/>
    <x v="3"/>
  </r>
  <r>
    <n v="282"/>
    <x v="69"/>
    <x v="3"/>
    <x v="1"/>
    <n v="33714"/>
    <n v="5558"/>
    <x v="2"/>
  </r>
  <r>
    <n v="283"/>
    <x v="194"/>
    <x v="3"/>
    <x v="1"/>
    <n v="10880"/>
    <n v="-293"/>
    <x v="2"/>
  </r>
  <r>
    <n v="284"/>
    <x v="115"/>
    <x v="2"/>
    <x v="0"/>
    <n v="25660"/>
    <n v="1838"/>
    <x v="0"/>
  </r>
  <r>
    <n v="285"/>
    <x v="195"/>
    <x v="0"/>
    <x v="0"/>
    <n v="23631"/>
    <n v="2393"/>
    <x v="2"/>
  </r>
  <r>
    <n v="286"/>
    <x v="196"/>
    <x v="3"/>
    <x v="0"/>
    <n v="13696"/>
    <n v="4127"/>
    <x v="1"/>
  </r>
  <r>
    <n v="287"/>
    <x v="77"/>
    <x v="3"/>
    <x v="1"/>
    <n v="12649"/>
    <n v="7553"/>
    <x v="3"/>
  </r>
  <r>
    <n v="288"/>
    <x v="197"/>
    <x v="0"/>
    <x v="1"/>
    <n v="33669"/>
    <n v="-267"/>
    <x v="2"/>
  </r>
  <r>
    <n v="289"/>
    <x v="198"/>
    <x v="4"/>
    <x v="0"/>
    <n v="43709"/>
    <n v="-1814"/>
    <x v="3"/>
  </r>
  <r>
    <n v="290"/>
    <x v="85"/>
    <x v="2"/>
    <x v="0"/>
    <n v="42717"/>
    <n v="4854"/>
    <x v="0"/>
  </r>
  <r>
    <n v="291"/>
    <x v="77"/>
    <x v="1"/>
    <x v="0"/>
    <n v="1577"/>
    <n v="2693"/>
    <x v="0"/>
  </r>
  <r>
    <n v="292"/>
    <x v="162"/>
    <x v="3"/>
    <x v="0"/>
    <n v="31393"/>
    <n v="-169"/>
    <x v="2"/>
  </r>
  <r>
    <n v="293"/>
    <x v="82"/>
    <x v="0"/>
    <x v="0"/>
    <n v="17586"/>
    <n v="6615"/>
    <x v="1"/>
  </r>
  <r>
    <n v="294"/>
    <x v="199"/>
    <x v="3"/>
    <x v="0"/>
    <n v="16309"/>
    <n v="7922"/>
    <x v="3"/>
  </r>
  <r>
    <n v="295"/>
    <x v="175"/>
    <x v="2"/>
    <x v="0"/>
    <n v="28045"/>
    <n v="4864"/>
    <x v="0"/>
  </r>
  <r>
    <n v="296"/>
    <x v="100"/>
    <x v="1"/>
    <x v="1"/>
    <n v="29081"/>
    <n v="-1111"/>
    <x v="3"/>
  </r>
  <r>
    <n v="297"/>
    <x v="83"/>
    <x v="4"/>
    <x v="0"/>
    <n v="41959"/>
    <n v="7486"/>
    <x v="0"/>
  </r>
  <r>
    <n v="298"/>
    <x v="94"/>
    <x v="0"/>
    <x v="0"/>
    <n v="17179"/>
    <n v="7226"/>
    <x v="3"/>
  </r>
  <r>
    <n v="299"/>
    <x v="200"/>
    <x v="0"/>
    <x v="0"/>
    <n v="17872"/>
    <n v="4874"/>
    <x v="1"/>
  </r>
  <r>
    <n v="300"/>
    <x v="201"/>
    <x v="3"/>
    <x v="1"/>
    <n v="20387"/>
    <n v="265"/>
    <x v="1"/>
  </r>
  <r>
    <n v="301"/>
    <x v="202"/>
    <x v="0"/>
    <x v="1"/>
    <n v="27166"/>
    <n v="984"/>
    <x v="3"/>
  </r>
  <r>
    <n v="302"/>
    <x v="62"/>
    <x v="0"/>
    <x v="1"/>
    <n v="24410"/>
    <n v="5419"/>
    <x v="1"/>
  </r>
  <r>
    <n v="303"/>
    <x v="87"/>
    <x v="3"/>
    <x v="0"/>
    <n v="17755"/>
    <n v="6065"/>
    <x v="1"/>
  </r>
  <r>
    <n v="304"/>
    <x v="14"/>
    <x v="3"/>
    <x v="0"/>
    <n v="993"/>
    <n v="3962"/>
    <x v="3"/>
  </r>
  <r>
    <n v="305"/>
    <x v="203"/>
    <x v="3"/>
    <x v="0"/>
    <n v="25033"/>
    <n v="7596"/>
    <x v="1"/>
  </r>
  <r>
    <n v="306"/>
    <x v="60"/>
    <x v="0"/>
    <x v="0"/>
    <n v="15011"/>
    <n v="3688"/>
    <x v="3"/>
  </r>
  <r>
    <n v="307"/>
    <x v="108"/>
    <x v="4"/>
    <x v="1"/>
    <n v="24768"/>
    <n v="326"/>
    <x v="3"/>
  </r>
  <r>
    <n v="308"/>
    <x v="70"/>
    <x v="1"/>
    <x v="0"/>
    <n v="38051"/>
    <n v="3404"/>
    <x v="3"/>
  </r>
  <r>
    <n v="309"/>
    <x v="204"/>
    <x v="4"/>
    <x v="1"/>
    <n v="28410"/>
    <n v="9975"/>
    <x v="2"/>
  </r>
  <r>
    <n v="310"/>
    <x v="60"/>
    <x v="2"/>
    <x v="1"/>
    <n v="31808"/>
    <n v="901"/>
    <x v="0"/>
  </r>
  <r>
    <n v="311"/>
    <x v="205"/>
    <x v="2"/>
    <x v="1"/>
    <n v="33748"/>
    <n v="9253"/>
    <x v="2"/>
  </r>
  <r>
    <n v="312"/>
    <x v="174"/>
    <x v="3"/>
    <x v="0"/>
    <n v="11655"/>
    <n v="1126"/>
    <x v="0"/>
  </r>
  <r>
    <n v="313"/>
    <x v="172"/>
    <x v="4"/>
    <x v="0"/>
    <n v="35549"/>
    <n v="212"/>
    <x v="3"/>
  </r>
  <r>
    <n v="314"/>
    <x v="206"/>
    <x v="4"/>
    <x v="0"/>
    <n v="3840"/>
    <n v="3892"/>
    <x v="0"/>
  </r>
  <r>
    <n v="315"/>
    <x v="88"/>
    <x v="2"/>
    <x v="1"/>
    <n v="35580"/>
    <n v="5086"/>
    <x v="3"/>
  </r>
  <r>
    <n v="316"/>
    <x v="207"/>
    <x v="4"/>
    <x v="0"/>
    <n v="12626"/>
    <n v="4124"/>
    <x v="0"/>
  </r>
  <r>
    <n v="317"/>
    <x v="208"/>
    <x v="2"/>
    <x v="0"/>
    <n v="37837"/>
    <n v="5687"/>
    <x v="1"/>
  </r>
  <r>
    <n v="318"/>
    <x v="62"/>
    <x v="1"/>
    <x v="1"/>
    <n v="20516"/>
    <n v="1677"/>
    <x v="2"/>
  </r>
  <r>
    <n v="319"/>
    <x v="209"/>
    <x v="1"/>
    <x v="0"/>
    <n v="32593"/>
    <n v="-287"/>
    <x v="3"/>
  </r>
  <r>
    <n v="320"/>
    <x v="210"/>
    <x v="0"/>
    <x v="0"/>
    <n v="10156"/>
    <n v="-1810"/>
    <x v="2"/>
  </r>
  <r>
    <n v="321"/>
    <x v="138"/>
    <x v="1"/>
    <x v="0"/>
    <n v="18183"/>
    <n v="6375"/>
    <x v="2"/>
  </r>
  <r>
    <n v="322"/>
    <x v="101"/>
    <x v="1"/>
    <x v="1"/>
    <n v="22479"/>
    <n v="8588"/>
    <x v="0"/>
  </r>
  <r>
    <n v="323"/>
    <x v="211"/>
    <x v="2"/>
    <x v="0"/>
    <n v="22092"/>
    <n v="4260"/>
    <x v="2"/>
  </r>
  <r>
    <n v="324"/>
    <x v="212"/>
    <x v="4"/>
    <x v="0"/>
    <n v="26645"/>
    <n v="-156"/>
    <x v="3"/>
  </r>
  <r>
    <n v="325"/>
    <x v="213"/>
    <x v="2"/>
    <x v="0"/>
    <n v="16134"/>
    <n v="5136"/>
    <x v="2"/>
  </r>
  <r>
    <n v="326"/>
    <x v="214"/>
    <x v="4"/>
    <x v="1"/>
    <n v="9896"/>
    <n v="3959"/>
    <x v="3"/>
  </r>
  <r>
    <n v="327"/>
    <x v="144"/>
    <x v="0"/>
    <x v="0"/>
    <n v="19428"/>
    <n v="854"/>
    <x v="3"/>
  </r>
  <r>
    <n v="328"/>
    <x v="215"/>
    <x v="4"/>
    <x v="1"/>
    <n v="27513"/>
    <n v="6757"/>
    <x v="3"/>
  </r>
  <r>
    <n v="329"/>
    <x v="207"/>
    <x v="3"/>
    <x v="0"/>
    <n v="48625"/>
    <n v="7455"/>
    <x v="2"/>
  </r>
  <r>
    <n v="330"/>
    <x v="216"/>
    <x v="0"/>
    <x v="0"/>
    <n v="20355"/>
    <n v="5228"/>
    <x v="2"/>
  </r>
  <r>
    <n v="331"/>
    <x v="19"/>
    <x v="3"/>
    <x v="0"/>
    <n v="24003"/>
    <n v="-1119"/>
    <x v="3"/>
  </r>
  <r>
    <n v="332"/>
    <x v="217"/>
    <x v="0"/>
    <x v="1"/>
    <n v="38466"/>
    <n v="7376"/>
    <x v="0"/>
  </r>
  <r>
    <n v="333"/>
    <x v="218"/>
    <x v="1"/>
    <x v="0"/>
    <n v="37926"/>
    <n v="4506"/>
    <x v="3"/>
  </r>
  <r>
    <n v="334"/>
    <x v="219"/>
    <x v="1"/>
    <x v="1"/>
    <n v="11826"/>
    <n v="6760"/>
    <x v="3"/>
  </r>
  <r>
    <n v="335"/>
    <x v="156"/>
    <x v="1"/>
    <x v="0"/>
    <n v="10533"/>
    <n v="-1130"/>
    <x v="2"/>
  </r>
  <r>
    <n v="336"/>
    <x v="220"/>
    <x v="3"/>
    <x v="1"/>
    <n v="15516"/>
    <n v="2700"/>
    <x v="3"/>
  </r>
  <r>
    <n v="337"/>
    <x v="169"/>
    <x v="4"/>
    <x v="1"/>
    <n v="16054"/>
    <n v="6295"/>
    <x v="2"/>
  </r>
  <r>
    <n v="338"/>
    <x v="221"/>
    <x v="0"/>
    <x v="0"/>
    <n v="34061"/>
    <n v="3954"/>
    <x v="0"/>
  </r>
  <r>
    <n v="339"/>
    <x v="93"/>
    <x v="0"/>
    <x v="0"/>
    <n v="15980"/>
    <n v="8130"/>
    <x v="3"/>
  </r>
  <r>
    <n v="340"/>
    <x v="80"/>
    <x v="2"/>
    <x v="0"/>
    <n v="21355"/>
    <n v="9617"/>
    <x v="2"/>
  </r>
  <r>
    <n v="341"/>
    <x v="222"/>
    <x v="0"/>
    <x v="0"/>
    <n v="43281"/>
    <n v="8942"/>
    <x v="1"/>
  </r>
  <r>
    <n v="342"/>
    <x v="223"/>
    <x v="1"/>
    <x v="1"/>
    <n v="16010"/>
    <n v="276"/>
    <x v="2"/>
  </r>
  <r>
    <n v="343"/>
    <x v="142"/>
    <x v="3"/>
    <x v="1"/>
    <n v="9857"/>
    <n v="4267"/>
    <x v="2"/>
  </r>
  <r>
    <n v="344"/>
    <x v="78"/>
    <x v="4"/>
    <x v="0"/>
    <n v="41330"/>
    <n v="9146"/>
    <x v="2"/>
  </r>
  <r>
    <n v="345"/>
    <x v="224"/>
    <x v="1"/>
    <x v="0"/>
    <n v="2137"/>
    <n v="1416"/>
    <x v="2"/>
  </r>
  <r>
    <n v="346"/>
    <x v="43"/>
    <x v="0"/>
    <x v="1"/>
    <n v="28423"/>
    <n v="-1972"/>
    <x v="1"/>
  </r>
  <r>
    <n v="347"/>
    <x v="126"/>
    <x v="2"/>
    <x v="1"/>
    <n v="30936"/>
    <n v="5095"/>
    <x v="1"/>
  </r>
  <r>
    <n v="348"/>
    <x v="75"/>
    <x v="3"/>
    <x v="1"/>
    <n v="8257"/>
    <n v="793"/>
    <x v="1"/>
  </r>
  <r>
    <n v="349"/>
    <x v="25"/>
    <x v="4"/>
    <x v="0"/>
    <n v="26320"/>
    <n v="9881"/>
    <x v="3"/>
  </r>
  <r>
    <n v="350"/>
    <x v="84"/>
    <x v="4"/>
    <x v="0"/>
    <n v="5661"/>
    <n v="2893"/>
    <x v="3"/>
  </r>
  <r>
    <n v="351"/>
    <x v="153"/>
    <x v="1"/>
    <x v="1"/>
    <n v="45124"/>
    <n v="7733"/>
    <x v="0"/>
  </r>
  <r>
    <n v="352"/>
    <x v="225"/>
    <x v="0"/>
    <x v="1"/>
    <n v="15555"/>
    <n v="721"/>
    <x v="2"/>
  </r>
  <r>
    <n v="353"/>
    <x v="226"/>
    <x v="2"/>
    <x v="1"/>
    <n v="36673"/>
    <n v="8627"/>
    <x v="2"/>
  </r>
  <r>
    <n v="354"/>
    <x v="227"/>
    <x v="3"/>
    <x v="0"/>
    <n v="41195"/>
    <n v="3153"/>
    <x v="2"/>
  </r>
  <r>
    <n v="355"/>
    <x v="138"/>
    <x v="3"/>
    <x v="1"/>
    <n v="25585"/>
    <n v="3167"/>
    <x v="2"/>
  </r>
  <r>
    <n v="356"/>
    <x v="228"/>
    <x v="0"/>
    <x v="1"/>
    <n v="35130"/>
    <n v="8777"/>
    <x v="2"/>
  </r>
  <r>
    <n v="357"/>
    <x v="55"/>
    <x v="2"/>
    <x v="0"/>
    <n v="39605"/>
    <n v="-202"/>
    <x v="2"/>
  </r>
  <r>
    <n v="358"/>
    <x v="226"/>
    <x v="1"/>
    <x v="1"/>
    <n v="49820"/>
    <n v="2055"/>
    <x v="2"/>
  </r>
  <r>
    <n v="359"/>
    <x v="229"/>
    <x v="2"/>
    <x v="0"/>
    <n v="32710"/>
    <n v="5889"/>
    <x v="3"/>
  </r>
  <r>
    <n v="360"/>
    <x v="206"/>
    <x v="0"/>
    <x v="1"/>
    <n v="39785"/>
    <n v="-232"/>
    <x v="2"/>
  </r>
  <r>
    <n v="361"/>
    <x v="230"/>
    <x v="1"/>
    <x v="0"/>
    <n v="23849"/>
    <n v="6839"/>
    <x v="1"/>
  </r>
  <r>
    <n v="362"/>
    <x v="209"/>
    <x v="4"/>
    <x v="0"/>
    <n v="48339"/>
    <n v="6675"/>
    <x v="3"/>
  </r>
  <r>
    <n v="363"/>
    <x v="87"/>
    <x v="4"/>
    <x v="0"/>
    <n v="16306"/>
    <n v="539"/>
    <x v="3"/>
  </r>
  <r>
    <n v="364"/>
    <x v="231"/>
    <x v="3"/>
    <x v="1"/>
    <n v="22872"/>
    <n v="5421"/>
    <x v="2"/>
  </r>
  <r>
    <n v="365"/>
    <x v="232"/>
    <x v="3"/>
    <x v="1"/>
    <n v="11332"/>
    <n v="7563"/>
    <x v="3"/>
  </r>
  <r>
    <n v="366"/>
    <x v="233"/>
    <x v="2"/>
    <x v="1"/>
    <n v="38580"/>
    <n v="7797"/>
    <x v="0"/>
  </r>
  <r>
    <n v="367"/>
    <x v="234"/>
    <x v="1"/>
    <x v="1"/>
    <n v="5729"/>
    <n v="8432"/>
    <x v="3"/>
  </r>
  <r>
    <n v="368"/>
    <x v="235"/>
    <x v="0"/>
    <x v="1"/>
    <n v="22137"/>
    <n v="8924"/>
    <x v="0"/>
  </r>
  <r>
    <n v="369"/>
    <x v="215"/>
    <x v="3"/>
    <x v="1"/>
    <n v="32218"/>
    <n v="9294"/>
    <x v="2"/>
  </r>
  <r>
    <n v="370"/>
    <x v="1"/>
    <x v="1"/>
    <x v="0"/>
    <n v="1167"/>
    <n v="-929"/>
    <x v="1"/>
  </r>
  <r>
    <n v="371"/>
    <x v="183"/>
    <x v="3"/>
    <x v="1"/>
    <n v="43485"/>
    <n v="6726"/>
    <x v="3"/>
  </r>
  <r>
    <n v="372"/>
    <x v="201"/>
    <x v="0"/>
    <x v="0"/>
    <n v="45462"/>
    <n v="4596"/>
    <x v="1"/>
  </r>
  <r>
    <n v="373"/>
    <x v="236"/>
    <x v="3"/>
    <x v="1"/>
    <n v="45686"/>
    <n v="6366"/>
    <x v="2"/>
  </r>
  <r>
    <n v="374"/>
    <x v="237"/>
    <x v="2"/>
    <x v="0"/>
    <n v="49979"/>
    <n v="-502"/>
    <x v="3"/>
  </r>
  <r>
    <n v="375"/>
    <x v="119"/>
    <x v="0"/>
    <x v="0"/>
    <n v="1962"/>
    <n v="8263"/>
    <x v="1"/>
  </r>
  <r>
    <n v="376"/>
    <x v="26"/>
    <x v="3"/>
    <x v="0"/>
    <n v="43580"/>
    <n v="4368"/>
    <x v="2"/>
  </r>
  <r>
    <n v="377"/>
    <x v="238"/>
    <x v="4"/>
    <x v="0"/>
    <n v="14166"/>
    <n v="1274"/>
    <x v="0"/>
  </r>
  <r>
    <n v="378"/>
    <x v="212"/>
    <x v="3"/>
    <x v="0"/>
    <n v="31191"/>
    <n v="7843"/>
    <x v="1"/>
  </r>
  <r>
    <n v="379"/>
    <x v="176"/>
    <x v="2"/>
    <x v="0"/>
    <n v="22997"/>
    <n v="1012"/>
    <x v="3"/>
  </r>
  <r>
    <n v="380"/>
    <x v="53"/>
    <x v="3"/>
    <x v="1"/>
    <n v="29723"/>
    <n v="7927"/>
    <x v="2"/>
  </r>
  <r>
    <n v="381"/>
    <x v="190"/>
    <x v="0"/>
    <x v="1"/>
    <n v="46278"/>
    <n v="4363"/>
    <x v="3"/>
  </r>
  <r>
    <n v="382"/>
    <x v="162"/>
    <x v="1"/>
    <x v="0"/>
    <n v="14060"/>
    <n v="-514"/>
    <x v="1"/>
  </r>
  <r>
    <n v="383"/>
    <x v="239"/>
    <x v="4"/>
    <x v="1"/>
    <n v="27869"/>
    <n v="94"/>
    <x v="1"/>
  </r>
  <r>
    <n v="384"/>
    <x v="221"/>
    <x v="4"/>
    <x v="1"/>
    <n v="24915"/>
    <n v="5363"/>
    <x v="1"/>
  </r>
  <r>
    <n v="385"/>
    <x v="240"/>
    <x v="2"/>
    <x v="1"/>
    <n v="35352"/>
    <n v="6781"/>
    <x v="2"/>
  </r>
  <r>
    <n v="386"/>
    <x v="155"/>
    <x v="3"/>
    <x v="0"/>
    <n v="27157"/>
    <n v="5071"/>
    <x v="2"/>
  </r>
  <r>
    <n v="387"/>
    <x v="192"/>
    <x v="0"/>
    <x v="0"/>
    <n v="12340"/>
    <n v="3654"/>
    <x v="2"/>
  </r>
  <r>
    <n v="388"/>
    <x v="67"/>
    <x v="3"/>
    <x v="1"/>
    <n v="28586"/>
    <n v="2613"/>
    <x v="3"/>
  </r>
  <r>
    <n v="389"/>
    <x v="86"/>
    <x v="4"/>
    <x v="0"/>
    <n v="42904"/>
    <n v="-1286"/>
    <x v="2"/>
  </r>
  <r>
    <n v="390"/>
    <x v="241"/>
    <x v="4"/>
    <x v="1"/>
    <n v="16599"/>
    <n v="4085"/>
    <x v="0"/>
  </r>
  <r>
    <n v="391"/>
    <x v="214"/>
    <x v="3"/>
    <x v="0"/>
    <n v="1398"/>
    <n v="9229"/>
    <x v="0"/>
  </r>
  <r>
    <n v="392"/>
    <x v="210"/>
    <x v="1"/>
    <x v="1"/>
    <n v="10787"/>
    <n v="7852"/>
    <x v="3"/>
  </r>
  <r>
    <n v="393"/>
    <x v="242"/>
    <x v="3"/>
    <x v="1"/>
    <n v="46543"/>
    <n v="7096"/>
    <x v="1"/>
  </r>
  <r>
    <n v="394"/>
    <x v="243"/>
    <x v="4"/>
    <x v="1"/>
    <n v="6916"/>
    <n v="3092"/>
    <x v="0"/>
  </r>
  <r>
    <n v="395"/>
    <x v="98"/>
    <x v="4"/>
    <x v="0"/>
    <n v="44677"/>
    <n v="9247"/>
    <x v="1"/>
  </r>
  <r>
    <n v="396"/>
    <x v="21"/>
    <x v="3"/>
    <x v="0"/>
    <n v="9693"/>
    <n v="1819"/>
    <x v="2"/>
  </r>
  <r>
    <n v="397"/>
    <x v="244"/>
    <x v="1"/>
    <x v="1"/>
    <n v="48779"/>
    <n v="8195"/>
    <x v="0"/>
  </r>
  <r>
    <n v="398"/>
    <x v="172"/>
    <x v="3"/>
    <x v="1"/>
    <n v="38403"/>
    <n v="-738"/>
    <x v="3"/>
  </r>
  <r>
    <n v="399"/>
    <x v="121"/>
    <x v="4"/>
    <x v="1"/>
    <n v="4488"/>
    <n v="9092"/>
    <x v="2"/>
  </r>
  <r>
    <n v="400"/>
    <x v="70"/>
    <x v="3"/>
    <x v="0"/>
    <n v="9015"/>
    <n v="7659"/>
    <x v="2"/>
  </r>
  <r>
    <n v="401"/>
    <x v="131"/>
    <x v="2"/>
    <x v="1"/>
    <n v="26516"/>
    <n v="8352"/>
    <x v="0"/>
  </r>
  <r>
    <n v="402"/>
    <x v="94"/>
    <x v="1"/>
    <x v="0"/>
    <n v="5386"/>
    <n v="5014"/>
    <x v="2"/>
  </r>
  <r>
    <n v="403"/>
    <x v="72"/>
    <x v="2"/>
    <x v="0"/>
    <n v="48122"/>
    <n v="6171"/>
    <x v="3"/>
  </r>
  <r>
    <n v="404"/>
    <x v="245"/>
    <x v="1"/>
    <x v="1"/>
    <n v="9193"/>
    <n v="2985"/>
    <x v="1"/>
  </r>
  <r>
    <n v="405"/>
    <x v="246"/>
    <x v="2"/>
    <x v="0"/>
    <n v="23209"/>
    <n v="6347"/>
    <x v="0"/>
  </r>
  <r>
    <n v="406"/>
    <x v="247"/>
    <x v="2"/>
    <x v="1"/>
    <n v="14061"/>
    <n v="1987"/>
    <x v="1"/>
  </r>
  <r>
    <n v="407"/>
    <x v="5"/>
    <x v="4"/>
    <x v="1"/>
    <n v="29357"/>
    <n v="7000"/>
    <x v="3"/>
  </r>
  <r>
    <n v="408"/>
    <x v="50"/>
    <x v="1"/>
    <x v="0"/>
    <n v="14008"/>
    <n v="9311"/>
    <x v="3"/>
  </r>
  <r>
    <n v="409"/>
    <x v="176"/>
    <x v="1"/>
    <x v="1"/>
    <n v="37424"/>
    <n v="8621"/>
    <x v="3"/>
  </r>
  <r>
    <n v="410"/>
    <x v="248"/>
    <x v="1"/>
    <x v="0"/>
    <n v="19585"/>
    <n v="1696"/>
    <x v="1"/>
  </r>
  <r>
    <n v="411"/>
    <x v="237"/>
    <x v="2"/>
    <x v="1"/>
    <n v="20043"/>
    <n v="4817"/>
    <x v="0"/>
  </r>
  <r>
    <n v="412"/>
    <x v="21"/>
    <x v="3"/>
    <x v="1"/>
    <n v="39968"/>
    <n v="-1699"/>
    <x v="1"/>
  </r>
  <r>
    <n v="413"/>
    <x v="245"/>
    <x v="2"/>
    <x v="0"/>
    <n v="29135"/>
    <n v="8014"/>
    <x v="1"/>
  </r>
  <r>
    <n v="414"/>
    <x v="249"/>
    <x v="4"/>
    <x v="0"/>
    <n v="2614"/>
    <n v="8747"/>
    <x v="1"/>
  </r>
  <r>
    <n v="415"/>
    <x v="57"/>
    <x v="2"/>
    <x v="1"/>
    <n v="37372"/>
    <n v="8536"/>
    <x v="1"/>
  </r>
  <r>
    <n v="416"/>
    <x v="250"/>
    <x v="2"/>
    <x v="0"/>
    <n v="13942"/>
    <n v="1745"/>
    <x v="0"/>
  </r>
  <r>
    <n v="417"/>
    <x v="87"/>
    <x v="4"/>
    <x v="1"/>
    <n v="9953"/>
    <n v="8703"/>
    <x v="1"/>
  </r>
  <r>
    <n v="418"/>
    <x v="26"/>
    <x v="1"/>
    <x v="1"/>
    <n v="49756"/>
    <n v="-1884"/>
    <x v="0"/>
  </r>
  <r>
    <n v="419"/>
    <x v="162"/>
    <x v="2"/>
    <x v="0"/>
    <n v="15961"/>
    <n v="8791"/>
    <x v="0"/>
  </r>
  <r>
    <n v="420"/>
    <x v="251"/>
    <x v="1"/>
    <x v="1"/>
    <n v="45451"/>
    <n v="2653"/>
    <x v="1"/>
  </r>
  <r>
    <n v="421"/>
    <x v="252"/>
    <x v="4"/>
    <x v="0"/>
    <n v="28427"/>
    <n v="2211"/>
    <x v="3"/>
  </r>
  <r>
    <n v="422"/>
    <x v="167"/>
    <x v="1"/>
    <x v="0"/>
    <n v="11546"/>
    <n v="2748"/>
    <x v="2"/>
  </r>
  <r>
    <n v="423"/>
    <x v="253"/>
    <x v="2"/>
    <x v="0"/>
    <n v="3630"/>
    <n v="6975"/>
    <x v="2"/>
  </r>
  <r>
    <n v="424"/>
    <x v="177"/>
    <x v="1"/>
    <x v="1"/>
    <n v="37321"/>
    <n v="4240"/>
    <x v="1"/>
  </r>
  <r>
    <n v="425"/>
    <x v="113"/>
    <x v="3"/>
    <x v="1"/>
    <n v="20977"/>
    <n v="8237"/>
    <x v="2"/>
  </r>
  <r>
    <n v="426"/>
    <x v="254"/>
    <x v="3"/>
    <x v="0"/>
    <n v="12361"/>
    <n v="2535"/>
    <x v="2"/>
  </r>
  <r>
    <n v="427"/>
    <x v="112"/>
    <x v="1"/>
    <x v="1"/>
    <n v="4473"/>
    <n v="3913"/>
    <x v="3"/>
  </r>
  <r>
    <n v="428"/>
    <x v="255"/>
    <x v="1"/>
    <x v="0"/>
    <n v="27926"/>
    <n v="8253"/>
    <x v="3"/>
  </r>
  <r>
    <n v="429"/>
    <x v="256"/>
    <x v="2"/>
    <x v="0"/>
    <n v="49165"/>
    <n v="9802"/>
    <x v="2"/>
  </r>
  <r>
    <n v="430"/>
    <x v="222"/>
    <x v="4"/>
    <x v="0"/>
    <n v="11851"/>
    <n v="9914"/>
    <x v="1"/>
  </r>
  <r>
    <n v="431"/>
    <x v="122"/>
    <x v="3"/>
    <x v="0"/>
    <n v="43896"/>
    <n v="9853"/>
    <x v="0"/>
  </r>
  <r>
    <n v="432"/>
    <x v="195"/>
    <x v="3"/>
    <x v="1"/>
    <n v="39994"/>
    <n v="5179"/>
    <x v="3"/>
  </r>
  <r>
    <n v="433"/>
    <x v="198"/>
    <x v="0"/>
    <x v="0"/>
    <n v="39601"/>
    <n v="465"/>
    <x v="1"/>
  </r>
  <r>
    <n v="434"/>
    <x v="147"/>
    <x v="0"/>
    <x v="1"/>
    <n v="22753"/>
    <n v="2874"/>
    <x v="1"/>
  </r>
  <r>
    <n v="435"/>
    <x v="229"/>
    <x v="3"/>
    <x v="1"/>
    <n v="34027"/>
    <n v="877"/>
    <x v="2"/>
  </r>
  <r>
    <n v="436"/>
    <x v="257"/>
    <x v="2"/>
    <x v="1"/>
    <n v="14053"/>
    <n v="-1668"/>
    <x v="3"/>
  </r>
  <r>
    <n v="437"/>
    <x v="258"/>
    <x v="4"/>
    <x v="1"/>
    <n v="7035"/>
    <n v="-381"/>
    <x v="0"/>
  </r>
  <r>
    <n v="438"/>
    <x v="80"/>
    <x v="1"/>
    <x v="0"/>
    <n v="47658"/>
    <n v="7727"/>
    <x v="3"/>
  </r>
  <r>
    <n v="439"/>
    <x v="259"/>
    <x v="0"/>
    <x v="1"/>
    <n v="29972"/>
    <n v="4033"/>
    <x v="1"/>
  </r>
  <r>
    <n v="440"/>
    <x v="145"/>
    <x v="1"/>
    <x v="1"/>
    <n v="18810"/>
    <n v="-337"/>
    <x v="2"/>
  </r>
  <r>
    <n v="441"/>
    <x v="260"/>
    <x v="2"/>
    <x v="0"/>
    <n v="29722"/>
    <n v="6759"/>
    <x v="2"/>
  </r>
  <r>
    <n v="442"/>
    <x v="261"/>
    <x v="0"/>
    <x v="0"/>
    <n v="28317"/>
    <n v="-1859"/>
    <x v="2"/>
  </r>
  <r>
    <n v="443"/>
    <x v="241"/>
    <x v="0"/>
    <x v="0"/>
    <n v="8306"/>
    <n v="1452"/>
    <x v="3"/>
  </r>
  <r>
    <n v="444"/>
    <x v="142"/>
    <x v="4"/>
    <x v="0"/>
    <n v="16840"/>
    <n v="3523"/>
    <x v="1"/>
  </r>
  <r>
    <n v="445"/>
    <x v="176"/>
    <x v="0"/>
    <x v="1"/>
    <n v="2961"/>
    <n v="3928"/>
    <x v="2"/>
  </r>
  <r>
    <n v="446"/>
    <x v="208"/>
    <x v="4"/>
    <x v="0"/>
    <n v="41851"/>
    <n v="4140"/>
    <x v="0"/>
  </r>
  <r>
    <n v="447"/>
    <x v="29"/>
    <x v="2"/>
    <x v="0"/>
    <n v="49122"/>
    <n v="9333"/>
    <x v="2"/>
  </r>
  <r>
    <n v="448"/>
    <x v="183"/>
    <x v="4"/>
    <x v="0"/>
    <n v="2825"/>
    <n v="9946"/>
    <x v="1"/>
  </r>
  <r>
    <n v="449"/>
    <x v="0"/>
    <x v="0"/>
    <x v="1"/>
    <n v="16358"/>
    <n v="245"/>
    <x v="1"/>
  </r>
  <r>
    <n v="450"/>
    <x v="262"/>
    <x v="4"/>
    <x v="0"/>
    <n v="22087"/>
    <n v="-1715"/>
    <x v="3"/>
  </r>
  <r>
    <n v="451"/>
    <x v="263"/>
    <x v="3"/>
    <x v="1"/>
    <n v="5217"/>
    <n v="1171"/>
    <x v="2"/>
  </r>
  <r>
    <n v="452"/>
    <x v="264"/>
    <x v="0"/>
    <x v="0"/>
    <n v="48468"/>
    <n v="6688"/>
    <x v="0"/>
  </r>
  <r>
    <n v="453"/>
    <x v="96"/>
    <x v="2"/>
    <x v="1"/>
    <n v="29929"/>
    <n v="9883"/>
    <x v="3"/>
  </r>
  <r>
    <n v="454"/>
    <x v="201"/>
    <x v="3"/>
    <x v="0"/>
    <n v="19171"/>
    <n v="5461"/>
    <x v="0"/>
  </r>
  <r>
    <n v="455"/>
    <x v="38"/>
    <x v="4"/>
    <x v="0"/>
    <n v="15312"/>
    <n v="4938"/>
    <x v="1"/>
  </r>
  <r>
    <n v="456"/>
    <x v="28"/>
    <x v="3"/>
    <x v="0"/>
    <n v="1896"/>
    <n v="2530"/>
    <x v="3"/>
  </r>
  <r>
    <n v="457"/>
    <x v="265"/>
    <x v="0"/>
    <x v="1"/>
    <n v="33379"/>
    <n v="8439"/>
    <x v="1"/>
  </r>
  <r>
    <n v="458"/>
    <x v="76"/>
    <x v="1"/>
    <x v="1"/>
    <n v="47683"/>
    <n v="5734"/>
    <x v="1"/>
  </r>
  <r>
    <n v="459"/>
    <x v="175"/>
    <x v="4"/>
    <x v="0"/>
    <n v="20921"/>
    <n v="847"/>
    <x v="3"/>
  </r>
  <r>
    <n v="460"/>
    <x v="266"/>
    <x v="2"/>
    <x v="1"/>
    <n v="6476"/>
    <n v="9511"/>
    <x v="2"/>
  </r>
  <r>
    <n v="461"/>
    <x v="267"/>
    <x v="3"/>
    <x v="1"/>
    <n v="40939"/>
    <n v="3078"/>
    <x v="1"/>
  </r>
  <r>
    <n v="462"/>
    <x v="143"/>
    <x v="0"/>
    <x v="0"/>
    <n v="35411"/>
    <n v="-277"/>
    <x v="0"/>
  </r>
  <r>
    <n v="463"/>
    <x v="163"/>
    <x v="3"/>
    <x v="1"/>
    <n v="11600"/>
    <n v="376"/>
    <x v="2"/>
  </r>
  <r>
    <n v="464"/>
    <x v="38"/>
    <x v="1"/>
    <x v="1"/>
    <n v="33774"/>
    <n v="7678"/>
    <x v="0"/>
  </r>
  <r>
    <n v="465"/>
    <x v="234"/>
    <x v="4"/>
    <x v="1"/>
    <n v="9410"/>
    <n v="2400"/>
    <x v="1"/>
  </r>
  <r>
    <n v="466"/>
    <x v="191"/>
    <x v="2"/>
    <x v="1"/>
    <n v="4866"/>
    <n v="-1952"/>
    <x v="0"/>
  </r>
  <r>
    <n v="467"/>
    <x v="268"/>
    <x v="0"/>
    <x v="0"/>
    <n v="37409"/>
    <n v="4469"/>
    <x v="1"/>
  </r>
  <r>
    <n v="468"/>
    <x v="20"/>
    <x v="1"/>
    <x v="1"/>
    <n v="20029"/>
    <n v="8696"/>
    <x v="1"/>
  </r>
  <r>
    <n v="469"/>
    <x v="269"/>
    <x v="2"/>
    <x v="0"/>
    <n v="19742"/>
    <n v="1727"/>
    <x v="2"/>
  </r>
  <r>
    <n v="470"/>
    <x v="13"/>
    <x v="4"/>
    <x v="1"/>
    <n v="29389"/>
    <n v="3448"/>
    <x v="1"/>
  </r>
  <r>
    <n v="471"/>
    <x v="13"/>
    <x v="4"/>
    <x v="0"/>
    <n v="44912"/>
    <n v="6283"/>
    <x v="0"/>
  </r>
  <r>
    <n v="472"/>
    <x v="198"/>
    <x v="0"/>
    <x v="0"/>
    <n v="21077"/>
    <n v="7248"/>
    <x v="0"/>
  </r>
  <r>
    <n v="473"/>
    <x v="130"/>
    <x v="2"/>
    <x v="0"/>
    <n v="35713"/>
    <n v="125"/>
    <x v="3"/>
  </r>
  <r>
    <n v="474"/>
    <x v="126"/>
    <x v="4"/>
    <x v="0"/>
    <n v="2117"/>
    <n v="-524"/>
    <x v="0"/>
  </r>
  <r>
    <n v="475"/>
    <x v="6"/>
    <x v="0"/>
    <x v="0"/>
    <n v="35095"/>
    <n v="-138"/>
    <x v="0"/>
  </r>
  <r>
    <n v="476"/>
    <x v="270"/>
    <x v="2"/>
    <x v="0"/>
    <n v="31113"/>
    <n v="6991"/>
    <x v="3"/>
  </r>
  <r>
    <n v="477"/>
    <x v="46"/>
    <x v="2"/>
    <x v="0"/>
    <n v="33592"/>
    <n v="7675"/>
    <x v="1"/>
  </r>
  <r>
    <n v="478"/>
    <x v="271"/>
    <x v="3"/>
    <x v="0"/>
    <n v="30209"/>
    <n v="7794"/>
    <x v="2"/>
  </r>
  <r>
    <n v="479"/>
    <x v="189"/>
    <x v="0"/>
    <x v="1"/>
    <n v="25012"/>
    <n v="2196"/>
    <x v="2"/>
  </r>
  <r>
    <n v="480"/>
    <x v="131"/>
    <x v="3"/>
    <x v="0"/>
    <n v="43335"/>
    <n v="-562"/>
    <x v="2"/>
  </r>
  <r>
    <n v="481"/>
    <x v="272"/>
    <x v="1"/>
    <x v="1"/>
    <n v="26729"/>
    <n v="6735"/>
    <x v="3"/>
  </r>
  <r>
    <n v="482"/>
    <x v="87"/>
    <x v="3"/>
    <x v="0"/>
    <n v="42489"/>
    <n v="7913"/>
    <x v="2"/>
  </r>
  <r>
    <n v="483"/>
    <x v="163"/>
    <x v="4"/>
    <x v="1"/>
    <n v="10344"/>
    <n v="2723"/>
    <x v="3"/>
  </r>
  <r>
    <n v="484"/>
    <x v="69"/>
    <x v="1"/>
    <x v="0"/>
    <n v="25835"/>
    <n v="5900"/>
    <x v="2"/>
  </r>
  <r>
    <n v="485"/>
    <x v="194"/>
    <x v="0"/>
    <x v="1"/>
    <n v="2537"/>
    <n v="7508"/>
    <x v="3"/>
  </r>
  <r>
    <n v="486"/>
    <x v="273"/>
    <x v="1"/>
    <x v="0"/>
    <n v="5587"/>
    <n v="8852"/>
    <x v="1"/>
  </r>
  <r>
    <n v="487"/>
    <x v="274"/>
    <x v="4"/>
    <x v="1"/>
    <n v="10879"/>
    <n v="982"/>
    <x v="2"/>
  </r>
  <r>
    <n v="488"/>
    <x v="275"/>
    <x v="3"/>
    <x v="1"/>
    <n v="5439"/>
    <n v="2915"/>
    <x v="3"/>
  </r>
  <r>
    <n v="489"/>
    <x v="276"/>
    <x v="2"/>
    <x v="1"/>
    <n v="10891"/>
    <n v="7407"/>
    <x v="1"/>
  </r>
  <r>
    <n v="490"/>
    <x v="277"/>
    <x v="4"/>
    <x v="1"/>
    <n v="28459"/>
    <n v="8391"/>
    <x v="0"/>
  </r>
  <r>
    <n v="491"/>
    <x v="278"/>
    <x v="4"/>
    <x v="0"/>
    <n v="18124"/>
    <n v="9566"/>
    <x v="2"/>
  </r>
  <r>
    <n v="492"/>
    <x v="198"/>
    <x v="1"/>
    <x v="0"/>
    <n v="19270"/>
    <n v="5147"/>
    <x v="3"/>
  </r>
  <r>
    <n v="493"/>
    <x v="256"/>
    <x v="0"/>
    <x v="1"/>
    <n v="39913"/>
    <n v="8688"/>
    <x v="2"/>
  </r>
  <r>
    <n v="494"/>
    <x v="113"/>
    <x v="0"/>
    <x v="0"/>
    <n v="40420"/>
    <n v="1015"/>
    <x v="0"/>
  </r>
  <r>
    <n v="495"/>
    <x v="17"/>
    <x v="0"/>
    <x v="0"/>
    <n v="15734"/>
    <n v="-342"/>
    <x v="3"/>
  </r>
  <r>
    <n v="496"/>
    <x v="279"/>
    <x v="3"/>
    <x v="1"/>
    <n v="20471"/>
    <n v="-729"/>
    <x v="1"/>
  </r>
  <r>
    <n v="497"/>
    <x v="149"/>
    <x v="2"/>
    <x v="0"/>
    <n v="24061"/>
    <n v="3617"/>
    <x v="1"/>
  </r>
  <r>
    <n v="498"/>
    <x v="280"/>
    <x v="3"/>
    <x v="0"/>
    <n v="13668"/>
    <n v="3295"/>
    <x v="1"/>
  </r>
  <r>
    <n v="499"/>
    <x v="281"/>
    <x v="0"/>
    <x v="0"/>
    <n v="7546"/>
    <n v="3418"/>
    <x v="2"/>
  </r>
  <r>
    <n v="500"/>
    <x v="6"/>
    <x v="0"/>
    <x v="1"/>
    <n v="8674"/>
    <n v="-1323"/>
    <x v="3"/>
  </r>
  <r>
    <n v="501"/>
    <x v="19"/>
    <x v="2"/>
    <x v="1"/>
    <n v="9768"/>
    <n v="3146"/>
    <x v="0"/>
  </r>
  <r>
    <n v="502"/>
    <x v="214"/>
    <x v="4"/>
    <x v="1"/>
    <n v="36705"/>
    <n v="6998"/>
    <x v="2"/>
  </r>
  <r>
    <n v="503"/>
    <x v="228"/>
    <x v="1"/>
    <x v="0"/>
    <n v="13347"/>
    <n v="8670"/>
    <x v="0"/>
  </r>
  <r>
    <n v="504"/>
    <x v="28"/>
    <x v="0"/>
    <x v="0"/>
    <n v="1355"/>
    <n v="9469"/>
    <x v="1"/>
  </r>
  <r>
    <n v="505"/>
    <x v="190"/>
    <x v="2"/>
    <x v="1"/>
    <n v="47104"/>
    <n v="7548"/>
    <x v="0"/>
  </r>
  <r>
    <n v="506"/>
    <x v="120"/>
    <x v="2"/>
    <x v="1"/>
    <n v="43917"/>
    <n v="9914"/>
    <x v="2"/>
  </r>
  <r>
    <n v="507"/>
    <x v="12"/>
    <x v="3"/>
    <x v="0"/>
    <n v="31044"/>
    <n v="7192"/>
    <x v="1"/>
  </r>
  <r>
    <n v="508"/>
    <x v="133"/>
    <x v="3"/>
    <x v="1"/>
    <n v="1782"/>
    <n v="4995"/>
    <x v="0"/>
  </r>
  <r>
    <n v="509"/>
    <x v="192"/>
    <x v="4"/>
    <x v="1"/>
    <n v="17218"/>
    <n v="3827"/>
    <x v="0"/>
  </r>
  <r>
    <n v="510"/>
    <x v="275"/>
    <x v="1"/>
    <x v="0"/>
    <n v="5366"/>
    <n v="3551"/>
    <x v="3"/>
  </r>
  <r>
    <n v="511"/>
    <x v="108"/>
    <x v="0"/>
    <x v="1"/>
    <n v="27035"/>
    <n v="176"/>
    <x v="0"/>
  </r>
  <r>
    <n v="512"/>
    <x v="69"/>
    <x v="2"/>
    <x v="0"/>
    <n v="10373"/>
    <n v="9164"/>
    <x v="2"/>
  </r>
  <r>
    <n v="513"/>
    <x v="261"/>
    <x v="3"/>
    <x v="0"/>
    <n v="26178"/>
    <n v="-401"/>
    <x v="2"/>
  </r>
  <r>
    <n v="514"/>
    <x v="129"/>
    <x v="3"/>
    <x v="1"/>
    <n v="20757"/>
    <n v="4935"/>
    <x v="1"/>
  </r>
  <r>
    <n v="515"/>
    <x v="282"/>
    <x v="2"/>
    <x v="1"/>
    <n v="11264"/>
    <n v="2304"/>
    <x v="1"/>
  </r>
  <r>
    <n v="516"/>
    <x v="189"/>
    <x v="0"/>
    <x v="1"/>
    <n v="14657"/>
    <n v="555"/>
    <x v="2"/>
  </r>
  <r>
    <n v="517"/>
    <x v="26"/>
    <x v="2"/>
    <x v="1"/>
    <n v="18073"/>
    <n v="8431"/>
    <x v="0"/>
  </r>
  <r>
    <n v="518"/>
    <x v="283"/>
    <x v="0"/>
    <x v="1"/>
    <n v="48196"/>
    <n v="4381"/>
    <x v="2"/>
  </r>
  <r>
    <n v="519"/>
    <x v="284"/>
    <x v="4"/>
    <x v="1"/>
    <n v="36760"/>
    <n v="4217"/>
    <x v="0"/>
  </r>
  <r>
    <n v="520"/>
    <x v="13"/>
    <x v="3"/>
    <x v="0"/>
    <n v="47974"/>
    <n v="-1420"/>
    <x v="0"/>
  </r>
  <r>
    <n v="521"/>
    <x v="70"/>
    <x v="1"/>
    <x v="1"/>
    <n v="33163"/>
    <n v="9453"/>
    <x v="0"/>
  </r>
  <r>
    <n v="522"/>
    <x v="285"/>
    <x v="1"/>
    <x v="1"/>
    <n v="46155"/>
    <n v="2066"/>
    <x v="1"/>
  </r>
  <r>
    <n v="523"/>
    <x v="286"/>
    <x v="1"/>
    <x v="0"/>
    <n v="32254"/>
    <n v="3141"/>
    <x v="0"/>
  </r>
  <r>
    <n v="524"/>
    <x v="244"/>
    <x v="0"/>
    <x v="1"/>
    <n v="2371"/>
    <n v="-4"/>
    <x v="3"/>
  </r>
  <r>
    <n v="525"/>
    <x v="287"/>
    <x v="1"/>
    <x v="0"/>
    <n v="41490"/>
    <n v="8048"/>
    <x v="1"/>
  </r>
  <r>
    <n v="526"/>
    <x v="196"/>
    <x v="4"/>
    <x v="0"/>
    <n v="33810"/>
    <n v="3763"/>
    <x v="2"/>
  </r>
  <r>
    <n v="527"/>
    <x v="247"/>
    <x v="1"/>
    <x v="0"/>
    <n v="14169"/>
    <n v="6253"/>
    <x v="2"/>
  </r>
  <r>
    <n v="528"/>
    <x v="4"/>
    <x v="2"/>
    <x v="1"/>
    <n v="11536"/>
    <n v="2696"/>
    <x v="0"/>
  </r>
  <r>
    <n v="529"/>
    <x v="73"/>
    <x v="3"/>
    <x v="1"/>
    <n v="43504"/>
    <n v="4016"/>
    <x v="2"/>
  </r>
  <r>
    <n v="530"/>
    <x v="239"/>
    <x v="0"/>
    <x v="0"/>
    <n v="2448"/>
    <n v="8277"/>
    <x v="3"/>
  </r>
  <r>
    <n v="531"/>
    <x v="60"/>
    <x v="2"/>
    <x v="1"/>
    <n v="27451"/>
    <n v="6750"/>
    <x v="1"/>
  </r>
  <r>
    <n v="532"/>
    <x v="158"/>
    <x v="3"/>
    <x v="0"/>
    <n v="3791"/>
    <n v="7695"/>
    <x v="0"/>
  </r>
  <r>
    <n v="533"/>
    <x v="157"/>
    <x v="3"/>
    <x v="0"/>
    <n v="14209"/>
    <n v="5787"/>
    <x v="1"/>
  </r>
  <r>
    <n v="534"/>
    <x v="288"/>
    <x v="0"/>
    <x v="1"/>
    <n v="18929"/>
    <n v="61"/>
    <x v="2"/>
  </r>
  <r>
    <n v="535"/>
    <x v="289"/>
    <x v="0"/>
    <x v="0"/>
    <n v="20590"/>
    <n v="2631"/>
    <x v="0"/>
  </r>
  <r>
    <n v="536"/>
    <x v="106"/>
    <x v="0"/>
    <x v="1"/>
    <n v="6503"/>
    <n v="4828"/>
    <x v="1"/>
  </r>
  <r>
    <n v="537"/>
    <x v="113"/>
    <x v="4"/>
    <x v="0"/>
    <n v="46662"/>
    <n v="3854"/>
    <x v="2"/>
  </r>
  <r>
    <n v="538"/>
    <x v="187"/>
    <x v="1"/>
    <x v="1"/>
    <n v="11730"/>
    <n v="8383"/>
    <x v="3"/>
  </r>
  <r>
    <n v="539"/>
    <x v="60"/>
    <x v="2"/>
    <x v="0"/>
    <n v="6920"/>
    <n v="5837"/>
    <x v="2"/>
  </r>
  <r>
    <n v="540"/>
    <x v="92"/>
    <x v="0"/>
    <x v="1"/>
    <n v="2403"/>
    <n v="-1367"/>
    <x v="1"/>
  </r>
  <r>
    <n v="541"/>
    <x v="288"/>
    <x v="1"/>
    <x v="1"/>
    <n v="9342"/>
    <n v="428"/>
    <x v="1"/>
  </r>
  <r>
    <n v="542"/>
    <x v="178"/>
    <x v="4"/>
    <x v="0"/>
    <n v="14701"/>
    <n v="3735"/>
    <x v="3"/>
  </r>
  <r>
    <n v="543"/>
    <x v="290"/>
    <x v="2"/>
    <x v="0"/>
    <n v="21910"/>
    <n v="1808"/>
    <x v="3"/>
  </r>
  <r>
    <n v="544"/>
    <x v="230"/>
    <x v="4"/>
    <x v="0"/>
    <n v="42988"/>
    <n v="2853"/>
    <x v="0"/>
  </r>
  <r>
    <n v="545"/>
    <x v="21"/>
    <x v="4"/>
    <x v="1"/>
    <n v="2642"/>
    <n v="7357"/>
    <x v="2"/>
  </r>
  <r>
    <n v="546"/>
    <x v="291"/>
    <x v="3"/>
    <x v="1"/>
    <n v="8660"/>
    <n v="9333"/>
    <x v="0"/>
  </r>
  <r>
    <n v="547"/>
    <x v="161"/>
    <x v="3"/>
    <x v="0"/>
    <n v="780"/>
    <n v="6308"/>
    <x v="0"/>
  </r>
  <r>
    <n v="548"/>
    <x v="292"/>
    <x v="3"/>
    <x v="0"/>
    <n v="43842"/>
    <n v="686"/>
    <x v="2"/>
  </r>
  <r>
    <n v="549"/>
    <x v="159"/>
    <x v="1"/>
    <x v="0"/>
    <n v="4440"/>
    <n v="-1551"/>
    <x v="2"/>
  </r>
  <r>
    <n v="550"/>
    <x v="293"/>
    <x v="3"/>
    <x v="1"/>
    <n v="2098"/>
    <n v="5569"/>
    <x v="1"/>
  </r>
  <r>
    <n v="551"/>
    <x v="32"/>
    <x v="4"/>
    <x v="0"/>
    <n v="45551"/>
    <n v="5088"/>
    <x v="3"/>
  </r>
  <r>
    <n v="552"/>
    <x v="232"/>
    <x v="0"/>
    <x v="1"/>
    <n v="19203"/>
    <n v="8276"/>
    <x v="0"/>
  </r>
  <r>
    <n v="553"/>
    <x v="294"/>
    <x v="0"/>
    <x v="0"/>
    <n v="786"/>
    <n v="5525"/>
    <x v="0"/>
  </r>
  <r>
    <n v="554"/>
    <x v="126"/>
    <x v="2"/>
    <x v="1"/>
    <n v="31300"/>
    <n v="-1728"/>
    <x v="0"/>
  </r>
  <r>
    <n v="555"/>
    <x v="259"/>
    <x v="3"/>
    <x v="1"/>
    <n v="27673"/>
    <n v="3529"/>
    <x v="1"/>
  </r>
  <r>
    <n v="556"/>
    <x v="98"/>
    <x v="3"/>
    <x v="0"/>
    <n v="1456"/>
    <n v="2653"/>
    <x v="3"/>
  </r>
  <r>
    <n v="557"/>
    <x v="283"/>
    <x v="2"/>
    <x v="0"/>
    <n v="2299"/>
    <n v="8435"/>
    <x v="3"/>
  </r>
  <r>
    <n v="558"/>
    <x v="277"/>
    <x v="2"/>
    <x v="0"/>
    <n v="7369"/>
    <n v="5174"/>
    <x v="2"/>
  </r>
  <r>
    <n v="559"/>
    <x v="110"/>
    <x v="2"/>
    <x v="1"/>
    <n v="10683"/>
    <n v="-1711"/>
    <x v="0"/>
  </r>
  <r>
    <n v="560"/>
    <x v="134"/>
    <x v="1"/>
    <x v="1"/>
    <n v="44343"/>
    <n v="993"/>
    <x v="3"/>
  </r>
  <r>
    <n v="561"/>
    <x v="295"/>
    <x v="2"/>
    <x v="0"/>
    <n v="39137"/>
    <n v="-15"/>
    <x v="3"/>
  </r>
  <r>
    <n v="562"/>
    <x v="198"/>
    <x v="4"/>
    <x v="0"/>
    <n v="31558"/>
    <n v="2598"/>
    <x v="1"/>
  </r>
  <r>
    <n v="563"/>
    <x v="245"/>
    <x v="2"/>
    <x v="0"/>
    <n v="36268"/>
    <n v="2566"/>
    <x v="1"/>
  </r>
  <r>
    <n v="564"/>
    <x v="182"/>
    <x v="3"/>
    <x v="0"/>
    <n v="21490"/>
    <n v="1955"/>
    <x v="1"/>
  </r>
  <r>
    <n v="565"/>
    <x v="111"/>
    <x v="0"/>
    <x v="0"/>
    <n v="24811"/>
    <n v="1913"/>
    <x v="3"/>
  </r>
  <r>
    <n v="566"/>
    <x v="221"/>
    <x v="1"/>
    <x v="0"/>
    <n v="17086"/>
    <n v="1759"/>
    <x v="3"/>
  </r>
  <r>
    <n v="567"/>
    <x v="260"/>
    <x v="0"/>
    <x v="1"/>
    <n v="13712"/>
    <n v="7765"/>
    <x v="1"/>
  </r>
  <r>
    <n v="568"/>
    <x v="112"/>
    <x v="3"/>
    <x v="0"/>
    <n v="48612"/>
    <n v="2953"/>
    <x v="0"/>
  </r>
  <r>
    <n v="569"/>
    <x v="23"/>
    <x v="3"/>
    <x v="0"/>
    <n v="1589"/>
    <n v="-1362"/>
    <x v="2"/>
  </r>
  <r>
    <n v="570"/>
    <x v="275"/>
    <x v="0"/>
    <x v="1"/>
    <n v="27849"/>
    <n v="4728"/>
    <x v="3"/>
  </r>
  <r>
    <n v="571"/>
    <x v="2"/>
    <x v="1"/>
    <x v="1"/>
    <n v="3483"/>
    <n v="8030"/>
    <x v="1"/>
  </r>
  <r>
    <n v="572"/>
    <x v="202"/>
    <x v="4"/>
    <x v="1"/>
    <n v="3521"/>
    <n v="-1159"/>
    <x v="1"/>
  </r>
  <r>
    <n v="573"/>
    <x v="296"/>
    <x v="3"/>
    <x v="0"/>
    <n v="48733"/>
    <n v="7724"/>
    <x v="3"/>
  </r>
  <r>
    <n v="574"/>
    <x v="261"/>
    <x v="0"/>
    <x v="0"/>
    <n v="41305"/>
    <n v="-1817"/>
    <x v="3"/>
  </r>
  <r>
    <n v="575"/>
    <x v="33"/>
    <x v="0"/>
    <x v="0"/>
    <n v="38052"/>
    <n v="-1283"/>
    <x v="0"/>
  </r>
  <r>
    <n v="576"/>
    <x v="167"/>
    <x v="0"/>
    <x v="1"/>
    <n v="19998"/>
    <n v="-502"/>
    <x v="0"/>
  </r>
  <r>
    <n v="577"/>
    <x v="297"/>
    <x v="3"/>
    <x v="0"/>
    <n v="35658"/>
    <n v="7575"/>
    <x v="0"/>
  </r>
  <r>
    <n v="578"/>
    <x v="298"/>
    <x v="0"/>
    <x v="1"/>
    <n v="17032"/>
    <n v="6281"/>
    <x v="0"/>
  </r>
  <r>
    <n v="579"/>
    <x v="299"/>
    <x v="2"/>
    <x v="1"/>
    <n v="41570"/>
    <n v="9742"/>
    <x v="1"/>
  </r>
  <r>
    <n v="580"/>
    <x v="300"/>
    <x v="4"/>
    <x v="0"/>
    <n v="15582"/>
    <n v="3104"/>
    <x v="3"/>
  </r>
  <r>
    <n v="581"/>
    <x v="276"/>
    <x v="3"/>
    <x v="1"/>
    <n v="16797"/>
    <n v="-1518"/>
    <x v="0"/>
  </r>
  <r>
    <n v="582"/>
    <x v="36"/>
    <x v="1"/>
    <x v="0"/>
    <n v="38397"/>
    <n v="-863"/>
    <x v="3"/>
  </r>
  <r>
    <n v="583"/>
    <x v="248"/>
    <x v="1"/>
    <x v="0"/>
    <n v="27774"/>
    <n v="4226"/>
    <x v="2"/>
  </r>
  <r>
    <n v="584"/>
    <x v="6"/>
    <x v="4"/>
    <x v="1"/>
    <n v="42636"/>
    <n v="1815"/>
    <x v="3"/>
  </r>
  <r>
    <n v="585"/>
    <x v="289"/>
    <x v="1"/>
    <x v="0"/>
    <n v="31491"/>
    <n v="7931"/>
    <x v="0"/>
  </r>
  <r>
    <n v="586"/>
    <x v="8"/>
    <x v="0"/>
    <x v="1"/>
    <n v="36711"/>
    <n v="2877"/>
    <x v="3"/>
  </r>
  <r>
    <n v="587"/>
    <x v="64"/>
    <x v="3"/>
    <x v="1"/>
    <n v="30327"/>
    <n v="1706"/>
    <x v="2"/>
  </r>
  <r>
    <n v="588"/>
    <x v="49"/>
    <x v="4"/>
    <x v="0"/>
    <n v="31658"/>
    <n v="5084"/>
    <x v="3"/>
  </r>
  <r>
    <n v="589"/>
    <x v="31"/>
    <x v="3"/>
    <x v="1"/>
    <n v="44009"/>
    <n v="1517"/>
    <x v="1"/>
  </r>
  <r>
    <n v="590"/>
    <x v="140"/>
    <x v="1"/>
    <x v="1"/>
    <n v="4989"/>
    <n v="6299"/>
    <x v="1"/>
  </r>
  <r>
    <n v="591"/>
    <x v="301"/>
    <x v="1"/>
    <x v="1"/>
    <n v="9834"/>
    <n v="2071"/>
    <x v="0"/>
  </r>
  <r>
    <n v="592"/>
    <x v="236"/>
    <x v="3"/>
    <x v="0"/>
    <n v="30764"/>
    <n v="-1691"/>
    <x v="3"/>
  </r>
  <r>
    <n v="593"/>
    <x v="63"/>
    <x v="4"/>
    <x v="1"/>
    <n v="46952"/>
    <n v="9557"/>
    <x v="3"/>
  </r>
  <r>
    <n v="594"/>
    <x v="131"/>
    <x v="1"/>
    <x v="0"/>
    <n v="12112"/>
    <n v="1379"/>
    <x v="1"/>
  </r>
  <r>
    <n v="595"/>
    <x v="155"/>
    <x v="3"/>
    <x v="1"/>
    <n v="19050"/>
    <n v="5154"/>
    <x v="1"/>
  </r>
  <r>
    <n v="596"/>
    <x v="152"/>
    <x v="3"/>
    <x v="0"/>
    <n v="41075"/>
    <n v="4088"/>
    <x v="1"/>
  </r>
  <r>
    <n v="597"/>
    <x v="4"/>
    <x v="3"/>
    <x v="1"/>
    <n v="17402"/>
    <n v="-1061"/>
    <x v="0"/>
  </r>
  <r>
    <n v="598"/>
    <x v="30"/>
    <x v="4"/>
    <x v="0"/>
    <n v="11134"/>
    <n v="-1015"/>
    <x v="3"/>
  </r>
  <r>
    <n v="599"/>
    <x v="240"/>
    <x v="2"/>
    <x v="0"/>
    <n v="48288"/>
    <n v="7277"/>
    <x v="3"/>
  </r>
  <r>
    <n v="600"/>
    <x v="1"/>
    <x v="2"/>
    <x v="0"/>
    <n v="28997"/>
    <n v="5023"/>
    <x v="2"/>
  </r>
  <r>
    <n v="601"/>
    <x v="239"/>
    <x v="3"/>
    <x v="0"/>
    <n v="572"/>
    <n v="6168"/>
    <x v="3"/>
  </r>
  <r>
    <n v="602"/>
    <x v="138"/>
    <x v="4"/>
    <x v="1"/>
    <n v="26498"/>
    <n v="9071"/>
    <x v="0"/>
  </r>
  <r>
    <n v="603"/>
    <x v="302"/>
    <x v="3"/>
    <x v="0"/>
    <n v="44335"/>
    <n v="4948"/>
    <x v="3"/>
  </r>
  <r>
    <n v="604"/>
    <x v="102"/>
    <x v="0"/>
    <x v="1"/>
    <n v="38552"/>
    <n v="516"/>
    <x v="0"/>
  </r>
  <r>
    <n v="605"/>
    <x v="2"/>
    <x v="2"/>
    <x v="1"/>
    <n v="23614"/>
    <n v="-1209"/>
    <x v="2"/>
  </r>
  <r>
    <n v="606"/>
    <x v="281"/>
    <x v="4"/>
    <x v="0"/>
    <n v="40734"/>
    <n v="5165"/>
    <x v="2"/>
  </r>
  <r>
    <n v="607"/>
    <x v="303"/>
    <x v="1"/>
    <x v="1"/>
    <n v="10417"/>
    <n v="9736"/>
    <x v="0"/>
  </r>
  <r>
    <n v="608"/>
    <x v="103"/>
    <x v="0"/>
    <x v="1"/>
    <n v="34732"/>
    <n v="8550"/>
    <x v="3"/>
  </r>
  <r>
    <n v="609"/>
    <x v="274"/>
    <x v="3"/>
    <x v="0"/>
    <n v="28989"/>
    <n v="26"/>
    <x v="1"/>
  </r>
  <r>
    <n v="610"/>
    <x v="304"/>
    <x v="3"/>
    <x v="1"/>
    <n v="19107"/>
    <n v="7209"/>
    <x v="2"/>
  </r>
  <r>
    <n v="611"/>
    <x v="303"/>
    <x v="0"/>
    <x v="1"/>
    <n v="41774"/>
    <n v="7397"/>
    <x v="1"/>
  </r>
  <r>
    <n v="612"/>
    <x v="276"/>
    <x v="3"/>
    <x v="0"/>
    <n v="17706"/>
    <n v="4763"/>
    <x v="0"/>
  </r>
  <r>
    <n v="613"/>
    <x v="209"/>
    <x v="4"/>
    <x v="0"/>
    <n v="44014"/>
    <n v="9581"/>
    <x v="2"/>
  </r>
  <r>
    <n v="614"/>
    <x v="160"/>
    <x v="1"/>
    <x v="0"/>
    <n v="38620"/>
    <n v="812"/>
    <x v="0"/>
  </r>
  <r>
    <n v="615"/>
    <x v="17"/>
    <x v="1"/>
    <x v="0"/>
    <n v="10385"/>
    <n v="5301"/>
    <x v="3"/>
  </r>
  <r>
    <n v="616"/>
    <x v="95"/>
    <x v="2"/>
    <x v="0"/>
    <n v="25368"/>
    <n v="4232"/>
    <x v="1"/>
  </r>
  <r>
    <n v="617"/>
    <x v="39"/>
    <x v="1"/>
    <x v="1"/>
    <n v="3029"/>
    <n v="8915"/>
    <x v="1"/>
  </r>
  <r>
    <n v="618"/>
    <x v="150"/>
    <x v="4"/>
    <x v="1"/>
    <n v="11860"/>
    <n v="1977"/>
    <x v="3"/>
  </r>
  <r>
    <n v="619"/>
    <x v="197"/>
    <x v="2"/>
    <x v="0"/>
    <n v="25479"/>
    <n v="8052"/>
    <x v="1"/>
  </r>
  <r>
    <n v="620"/>
    <x v="44"/>
    <x v="3"/>
    <x v="1"/>
    <n v="11799"/>
    <n v="9278"/>
    <x v="2"/>
  </r>
  <r>
    <n v="621"/>
    <x v="33"/>
    <x v="2"/>
    <x v="0"/>
    <n v="13351"/>
    <n v="8274"/>
    <x v="2"/>
  </r>
  <r>
    <n v="622"/>
    <x v="127"/>
    <x v="1"/>
    <x v="1"/>
    <n v="1342"/>
    <n v="5457"/>
    <x v="3"/>
  </r>
  <r>
    <n v="623"/>
    <x v="148"/>
    <x v="3"/>
    <x v="0"/>
    <n v="23620"/>
    <n v="5669"/>
    <x v="0"/>
  </r>
  <r>
    <n v="624"/>
    <x v="88"/>
    <x v="1"/>
    <x v="1"/>
    <n v="9836"/>
    <n v="9217"/>
    <x v="1"/>
  </r>
  <r>
    <n v="625"/>
    <x v="225"/>
    <x v="1"/>
    <x v="1"/>
    <n v="23652"/>
    <n v="6651"/>
    <x v="3"/>
  </r>
  <r>
    <n v="626"/>
    <x v="266"/>
    <x v="4"/>
    <x v="1"/>
    <n v="49466"/>
    <n v="4877"/>
    <x v="1"/>
  </r>
  <r>
    <n v="627"/>
    <x v="101"/>
    <x v="1"/>
    <x v="1"/>
    <n v="15793"/>
    <n v="474"/>
    <x v="1"/>
  </r>
  <r>
    <n v="628"/>
    <x v="305"/>
    <x v="4"/>
    <x v="0"/>
    <n v="14139"/>
    <n v="6850"/>
    <x v="1"/>
  </r>
  <r>
    <n v="629"/>
    <x v="286"/>
    <x v="3"/>
    <x v="0"/>
    <n v="9307"/>
    <n v="3383"/>
    <x v="3"/>
  </r>
  <r>
    <n v="630"/>
    <x v="221"/>
    <x v="3"/>
    <x v="0"/>
    <n v="2549"/>
    <n v="-120"/>
    <x v="2"/>
  </r>
  <r>
    <n v="631"/>
    <x v="161"/>
    <x v="1"/>
    <x v="0"/>
    <n v="17576"/>
    <n v="5362"/>
    <x v="2"/>
  </r>
  <r>
    <n v="632"/>
    <x v="198"/>
    <x v="3"/>
    <x v="0"/>
    <n v="22977"/>
    <n v="-1987"/>
    <x v="3"/>
  </r>
  <r>
    <n v="633"/>
    <x v="250"/>
    <x v="3"/>
    <x v="1"/>
    <n v="11071"/>
    <n v="-990"/>
    <x v="3"/>
  </r>
  <r>
    <n v="634"/>
    <x v="0"/>
    <x v="4"/>
    <x v="1"/>
    <n v="16965"/>
    <n v="5579"/>
    <x v="3"/>
  </r>
  <r>
    <n v="635"/>
    <x v="306"/>
    <x v="0"/>
    <x v="1"/>
    <n v="4146"/>
    <n v="-1389"/>
    <x v="1"/>
  </r>
  <r>
    <n v="636"/>
    <x v="258"/>
    <x v="4"/>
    <x v="1"/>
    <n v="49560"/>
    <n v="2523"/>
    <x v="1"/>
  </r>
  <r>
    <n v="637"/>
    <x v="307"/>
    <x v="2"/>
    <x v="0"/>
    <n v="20515"/>
    <n v="-1140"/>
    <x v="2"/>
  </r>
  <r>
    <n v="638"/>
    <x v="308"/>
    <x v="0"/>
    <x v="1"/>
    <n v="45326"/>
    <n v="-1960"/>
    <x v="1"/>
  </r>
  <r>
    <n v="639"/>
    <x v="114"/>
    <x v="2"/>
    <x v="1"/>
    <n v="44161"/>
    <n v="3768"/>
    <x v="2"/>
  </r>
  <r>
    <n v="640"/>
    <x v="225"/>
    <x v="3"/>
    <x v="0"/>
    <n v="12252"/>
    <n v="-223"/>
    <x v="0"/>
  </r>
  <r>
    <n v="641"/>
    <x v="309"/>
    <x v="3"/>
    <x v="1"/>
    <n v="12627"/>
    <n v="-863"/>
    <x v="1"/>
  </r>
  <r>
    <n v="642"/>
    <x v="305"/>
    <x v="1"/>
    <x v="1"/>
    <n v="14284"/>
    <n v="5362"/>
    <x v="2"/>
  </r>
  <r>
    <n v="643"/>
    <x v="157"/>
    <x v="2"/>
    <x v="0"/>
    <n v="39405"/>
    <n v="2851"/>
    <x v="2"/>
  </r>
  <r>
    <n v="644"/>
    <x v="234"/>
    <x v="3"/>
    <x v="0"/>
    <n v="39113"/>
    <n v="8362"/>
    <x v="0"/>
  </r>
  <r>
    <n v="645"/>
    <x v="286"/>
    <x v="3"/>
    <x v="0"/>
    <n v="40190"/>
    <n v="8304"/>
    <x v="0"/>
  </r>
  <r>
    <n v="646"/>
    <x v="211"/>
    <x v="2"/>
    <x v="1"/>
    <n v="5330"/>
    <n v="-1975"/>
    <x v="1"/>
  </r>
  <r>
    <n v="647"/>
    <x v="26"/>
    <x v="1"/>
    <x v="0"/>
    <n v="19616"/>
    <n v="4680"/>
    <x v="3"/>
  </r>
  <r>
    <n v="648"/>
    <x v="97"/>
    <x v="3"/>
    <x v="0"/>
    <n v="34493"/>
    <n v="2356"/>
    <x v="1"/>
  </r>
  <r>
    <n v="649"/>
    <x v="242"/>
    <x v="3"/>
    <x v="0"/>
    <n v="42734"/>
    <n v="2316"/>
    <x v="0"/>
  </r>
  <r>
    <n v="650"/>
    <x v="216"/>
    <x v="1"/>
    <x v="0"/>
    <n v="4969"/>
    <n v="-73"/>
    <x v="3"/>
  </r>
  <r>
    <n v="651"/>
    <x v="310"/>
    <x v="4"/>
    <x v="1"/>
    <n v="37451"/>
    <n v="6136"/>
    <x v="2"/>
  </r>
  <r>
    <n v="652"/>
    <x v="95"/>
    <x v="0"/>
    <x v="1"/>
    <n v="17545"/>
    <n v="9363"/>
    <x v="1"/>
  </r>
  <r>
    <n v="653"/>
    <x v="261"/>
    <x v="1"/>
    <x v="0"/>
    <n v="15929"/>
    <n v="1480"/>
    <x v="1"/>
  </r>
  <r>
    <n v="654"/>
    <x v="311"/>
    <x v="1"/>
    <x v="0"/>
    <n v="18746"/>
    <n v="6930"/>
    <x v="1"/>
  </r>
  <r>
    <n v="655"/>
    <x v="67"/>
    <x v="4"/>
    <x v="1"/>
    <n v="18544"/>
    <n v="8468"/>
    <x v="0"/>
  </r>
  <r>
    <n v="656"/>
    <x v="290"/>
    <x v="1"/>
    <x v="1"/>
    <n v="512"/>
    <n v="5601"/>
    <x v="1"/>
  </r>
  <r>
    <n v="657"/>
    <x v="289"/>
    <x v="1"/>
    <x v="1"/>
    <n v="18161"/>
    <n v="5502"/>
    <x v="3"/>
  </r>
  <r>
    <n v="658"/>
    <x v="312"/>
    <x v="0"/>
    <x v="1"/>
    <n v="38083"/>
    <n v="881"/>
    <x v="3"/>
  </r>
  <r>
    <n v="659"/>
    <x v="313"/>
    <x v="4"/>
    <x v="1"/>
    <n v="44916"/>
    <n v="6229"/>
    <x v="0"/>
  </r>
  <r>
    <n v="660"/>
    <x v="226"/>
    <x v="0"/>
    <x v="1"/>
    <n v="48854"/>
    <n v="143"/>
    <x v="0"/>
  </r>
  <r>
    <n v="661"/>
    <x v="77"/>
    <x v="2"/>
    <x v="0"/>
    <n v="24019"/>
    <n v="-1880"/>
    <x v="2"/>
  </r>
  <r>
    <n v="662"/>
    <x v="221"/>
    <x v="3"/>
    <x v="1"/>
    <n v="10032"/>
    <n v="9830"/>
    <x v="3"/>
  </r>
  <r>
    <n v="663"/>
    <x v="199"/>
    <x v="2"/>
    <x v="1"/>
    <n v="37864"/>
    <n v="5946"/>
    <x v="0"/>
  </r>
  <r>
    <n v="664"/>
    <x v="128"/>
    <x v="4"/>
    <x v="1"/>
    <n v="9519"/>
    <n v="6411"/>
    <x v="3"/>
  </r>
  <r>
    <n v="665"/>
    <x v="314"/>
    <x v="4"/>
    <x v="1"/>
    <n v="36763"/>
    <n v="6778"/>
    <x v="3"/>
  </r>
  <r>
    <n v="666"/>
    <x v="291"/>
    <x v="0"/>
    <x v="0"/>
    <n v="3686"/>
    <n v="9442"/>
    <x v="1"/>
  </r>
  <r>
    <n v="667"/>
    <x v="230"/>
    <x v="0"/>
    <x v="0"/>
    <n v="28921"/>
    <n v="-1241"/>
    <x v="2"/>
  </r>
  <r>
    <n v="668"/>
    <x v="51"/>
    <x v="1"/>
    <x v="0"/>
    <n v="32948"/>
    <n v="-880"/>
    <x v="2"/>
  </r>
  <r>
    <n v="669"/>
    <x v="225"/>
    <x v="0"/>
    <x v="0"/>
    <n v="23191"/>
    <n v="8843"/>
    <x v="1"/>
  </r>
  <r>
    <n v="670"/>
    <x v="257"/>
    <x v="0"/>
    <x v="0"/>
    <n v="14742"/>
    <n v="1751"/>
    <x v="0"/>
  </r>
  <r>
    <n v="671"/>
    <x v="171"/>
    <x v="3"/>
    <x v="0"/>
    <n v="13845"/>
    <n v="1569"/>
    <x v="3"/>
  </r>
  <r>
    <n v="672"/>
    <x v="11"/>
    <x v="0"/>
    <x v="1"/>
    <n v="46430"/>
    <n v="4572"/>
    <x v="3"/>
  </r>
  <r>
    <n v="673"/>
    <x v="130"/>
    <x v="0"/>
    <x v="0"/>
    <n v="1288"/>
    <n v="-1562"/>
    <x v="2"/>
  </r>
  <r>
    <n v="674"/>
    <x v="232"/>
    <x v="4"/>
    <x v="0"/>
    <n v="20394"/>
    <n v="391"/>
    <x v="1"/>
  </r>
  <r>
    <n v="675"/>
    <x v="116"/>
    <x v="1"/>
    <x v="1"/>
    <n v="37482"/>
    <n v="3561"/>
    <x v="2"/>
  </r>
  <r>
    <n v="676"/>
    <x v="218"/>
    <x v="2"/>
    <x v="1"/>
    <n v="14588"/>
    <n v="3729"/>
    <x v="1"/>
  </r>
  <r>
    <n v="677"/>
    <x v="222"/>
    <x v="1"/>
    <x v="1"/>
    <n v="42553"/>
    <n v="9861"/>
    <x v="3"/>
  </r>
  <r>
    <n v="678"/>
    <x v="22"/>
    <x v="2"/>
    <x v="1"/>
    <n v="48921"/>
    <n v="6082"/>
    <x v="0"/>
  </r>
  <r>
    <n v="679"/>
    <x v="226"/>
    <x v="0"/>
    <x v="1"/>
    <n v="35982"/>
    <n v="547"/>
    <x v="3"/>
  </r>
  <r>
    <n v="680"/>
    <x v="315"/>
    <x v="0"/>
    <x v="0"/>
    <n v="26477"/>
    <n v="-780"/>
    <x v="3"/>
  </r>
  <r>
    <n v="681"/>
    <x v="316"/>
    <x v="4"/>
    <x v="0"/>
    <n v="1536"/>
    <n v="2432"/>
    <x v="3"/>
  </r>
  <r>
    <n v="682"/>
    <x v="312"/>
    <x v="4"/>
    <x v="1"/>
    <n v="16000"/>
    <n v="4769"/>
    <x v="2"/>
  </r>
  <r>
    <n v="683"/>
    <x v="161"/>
    <x v="0"/>
    <x v="0"/>
    <n v="43588"/>
    <n v="-1784"/>
    <x v="1"/>
  </r>
  <r>
    <n v="684"/>
    <x v="133"/>
    <x v="0"/>
    <x v="1"/>
    <n v="40782"/>
    <n v="7734"/>
    <x v="1"/>
  </r>
  <r>
    <n v="685"/>
    <x v="33"/>
    <x v="3"/>
    <x v="0"/>
    <n v="11316"/>
    <n v="2047"/>
    <x v="2"/>
  </r>
  <r>
    <n v="686"/>
    <x v="68"/>
    <x v="0"/>
    <x v="0"/>
    <n v="48891"/>
    <n v="5055"/>
    <x v="1"/>
  </r>
  <r>
    <n v="687"/>
    <x v="317"/>
    <x v="0"/>
    <x v="0"/>
    <n v="33023"/>
    <n v="3083"/>
    <x v="2"/>
  </r>
  <r>
    <n v="688"/>
    <x v="211"/>
    <x v="3"/>
    <x v="0"/>
    <n v="22616"/>
    <n v="6304"/>
    <x v="1"/>
  </r>
  <r>
    <n v="689"/>
    <x v="132"/>
    <x v="0"/>
    <x v="1"/>
    <n v="30936"/>
    <n v="7699"/>
    <x v="0"/>
  </r>
  <r>
    <n v="690"/>
    <x v="285"/>
    <x v="3"/>
    <x v="0"/>
    <n v="22222"/>
    <n v="1881"/>
    <x v="3"/>
  </r>
  <r>
    <n v="691"/>
    <x v="318"/>
    <x v="2"/>
    <x v="1"/>
    <n v="24932"/>
    <n v="4196"/>
    <x v="0"/>
  </r>
  <r>
    <n v="692"/>
    <x v="154"/>
    <x v="3"/>
    <x v="1"/>
    <n v="30231"/>
    <n v="6361"/>
    <x v="2"/>
  </r>
  <r>
    <n v="693"/>
    <x v="283"/>
    <x v="2"/>
    <x v="1"/>
    <n v="33375"/>
    <n v="7276"/>
    <x v="0"/>
  </r>
  <r>
    <n v="694"/>
    <x v="319"/>
    <x v="0"/>
    <x v="0"/>
    <n v="16031"/>
    <n v="8469"/>
    <x v="1"/>
  </r>
  <r>
    <n v="695"/>
    <x v="320"/>
    <x v="3"/>
    <x v="0"/>
    <n v="38987"/>
    <n v="9594"/>
    <x v="3"/>
  </r>
  <r>
    <n v="696"/>
    <x v="113"/>
    <x v="1"/>
    <x v="1"/>
    <n v="21809"/>
    <n v="5537"/>
    <x v="2"/>
  </r>
  <r>
    <n v="697"/>
    <x v="138"/>
    <x v="4"/>
    <x v="0"/>
    <n v="10606"/>
    <n v="5515"/>
    <x v="0"/>
  </r>
  <r>
    <n v="698"/>
    <x v="231"/>
    <x v="2"/>
    <x v="0"/>
    <n v="36115"/>
    <n v="3378"/>
    <x v="0"/>
  </r>
  <r>
    <n v="699"/>
    <x v="26"/>
    <x v="3"/>
    <x v="0"/>
    <n v="49012"/>
    <n v="2869"/>
    <x v="0"/>
  </r>
  <r>
    <n v="700"/>
    <x v="283"/>
    <x v="4"/>
    <x v="1"/>
    <n v="31195"/>
    <n v="4018"/>
    <x v="0"/>
  </r>
  <r>
    <n v="701"/>
    <x v="12"/>
    <x v="3"/>
    <x v="1"/>
    <n v="6377"/>
    <n v="1370"/>
    <x v="0"/>
  </r>
  <r>
    <n v="702"/>
    <x v="247"/>
    <x v="4"/>
    <x v="1"/>
    <n v="25533"/>
    <n v="-265"/>
    <x v="0"/>
  </r>
  <r>
    <n v="703"/>
    <x v="172"/>
    <x v="3"/>
    <x v="0"/>
    <n v="46656"/>
    <n v="5558"/>
    <x v="2"/>
  </r>
  <r>
    <n v="704"/>
    <x v="102"/>
    <x v="2"/>
    <x v="1"/>
    <n v="24311"/>
    <n v="3804"/>
    <x v="0"/>
  </r>
  <r>
    <n v="705"/>
    <x v="31"/>
    <x v="1"/>
    <x v="1"/>
    <n v="41091"/>
    <n v="1572"/>
    <x v="1"/>
  </r>
  <r>
    <n v="706"/>
    <x v="287"/>
    <x v="3"/>
    <x v="1"/>
    <n v="29057"/>
    <n v="7319"/>
    <x v="3"/>
  </r>
  <r>
    <n v="707"/>
    <x v="210"/>
    <x v="0"/>
    <x v="1"/>
    <n v="7545"/>
    <n v="1755"/>
    <x v="2"/>
  </r>
  <r>
    <n v="708"/>
    <x v="9"/>
    <x v="3"/>
    <x v="0"/>
    <n v="48124"/>
    <n v="5205"/>
    <x v="0"/>
  </r>
  <r>
    <n v="709"/>
    <x v="315"/>
    <x v="3"/>
    <x v="1"/>
    <n v="21666"/>
    <n v="6817"/>
    <x v="3"/>
  </r>
  <r>
    <n v="710"/>
    <x v="298"/>
    <x v="3"/>
    <x v="0"/>
    <n v="31944"/>
    <n v="-1936"/>
    <x v="0"/>
  </r>
  <r>
    <n v="711"/>
    <x v="126"/>
    <x v="1"/>
    <x v="1"/>
    <n v="47309"/>
    <n v="7095"/>
    <x v="0"/>
  </r>
  <r>
    <n v="712"/>
    <x v="126"/>
    <x v="4"/>
    <x v="0"/>
    <n v="9779"/>
    <n v="3849"/>
    <x v="0"/>
  </r>
  <r>
    <n v="713"/>
    <x v="59"/>
    <x v="4"/>
    <x v="1"/>
    <n v="32975"/>
    <n v="7801"/>
    <x v="2"/>
  </r>
  <r>
    <n v="714"/>
    <x v="12"/>
    <x v="4"/>
    <x v="1"/>
    <n v="20312"/>
    <n v="2093"/>
    <x v="0"/>
  </r>
  <r>
    <n v="715"/>
    <x v="321"/>
    <x v="1"/>
    <x v="1"/>
    <n v="5648"/>
    <n v="9497"/>
    <x v="0"/>
  </r>
  <r>
    <n v="716"/>
    <x v="9"/>
    <x v="2"/>
    <x v="0"/>
    <n v="13767"/>
    <n v="4858"/>
    <x v="2"/>
  </r>
  <r>
    <n v="717"/>
    <x v="73"/>
    <x v="3"/>
    <x v="0"/>
    <n v="12635"/>
    <n v="-658"/>
    <x v="3"/>
  </r>
  <r>
    <n v="718"/>
    <x v="222"/>
    <x v="0"/>
    <x v="0"/>
    <n v="10196"/>
    <n v="-1415"/>
    <x v="3"/>
  </r>
  <r>
    <n v="719"/>
    <x v="6"/>
    <x v="0"/>
    <x v="1"/>
    <n v="49153"/>
    <n v="6327"/>
    <x v="1"/>
  </r>
  <r>
    <n v="720"/>
    <x v="218"/>
    <x v="3"/>
    <x v="0"/>
    <n v="14428"/>
    <n v="3570"/>
    <x v="1"/>
  </r>
  <r>
    <n v="721"/>
    <x v="322"/>
    <x v="2"/>
    <x v="1"/>
    <n v="16883"/>
    <n v="1599"/>
    <x v="0"/>
  </r>
  <r>
    <n v="722"/>
    <x v="323"/>
    <x v="2"/>
    <x v="0"/>
    <n v="30835"/>
    <n v="-949"/>
    <x v="3"/>
  </r>
  <r>
    <n v="723"/>
    <x v="146"/>
    <x v="3"/>
    <x v="0"/>
    <n v="13836"/>
    <n v="-1148"/>
    <x v="3"/>
  </r>
  <r>
    <n v="724"/>
    <x v="324"/>
    <x v="2"/>
    <x v="1"/>
    <n v="24858"/>
    <n v="7562"/>
    <x v="3"/>
  </r>
  <r>
    <n v="725"/>
    <x v="325"/>
    <x v="1"/>
    <x v="1"/>
    <n v="30816"/>
    <n v="-1578"/>
    <x v="1"/>
  </r>
  <r>
    <n v="726"/>
    <x v="200"/>
    <x v="2"/>
    <x v="0"/>
    <n v="12041"/>
    <n v="2162"/>
    <x v="1"/>
  </r>
  <r>
    <n v="727"/>
    <x v="290"/>
    <x v="3"/>
    <x v="1"/>
    <n v="1532"/>
    <n v="3146"/>
    <x v="0"/>
  </r>
  <r>
    <n v="728"/>
    <x v="200"/>
    <x v="1"/>
    <x v="1"/>
    <n v="42425"/>
    <n v="-1300"/>
    <x v="0"/>
  </r>
  <r>
    <n v="729"/>
    <x v="100"/>
    <x v="2"/>
    <x v="1"/>
    <n v="13079"/>
    <n v="4560"/>
    <x v="2"/>
  </r>
  <r>
    <n v="730"/>
    <x v="144"/>
    <x v="4"/>
    <x v="0"/>
    <n v="40218"/>
    <n v="6978"/>
    <x v="0"/>
  </r>
  <r>
    <n v="731"/>
    <x v="81"/>
    <x v="1"/>
    <x v="0"/>
    <n v="11602"/>
    <n v="2994"/>
    <x v="0"/>
  </r>
  <r>
    <n v="732"/>
    <x v="222"/>
    <x v="0"/>
    <x v="0"/>
    <n v="5897"/>
    <n v="-1552"/>
    <x v="1"/>
  </r>
  <r>
    <n v="733"/>
    <x v="326"/>
    <x v="4"/>
    <x v="1"/>
    <n v="10103"/>
    <n v="-1661"/>
    <x v="3"/>
  </r>
  <r>
    <n v="734"/>
    <x v="206"/>
    <x v="1"/>
    <x v="1"/>
    <n v="17531"/>
    <n v="4558"/>
    <x v="0"/>
  </r>
  <r>
    <n v="735"/>
    <x v="234"/>
    <x v="2"/>
    <x v="1"/>
    <n v="16832"/>
    <n v="147"/>
    <x v="3"/>
  </r>
  <r>
    <n v="736"/>
    <x v="306"/>
    <x v="2"/>
    <x v="1"/>
    <n v="49905"/>
    <n v="7080"/>
    <x v="3"/>
  </r>
  <r>
    <n v="737"/>
    <x v="208"/>
    <x v="1"/>
    <x v="1"/>
    <n v="20785"/>
    <n v="9694"/>
    <x v="3"/>
  </r>
  <r>
    <n v="738"/>
    <x v="146"/>
    <x v="1"/>
    <x v="1"/>
    <n v="41659"/>
    <n v="2779"/>
    <x v="3"/>
  </r>
  <r>
    <n v="739"/>
    <x v="285"/>
    <x v="2"/>
    <x v="1"/>
    <n v="38557"/>
    <n v="9038"/>
    <x v="1"/>
  </r>
  <r>
    <n v="740"/>
    <x v="179"/>
    <x v="0"/>
    <x v="1"/>
    <n v="33303"/>
    <n v="4391"/>
    <x v="0"/>
  </r>
  <r>
    <n v="741"/>
    <x v="165"/>
    <x v="1"/>
    <x v="0"/>
    <n v="6692"/>
    <n v="9329"/>
    <x v="3"/>
  </r>
  <r>
    <n v="742"/>
    <x v="269"/>
    <x v="0"/>
    <x v="0"/>
    <n v="10396"/>
    <n v="4494"/>
    <x v="3"/>
  </r>
  <r>
    <n v="743"/>
    <x v="141"/>
    <x v="3"/>
    <x v="0"/>
    <n v="32153"/>
    <n v="5692"/>
    <x v="0"/>
  </r>
  <r>
    <n v="744"/>
    <x v="89"/>
    <x v="0"/>
    <x v="0"/>
    <n v="11160"/>
    <n v="-1774"/>
    <x v="2"/>
  </r>
  <r>
    <n v="745"/>
    <x v="296"/>
    <x v="0"/>
    <x v="1"/>
    <n v="33104"/>
    <n v="3784"/>
    <x v="3"/>
  </r>
  <r>
    <n v="746"/>
    <x v="172"/>
    <x v="4"/>
    <x v="0"/>
    <n v="3157"/>
    <n v="4002"/>
    <x v="2"/>
  </r>
  <r>
    <n v="747"/>
    <x v="124"/>
    <x v="3"/>
    <x v="0"/>
    <n v="551"/>
    <n v="1827"/>
    <x v="0"/>
  </r>
  <r>
    <n v="748"/>
    <x v="87"/>
    <x v="2"/>
    <x v="1"/>
    <n v="9730"/>
    <n v="-348"/>
    <x v="0"/>
  </r>
  <r>
    <n v="749"/>
    <x v="13"/>
    <x v="1"/>
    <x v="1"/>
    <n v="18130"/>
    <n v="3070"/>
    <x v="3"/>
  </r>
  <r>
    <n v="750"/>
    <x v="267"/>
    <x v="2"/>
    <x v="1"/>
    <n v="5151"/>
    <n v="-1841"/>
    <x v="3"/>
  </r>
  <r>
    <n v="751"/>
    <x v="327"/>
    <x v="4"/>
    <x v="1"/>
    <n v="12617"/>
    <n v="3404"/>
    <x v="0"/>
  </r>
  <r>
    <n v="752"/>
    <x v="324"/>
    <x v="2"/>
    <x v="0"/>
    <n v="14310"/>
    <n v="1621"/>
    <x v="1"/>
  </r>
  <r>
    <n v="753"/>
    <x v="313"/>
    <x v="1"/>
    <x v="1"/>
    <n v="33197"/>
    <n v="3598"/>
    <x v="3"/>
  </r>
  <r>
    <n v="754"/>
    <x v="42"/>
    <x v="0"/>
    <x v="1"/>
    <n v="47653"/>
    <n v="3720"/>
    <x v="1"/>
  </r>
  <r>
    <n v="755"/>
    <x v="69"/>
    <x v="0"/>
    <x v="0"/>
    <n v="27638"/>
    <n v="9354"/>
    <x v="2"/>
  </r>
  <r>
    <n v="756"/>
    <x v="92"/>
    <x v="2"/>
    <x v="1"/>
    <n v="23573"/>
    <n v="5774"/>
    <x v="2"/>
  </r>
  <r>
    <n v="757"/>
    <x v="7"/>
    <x v="3"/>
    <x v="0"/>
    <n v="42335"/>
    <n v="8297"/>
    <x v="2"/>
  </r>
  <r>
    <n v="758"/>
    <x v="328"/>
    <x v="3"/>
    <x v="0"/>
    <n v="44714"/>
    <n v="2841"/>
    <x v="1"/>
  </r>
  <r>
    <n v="759"/>
    <x v="111"/>
    <x v="3"/>
    <x v="0"/>
    <n v="27854"/>
    <n v="7385"/>
    <x v="2"/>
  </r>
  <r>
    <n v="760"/>
    <x v="289"/>
    <x v="2"/>
    <x v="1"/>
    <n v="25415"/>
    <n v="1311"/>
    <x v="2"/>
  </r>
  <r>
    <n v="761"/>
    <x v="162"/>
    <x v="0"/>
    <x v="0"/>
    <n v="42399"/>
    <n v="-1058"/>
    <x v="2"/>
  </r>
  <r>
    <n v="762"/>
    <x v="201"/>
    <x v="0"/>
    <x v="1"/>
    <n v="20722"/>
    <n v="3240"/>
    <x v="3"/>
  </r>
  <r>
    <n v="763"/>
    <x v="329"/>
    <x v="4"/>
    <x v="1"/>
    <n v="39117"/>
    <n v="8462"/>
    <x v="2"/>
  </r>
  <r>
    <n v="764"/>
    <x v="330"/>
    <x v="4"/>
    <x v="1"/>
    <n v="34294"/>
    <n v="1508"/>
    <x v="3"/>
  </r>
  <r>
    <n v="765"/>
    <x v="108"/>
    <x v="2"/>
    <x v="0"/>
    <n v="3292"/>
    <n v="4331"/>
    <x v="0"/>
  </r>
  <r>
    <n v="766"/>
    <x v="288"/>
    <x v="4"/>
    <x v="0"/>
    <n v="1076"/>
    <n v="5313"/>
    <x v="3"/>
  </r>
  <r>
    <n v="767"/>
    <x v="43"/>
    <x v="1"/>
    <x v="0"/>
    <n v="12524"/>
    <n v="3186"/>
    <x v="2"/>
  </r>
  <r>
    <n v="768"/>
    <x v="154"/>
    <x v="0"/>
    <x v="1"/>
    <n v="35722"/>
    <n v="7914"/>
    <x v="2"/>
  </r>
  <r>
    <n v="769"/>
    <x v="21"/>
    <x v="0"/>
    <x v="0"/>
    <n v="5717"/>
    <n v="51"/>
    <x v="1"/>
  </r>
  <r>
    <n v="770"/>
    <x v="183"/>
    <x v="1"/>
    <x v="0"/>
    <n v="18870"/>
    <n v="4744"/>
    <x v="1"/>
  </r>
  <r>
    <n v="771"/>
    <x v="110"/>
    <x v="0"/>
    <x v="0"/>
    <n v="27205"/>
    <n v="4878"/>
    <x v="0"/>
  </r>
  <r>
    <n v="772"/>
    <x v="331"/>
    <x v="2"/>
    <x v="0"/>
    <n v="18677"/>
    <n v="6589"/>
    <x v="0"/>
  </r>
  <r>
    <n v="773"/>
    <x v="31"/>
    <x v="1"/>
    <x v="1"/>
    <n v="49686"/>
    <n v="2905"/>
    <x v="2"/>
  </r>
  <r>
    <n v="774"/>
    <x v="126"/>
    <x v="0"/>
    <x v="1"/>
    <n v="38992"/>
    <n v="3823"/>
    <x v="1"/>
  </r>
  <r>
    <n v="775"/>
    <x v="76"/>
    <x v="3"/>
    <x v="1"/>
    <n v="27152"/>
    <n v="860"/>
    <x v="1"/>
  </r>
  <r>
    <n v="776"/>
    <x v="111"/>
    <x v="0"/>
    <x v="0"/>
    <n v="29342"/>
    <n v="7472"/>
    <x v="2"/>
  </r>
  <r>
    <n v="777"/>
    <x v="332"/>
    <x v="4"/>
    <x v="1"/>
    <n v="34835"/>
    <n v="3377"/>
    <x v="3"/>
  </r>
  <r>
    <n v="778"/>
    <x v="115"/>
    <x v="2"/>
    <x v="1"/>
    <n v="9495"/>
    <n v="3246"/>
    <x v="2"/>
  </r>
  <r>
    <n v="779"/>
    <x v="299"/>
    <x v="1"/>
    <x v="0"/>
    <n v="4819"/>
    <n v="7117"/>
    <x v="0"/>
  </r>
  <r>
    <n v="780"/>
    <x v="323"/>
    <x v="1"/>
    <x v="0"/>
    <n v="44554"/>
    <n v="1716"/>
    <x v="2"/>
  </r>
  <r>
    <n v="781"/>
    <x v="285"/>
    <x v="1"/>
    <x v="0"/>
    <n v="2809"/>
    <n v="7218"/>
    <x v="1"/>
  </r>
  <r>
    <n v="782"/>
    <x v="150"/>
    <x v="0"/>
    <x v="1"/>
    <n v="23622"/>
    <n v="7324"/>
    <x v="0"/>
  </r>
  <r>
    <n v="783"/>
    <x v="3"/>
    <x v="1"/>
    <x v="1"/>
    <n v="2417"/>
    <n v="3561"/>
    <x v="3"/>
  </r>
  <r>
    <n v="784"/>
    <x v="141"/>
    <x v="4"/>
    <x v="1"/>
    <n v="9339"/>
    <n v="-467"/>
    <x v="3"/>
  </r>
  <r>
    <n v="785"/>
    <x v="16"/>
    <x v="4"/>
    <x v="1"/>
    <n v="37123"/>
    <n v="536"/>
    <x v="2"/>
  </r>
  <r>
    <n v="786"/>
    <x v="116"/>
    <x v="4"/>
    <x v="0"/>
    <n v="28985"/>
    <n v="9715"/>
    <x v="2"/>
  </r>
  <r>
    <n v="787"/>
    <x v="182"/>
    <x v="4"/>
    <x v="1"/>
    <n v="37604"/>
    <n v="-979"/>
    <x v="1"/>
  </r>
  <r>
    <n v="788"/>
    <x v="324"/>
    <x v="1"/>
    <x v="0"/>
    <n v="12042"/>
    <n v="3546"/>
    <x v="2"/>
  </r>
  <r>
    <n v="789"/>
    <x v="232"/>
    <x v="1"/>
    <x v="1"/>
    <n v="37652"/>
    <n v="2586"/>
    <x v="3"/>
  </r>
  <r>
    <n v="790"/>
    <x v="333"/>
    <x v="2"/>
    <x v="0"/>
    <n v="31492"/>
    <n v="3950"/>
    <x v="0"/>
  </r>
  <r>
    <n v="791"/>
    <x v="305"/>
    <x v="2"/>
    <x v="0"/>
    <n v="19599"/>
    <n v="4444"/>
    <x v="2"/>
  </r>
  <r>
    <n v="792"/>
    <x v="245"/>
    <x v="1"/>
    <x v="1"/>
    <n v="42288"/>
    <n v="4921"/>
    <x v="1"/>
  </r>
  <r>
    <n v="793"/>
    <x v="261"/>
    <x v="3"/>
    <x v="1"/>
    <n v="11879"/>
    <n v="4099"/>
    <x v="3"/>
  </r>
  <r>
    <n v="794"/>
    <x v="217"/>
    <x v="1"/>
    <x v="0"/>
    <n v="11302"/>
    <n v="4109"/>
    <x v="2"/>
  </r>
  <r>
    <n v="795"/>
    <x v="103"/>
    <x v="2"/>
    <x v="0"/>
    <n v="14201"/>
    <n v="1052"/>
    <x v="3"/>
  </r>
  <r>
    <n v="796"/>
    <x v="244"/>
    <x v="0"/>
    <x v="1"/>
    <n v="47767"/>
    <n v="2420"/>
    <x v="2"/>
  </r>
  <r>
    <n v="797"/>
    <x v="191"/>
    <x v="1"/>
    <x v="0"/>
    <n v="45666"/>
    <n v="4385"/>
    <x v="3"/>
  </r>
  <r>
    <n v="798"/>
    <x v="312"/>
    <x v="4"/>
    <x v="0"/>
    <n v="4298"/>
    <n v="4446"/>
    <x v="3"/>
  </r>
  <r>
    <n v="799"/>
    <x v="229"/>
    <x v="3"/>
    <x v="1"/>
    <n v="19347"/>
    <n v="1935"/>
    <x v="1"/>
  </r>
  <r>
    <n v="800"/>
    <x v="170"/>
    <x v="0"/>
    <x v="1"/>
    <n v="21698"/>
    <n v="-1178"/>
    <x v="3"/>
  </r>
  <r>
    <n v="801"/>
    <x v="334"/>
    <x v="0"/>
    <x v="0"/>
    <n v="15113"/>
    <n v="1033"/>
    <x v="1"/>
  </r>
  <r>
    <n v="802"/>
    <x v="289"/>
    <x v="4"/>
    <x v="1"/>
    <n v="12686"/>
    <n v="2825"/>
    <x v="0"/>
  </r>
  <r>
    <n v="803"/>
    <x v="54"/>
    <x v="0"/>
    <x v="0"/>
    <n v="37524"/>
    <n v="7654"/>
    <x v="1"/>
  </r>
  <r>
    <n v="804"/>
    <x v="227"/>
    <x v="0"/>
    <x v="1"/>
    <n v="10684"/>
    <n v="-1192"/>
    <x v="1"/>
  </r>
  <r>
    <n v="805"/>
    <x v="251"/>
    <x v="4"/>
    <x v="0"/>
    <n v="40227"/>
    <n v="4725"/>
    <x v="1"/>
  </r>
  <r>
    <n v="806"/>
    <x v="335"/>
    <x v="4"/>
    <x v="0"/>
    <n v="41177"/>
    <n v="5207"/>
    <x v="0"/>
  </r>
  <r>
    <n v="807"/>
    <x v="225"/>
    <x v="1"/>
    <x v="0"/>
    <n v="35463"/>
    <n v="9123"/>
    <x v="1"/>
  </r>
  <r>
    <n v="808"/>
    <x v="224"/>
    <x v="3"/>
    <x v="0"/>
    <n v="35624"/>
    <n v="1762"/>
    <x v="2"/>
  </r>
  <r>
    <n v="809"/>
    <x v="263"/>
    <x v="0"/>
    <x v="0"/>
    <n v="35527"/>
    <n v="-57"/>
    <x v="3"/>
  </r>
  <r>
    <n v="810"/>
    <x v="95"/>
    <x v="0"/>
    <x v="1"/>
    <n v="24223"/>
    <n v="5233"/>
    <x v="1"/>
  </r>
  <r>
    <n v="811"/>
    <x v="252"/>
    <x v="2"/>
    <x v="0"/>
    <n v="29661"/>
    <n v="-363"/>
    <x v="0"/>
  </r>
  <r>
    <n v="812"/>
    <x v="153"/>
    <x v="3"/>
    <x v="1"/>
    <n v="43792"/>
    <n v="5420"/>
    <x v="1"/>
  </r>
  <r>
    <n v="813"/>
    <x v="154"/>
    <x v="3"/>
    <x v="0"/>
    <n v="30678"/>
    <n v="6888"/>
    <x v="0"/>
  </r>
  <r>
    <n v="814"/>
    <x v="272"/>
    <x v="1"/>
    <x v="1"/>
    <n v="8440"/>
    <n v="613"/>
    <x v="1"/>
  </r>
  <r>
    <n v="815"/>
    <x v="131"/>
    <x v="3"/>
    <x v="0"/>
    <n v="48477"/>
    <n v="6521"/>
    <x v="0"/>
  </r>
  <r>
    <n v="816"/>
    <x v="321"/>
    <x v="1"/>
    <x v="0"/>
    <n v="29410"/>
    <n v="4323"/>
    <x v="2"/>
  </r>
  <r>
    <n v="817"/>
    <x v="38"/>
    <x v="1"/>
    <x v="0"/>
    <n v="20110"/>
    <n v="5836"/>
    <x v="2"/>
  </r>
  <r>
    <n v="818"/>
    <x v="212"/>
    <x v="4"/>
    <x v="0"/>
    <n v="20219"/>
    <n v="3624"/>
    <x v="3"/>
  </r>
  <r>
    <n v="819"/>
    <x v="300"/>
    <x v="1"/>
    <x v="0"/>
    <n v="49576"/>
    <n v="4667"/>
    <x v="1"/>
  </r>
  <r>
    <n v="820"/>
    <x v="2"/>
    <x v="0"/>
    <x v="1"/>
    <n v="22681"/>
    <n v="2209"/>
    <x v="2"/>
  </r>
  <r>
    <n v="821"/>
    <x v="336"/>
    <x v="4"/>
    <x v="1"/>
    <n v="1902"/>
    <n v="5448"/>
    <x v="1"/>
  </r>
  <r>
    <n v="822"/>
    <x v="43"/>
    <x v="2"/>
    <x v="0"/>
    <n v="47457"/>
    <n v="5360"/>
    <x v="1"/>
  </r>
  <r>
    <n v="823"/>
    <x v="21"/>
    <x v="1"/>
    <x v="1"/>
    <n v="10484"/>
    <n v="6746"/>
    <x v="1"/>
  </r>
  <r>
    <n v="824"/>
    <x v="221"/>
    <x v="2"/>
    <x v="1"/>
    <n v="13932"/>
    <n v="4323"/>
    <x v="3"/>
  </r>
  <r>
    <n v="825"/>
    <x v="173"/>
    <x v="4"/>
    <x v="0"/>
    <n v="5984"/>
    <n v="8376"/>
    <x v="1"/>
  </r>
  <r>
    <n v="826"/>
    <x v="266"/>
    <x v="0"/>
    <x v="0"/>
    <n v="2992"/>
    <n v="3837"/>
    <x v="0"/>
  </r>
  <r>
    <n v="827"/>
    <x v="277"/>
    <x v="0"/>
    <x v="0"/>
    <n v="11154"/>
    <n v="-1426"/>
    <x v="3"/>
  </r>
  <r>
    <n v="828"/>
    <x v="194"/>
    <x v="3"/>
    <x v="0"/>
    <n v="25940"/>
    <n v="6486"/>
    <x v="1"/>
  </r>
  <r>
    <n v="829"/>
    <x v="119"/>
    <x v="4"/>
    <x v="1"/>
    <n v="3164"/>
    <n v="3892"/>
    <x v="0"/>
  </r>
  <r>
    <n v="830"/>
    <x v="100"/>
    <x v="4"/>
    <x v="1"/>
    <n v="30928"/>
    <n v="8808"/>
    <x v="3"/>
  </r>
  <r>
    <n v="831"/>
    <x v="242"/>
    <x v="3"/>
    <x v="1"/>
    <n v="8032"/>
    <n v="7013"/>
    <x v="0"/>
  </r>
  <r>
    <n v="832"/>
    <x v="285"/>
    <x v="0"/>
    <x v="0"/>
    <n v="10972"/>
    <n v="2439"/>
    <x v="1"/>
  </r>
  <r>
    <n v="833"/>
    <x v="97"/>
    <x v="0"/>
    <x v="0"/>
    <n v="8602"/>
    <n v="4074"/>
    <x v="1"/>
  </r>
  <r>
    <n v="834"/>
    <x v="286"/>
    <x v="3"/>
    <x v="1"/>
    <n v="9311"/>
    <n v="4100"/>
    <x v="3"/>
  </r>
  <r>
    <n v="835"/>
    <x v="135"/>
    <x v="3"/>
    <x v="1"/>
    <n v="4760"/>
    <n v="552"/>
    <x v="0"/>
  </r>
  <r>
    <n v="836"/>
    <x v="21"/>
    <x v="0"/>
    <x v="1"/>
    <n v="41407"/>
    <n v="-357"/>
    <x v="3"/>
  </r>
  <r>
    <n v="837"/>
    <x v="199"/>
    <x v="0"/>
    <x v="0"/>
    <n v="21928"/>
    <n v="8312"/>
    <x v="2"/>
  </r>
  <r>
    <n v="838"/>
    <x v="137"/>
    <x v="2"/>
    <x v="1"/>
    <n v="41284"/>
    <n v="-1001"/>
    <x v="0"/>
  </r>
  <r>
    <n v="839"/>
    <x v="32"/>
    <x v="3"/>
    <x v="0"/>
    <n v="11546"/>
    <n v="4083"/>
    <x v="2"/>
  </r>
  <r>
    <n v="840"/>
    <x v="155"/>
    <x v="0"/>
    <x v="1"/>
    <n v="21233"/>
    <n v="7355"/>
    <x v="3"/>
  </r>
  <r>
    <n v="841"/>
    <x v="324"/>
    <x v="0"/>
    <x v="1"/>
    <n v="49918"/>
    <n v="6925"/>
    <x v="3"/>
  </r>
  <r>
    <n v="842"/>
    <x v="170"/>
    <x v="1"/>
    <x v="1"/>
    <n v="8895"/>
    <n v="5016"/>
    <x v="1"/>
  </r>
  <r>
    <n v="843"/>
    <x v="337"/>
    <x v="4"/>
    <x v="0"/>
    <n v="14644"/>
    <n v="1947"/>
    <x v="2"/>
  </r>
  <r>
    <n v="844"/>
    <x v="297"/>
    <x v="3"/>
    <x v="1"/>
    <n v="48491"/>
    <n v="4862"/>
    <x v="3"/>
  </r>
  <r>
    <n v="845"/>
    <x v="225"/>
    <x v="0"/>
    <x v="1"/>
    <n v="33771"/>
    <n v="-573"/>
    <x v="1"/>
  </r>
  <r>
    <n v="846"/>
    <x v="232"/>
    <x v="0"/>
    <x v="1"/>
    <n v="31606"/>
    <n v="-1764"/>
    <x v="0"/>
  </r>
  <r>
    <n v="847"/>
    <x v="27"/>
    <x v="1"/>
    <x v="1"/>
    <n v="9113"/>
    <n v="4306"/>
    <x v="3"/>
  </r>
  <r>
    <n v="848"/>
    <x v="31"/>
    <x v="2"/>
    <x v="0"/>
    <n v="20964"/>
    <n v="5449"/>
    <x v="2"/>
  </r>
  <r>
    <n v="849"/>
    <x v="57"/>
    <x v="0"/>
    <x v="0"/>
    <n v="30044"/>
    <n v="9716"/>
    <x v="2"/>
  </r>
  <r>
    <n v="850"/>
    <x v="184"/>
    <x v="3"/>
    <x v="1"/>
    <n v="1386"/>
    <n v="7952"/>
    <x v="0"/>
  </r>
  <r>
    <n v="851"/>
    <x v="29"/>
    <x v="4"/>
    <x v="1"/>
    <n v="47179"/>
    <n v="8430"/>
    <x v="3"/>
  </r>
  <r>
    <n v="852"/>
    <x v="62"/>
    <x v="4"/>
    <x v="1"/>
    <n v="35298"/>
    <n v="3808"/>
    <x v="0"/>
  </r>
  <r>
    <n v="853"/>
    <x v="338"/>
    <x v="2"/>
    <x v="0"/>
    <n v="1489"/>
    <n v="2586"/>
    <x v="3"/>
  </r>
  <r>
    <n v="854"/>
    <x v="326"/>
    <x v="4"/>
    <x v="1"/>
    <n v="7795"/>
    <n v="300"/>
    <x v="3"/>
  </r>
  <r>
    <n v="855"/>
    <x v="21"/>
    <x v="0"/>
    <x v="1"/>
    <n v="5789"/>
    <n v="-112"/>
    <x v="3"/>
  </r>
  <r>
    <n v="856"/>
    <x v="105"/>
    <x v="1"/>
    <x v="1"/>
    <n v="25205"/>
    <n v="8859"/>
    <x v="3"/>
  </r>
  <r>
    <n v="857"/>
    <x v="156"/>
    <x v="1"/>
    <x v="1"/>
    <n v="45015"/>
    <n v="9051"/>
    <x v="1"/>
  </r>
  <r>
    <n v="858"/>
    <x v="163"/>
    <x v="1"/>
    <x v="0"/>
    <n v="12762"/>
    <n v="5944"/>
    <x v="3"/>
  </r>
  <r>
    <n v="859"/>
    <x v="337"/>
    <x v="1"/>
    <x v="1"/>
    <n v="25664"/>
    <n v="8818"/>
    <x v="3"/>
  </r>
  <r>
    <n v="860"/>
    <x v="101"/>
    <x v="0"/>
    <x v="0"/>
    <n v="37379"/>
    <n v="8483"/>
    <x v="1"/>
  </r>
  <r>
    <n v="861"/>
    <x v="53"/>
    <x v="3"/>
    <x v="1"/>
    <n v="46287"/>
    <n v="4025"/>
    <x v="0"/>
  </r>
  <r>
    <n v="862"/>
    <x v="110"/>
    <x v="1"/>
    <x v="0"/>
    <n v="39845"/>
    <n v="7477"/>
    <x v="1"/>
  </r>
  <r>
    <n v="863"/>
    <x v="339"/>
    <x v="3"/>
    <x v="1"/>
    <n v="12580"/>
    <n v="216"/>
    <x v="1"/>
  </r>
  <r>
    <n v="864"/>
    <x v="139"/>
    <x v="0"/>
    <x v="0"/>
    <n v="26033"/>
    <n v="9618"/>
    <x v="1"/>
  </r>
  <r>
    <n v="865"/>
    <x v="45"/>
    <x v="2"/>
    <x v="0"/>
    <n v="5123"/>
    <n v="5369"/>
    <x v="0"/>
  </r>
  <r>
    <n v="866"/>
    <x v="195"/>
    <x v="0"/>
    <x v="0"/>
    <n v="20816"/>
    <n v="9277"/>
    <x v="3"/>
  </r>
  <r>
    <n v="867"/>
    <x v="287"/>
    <x v="3"/>
    <x v="1"/>
    <n v="49961"/>
    <n v="7897"/>
    <x v="1"/>
  </r>
  <r>
    <n v="868"/>
    <x v="238"/>
    <x v="2"/>
    <x v="0"/>
    <n v="5865"/>
    <n v="8932"/>
    <x v="3"/>
  </r>
  <r>
    <n v="869"/>
    <x v="156"/>
    <x v="0"/>
    <x v="1"/>
    <n v="34986"/>
    <n v="9409"/>
    <x v="2"/>
  </r>
  <r>
    <n v="870"/>
    <x v="99"/>
    <x v="4"/>
    <x v="1"/>
    <n v="24180"/>
    <n v="2916"/>
    <x v="3"/>
  </r>
  <r>
    <n v="871"/>
    <x v="332"/>
    <x v="1"/>
    <x v="0"/>
    <n v="23744"/>
    <n v="9445"/>
    <x v="3"/>
  </r>
  <r>
    <n v="872"/>
    <x v="172"/>
    <x v="0"/>
    <x v="0"/>
    <n v="18549"/>
    <n v="3258"/>
    <x v="0"/>
  </r>
  <r>
    <n v="873"/>
    <x v="238"/>
    <x v="0"/>
    <x v="0"/>
    <n v="1104"/>
    <n v="-1400"/>
    <x v="3"/>
  </r>
  <r>
    <n v="874"/>
    <x v="105"/>
    <x v="0"/>
    <x v="1"/>
    <n v="21519"/>
    <n v="3389"/>
    <x v="2"/>
  </r>
  <r>
    <n v="875"/>
    <x v="236"/>
    <x v="0"/>
    <x v="1"/>
    <n v="16924"/>
    <n v="1709"/>
    <x v="2"/>
  </r>
  <r>
    <n v="876"/>
    <x v="68"/>
    <x v="1"/>
    <x v="0"/>
    <n v="9708"/>
    <n v="1964"/>
    <x v="2"/>
  </r>
  <r>
    <n v="877"/>
    <x v="230"/>
    <x v="2"/>
    <x v="0"/>
    <n v="5353"/>
    <n v="5989"/>
    <x v="0"/>
  </r>
  <r>
    <n v="878"/>
    <x v="19"/>
    <x v="3"/>
    <x v="0"/>
    <n v="26185"/>
    <n v="3430"/>
    <x v="3"/>
  </r>
  <r>
    <n v="879"/>
    <x v="209"/>
    <x v="2"/>
    <x v="0"/>
    <n v="26841"/>
    <n v="3923"/>
    <x v="0"/>
  </r>
  <r>
    <n v="880"/>
    <x v="319"/>
    <x v="4"/>
    <x v="0"/>
    <n v="1575"/>
    <n v="3440"/>
    <x v="1"/>
  </r>
  <r>
    <n v="881"/>
    <x v="97"/>
    <x v="2"/>
    <x v="0"/>
    <n v="3326"/>
    <n v="5713"/>
    <x v="0"/>
  </r>
  <r>
    <n v="882"/>
    <x v="340"/>
    <x v="1"/>
    <x v="0"/>
    <n v="29004"/>
    <n v="2822"/>
    <x v="3"/>
  </r>
  <r>
    <n v="883"/>
    <x v="157"/>
    <x v="0"/>
    <x v="1"/>
    <n v="2942"/>
    <n v="6047"/>
    <x v="0"/>
  </r>
  <r>
    <n v="884"/>
    <x v="271"/>
    <x v="4"/>
    <x v="1"/>
    <n v="32610"/>
    <n v="752"/>
    <x v="3"/>
  </r>
  <r>
    <n v="885"/>
    <x v="9"/>
    <x v="1"/>
    <x v="1"/>
    <n v="36300"/>
    <n v="9042"/>
    <x v="1"/>
  </r>
  <r>
    <n v="886"/>
    <x v="27"/>
    <x v="2"/>
    <x v="1"/>
    <n v="27368"/>
    <n v="5431"/>
    <x v="1"/>
  </r>
  <r>
    <n v="887"/>
    <x v="274"/>
    <x v="3"/>
    <x v="0"/>
    <n v="6185"/>
    <n v="-746"/>
    <x v="3"/>
  </r>
  <r>
    <n v="888"/>
    <x v="118"/>
    <x v="3"/>
    <x v="0"/>
    <n v="4263"/>
    <n v="4407"/>
    <x v="1"/>
  </r>
  <r>
    <n v="889"/>
    <x v="262"/>
    <x v="0"/>
    <x v="0"/>
    <n v="36974"/>
    <n v="264"/>
    <x v="0"/>
  </r>
  <r>
    <n v="890"/>
    <x v="97"/>
    <x v="1"/>
    <x v="0"/>
    <n v="37157"/>
    <n v="-101"/>
    <x v="1"/>
  </r>
  <r>
    <n v="891"/>
    <x v="86"/>
    <x v="4"/>
    <x v="0"/>
    <n v="49958"/>
    <n v="2905"/>
    <x v="1"/>
  </r>
  <r>
    <n v="892"/>
    <x v="76"/>
    <x v="0"/>
    <x v="0"/>
    <n v="12076"/>
    <n v="2226"/>
    <x v="1"/>
  </r>
  <r>
    <n v="893"/>
    <x v="44"/>
    <x v="4"/>
    <x v="0"/>
    <n v="805"/>
    <n v="6080"/>
    <x v="2"/>
  </r>
  <r>
    <n v="894"/>
    <x v="5"/>
    <x v="3"/>
    <x v="0"/>
    <n v="10249"/>
    <n v="901"/>
    <x v="0"/>
  </r>
  <r>
    <n v="895"/>
    <x v="83"/>
    <x v="3"/>
    <x v="0"/>
    <n v="18401"/>
    <n v="7586"/>
    <x v="0"/>
  </r>
  <r>
    <n v="896"/>
    <x v="35"/>
    <x v="3"/>
    <x v="1"/>
    <n v="48767"/>
    <n v="-224"/>
    <x v="0"/>
  </r>
  <r>
    <n v="897"/>
    <x v="230"/>
    <x v="1"/>
    <x v="0"/>
    <n v="15001"/>
    <n v="1455"/>
    <x v="0"/>
  </r>
  <r>
    <n v="898"/>
    <x v="227"/>
    <x v="2"/>
    <x v="1"/>
    <n v="43330"/>
    <n v="7899"/>
    <x v="3"/>
  </r>
  <r>
    <n v="899"/>
    <x v="298"/>
    <x v="0"/>
    <x v="0"/>
    <n v="43433"/>
    <n v="6624"/>
    <x v="2"/>
  </r>
  <r>
    <n v="900"/>
    <x v="129"/>
    <x v="1"/>
    <x v="0"/>
    <n v="13667"/>
    <n v="-1503"/>
    <x v="1"/>
  </r>
  <r>
    <n v="901"/>
    <x v="240"/>
    <x v="1"/>
    <x v="1"/>
    <n v="13378"/>
    <n v="9652"/>
    <x v="0"/>
  </r>
  <r>
    <n v="902"/>
    <x v="2"/>
    <x v="4"/>
    <x v="0"/>
    <n v="22339"/>
    <n v="-158"/>
    <x v="2"/>
  </r>
  <r>
    <n v="903"/>
    <x v="289"/>
    <x v="4"/>
    <x v="1"/>
    <n v="12604"/>
    <n v="3418"/>
    <x v="1"/>
  </r>
  <r>
    <n v="904"/>
    <x v="246"/>
    <x v="0"/>
    <x v="1"/>
    <n v="28565"/>
    <n v="1655"/>
    <x v="3"/>
  </r>
  <r>
    <n v="905"/>
    <x v="157"/>
    <x v="1"/>
    <x v="0"/>
    <n v="35686"/>
    <n v="223"/>
    <x v="2"/>
  </r>
  <r>
    <n v="906"/>
    <x v="144"/>
    <x v="1"/>
    <x v="1"/>
    <n v="24967"/>
    <n v="5286"/>
    <x v="1"/>
  </r>
  <r>
    <n v="907"/>
    <x v="78"/>
    <x v="3"/>
    <x v="1"/>
    <n v="37496"/>
    <n v="2565"/>
    <x v="3"/>
  </r>
  <r>
    <n v="908"/>
    <x v="190"/>
    <x v="0"/>
    <x v="0"/>
    <n v="43197"/>
    <n v="5423"/>
    <x v="2"/>
  </r>
  <r>
    <n v="909"/>
    <x v="147"/>
    <x v="4"/>
    <x v="1"/>
    <n v="10315"/>
    <n v="8133"/>
    <x v="2"/>
  </r>
  <r>
    <n v="910"/>
    <x v="200"/>
    <x v="2"/>
    <x v="1"/>
    <n v="39390"/>
    <n v="-403"/>
    <x v="0"/>
  </r>
  <r>
    <n v="911"/>
    <x v="111"/>
    <x v="4"/>
    <x v="1"/>
    <n v="1814"/>
    <n v="1866"/>
    <x v="2"/>
  </r>
  <r>
    <n v="912"/>
    <x v="250"/>
    <x v="1"/>
    <x v="0"/>
    <n v="6352"/>
    <n v="536"/>
    <x v="2"/>
  </r>
  <r>
    <n v="913"/>
    <x v="113"/>
    <x v="3"/>
    <x v="0"/>
    <n v="19548"/>
    <n v="672"/>
    <x v="3"/>
  </r>
  <r>
    <n v="914"/>
    <x v="196"/>
    <x v="4"/>
    <x v="0"/>
    <n v="29812"/>
    <n v="-1973"/>
    <x v="3"/>
  </r>
  <r>
    <n v="915"/>
    <x v="126"/>
    <x v="1"/>
    <x v="1"/>
    <n v="1216"/>
    <n v="3410"/>
    <x v="0"/>
  </r>
  <r>
    <n v="916"/>
    <x v="40"/>
    <x v="4"/>
    <x v="1"/>
    <n v="28235"/>
    <n v="5666"/>
    <x v="3"/>
  </r>
  <r>
    <n v="917"/>
    <x v="341"/>
    <x v="0"/>
    <x v="0"/>
    <n v="28735"/>
    <n v="-1021"/>
    <x v="0"/>
  </r>
  <r>
    <n v="918"/>
    <x v="131"/>
    <x v="2"/>
    <x v="1"/>
    <n v="25217"/>
    <n v="3669"/>
    <x v="2"/>
  </r>
  <r>
    <n v="919"/>
    <x v="222"/>
    <x v="1"/>
    <x v="1"/>
    <n v="18978"/>
    <n v="-1072"/>
    <x v="3"/>
  </r>
  <r>
    <n v="920"/>
    <x v="259"/>
    <x v="1"/>
    <x v="0"/>
    <n v="11890"/>
    <n v="577"/>
    <x v="2"/>
  </r>
  <r>
    <n v="921"/>
    <x v="249"/>
    <x v="0"/>
    <x v="1"/>
    <n v="25698"/>
    <n v="3284"/>
    <x v="0"/>
  </r>
  <r>
    <n v="922"/>
    <x v="342"/>
    <x v="3"/>
    <x v="1"/>
    <n v="39739"/>
    <n v="6050"/>
    <x v="3"/>
  </r>
  <r>
    <n v="923"/>
    <x v="157"/>
    <x v="1"/>
    <x v="0"/>
    <n v="37481"/>
    <n v="9095"/>
    <x v="0"/>
  </r>
  <r>
    <n v="924"/>
    <x v="92"/>
    <x v="4"/>
    <x v="1"/>
    <n v="34205"/>
    <n v="1287"/>
    <x v="3"/>
  </r>
  <r>
    <n v="925"/>
    <x v="133"/>
    <x v="3"/>
    <x v="1"/>
    <n v="6206"/>
    <n v="788"/>
    <x v="3"/>
  </r>
  <r>
    <n v="926"/>
    <x v="160"/>
    <x v="0"/>
    <x v="0"/>
    <n v="4801"/>
    <n v="215"/>
    <x v="1"/>
  </r>
  <r>
    <n v="927"/>
    <x v="60"/>
    <x v="1"/>
    <x v="1"/>
    <n v="35132"/>
    <n v="488"/>
    <x v="1"/>
  </r>
  <r>
    <n v="928"/>
    <x v="343"/>
    <x v="4"/>
    <x v="1"/>
    <n v="16171"/>
    <n v="9666"/>
    <x v="2"/>
  </r>
  <r>
    <n v="929"/>
    <x v="18"/>
    <x v="0"/>
    <x v="1"/>
    <n v="35556"/>
    <n v="328"/>
    <x v="3"/>
  </r>
  <r>
    <n v="930"/>
    <x v="186"/>
    <x v="3"/>
    <x v="0"/>
    <n v="26149"/>
    <n v="6780"/>
    <x v="2"/>
  </r>
  <r>
    <n v="931"/>
    <x v="122"/>
    <x v="2"/>
    <x v="0"/>
    <n v="8701"/>
    <n v="-254"/>
    <x v="2"/>
  </r>
  <r>
    <n v="932"/>
    <x v="209"/>
    <x v="0"/>
    <x v="0"/>
    <n v="33468"/>
    <n v="-1972"/>
    <x v="0"/>
  </r>
  <r>
    <n v="933"/>
    <x v="279"/>
    <x v="3"/>
    <x v="0"/>
    <n v="23788"/>
    <n v="9553"/>
    <x v="1"/>
  </r>
  <r>
    <n v="934"/>
    <x v="251"/>
    <x v="1"/>
    <x v="1"/>
    <n v="49319"/>
    <n v="4263"/>
    <x v="3"/>
  </r>
  <r>
    <n v="935"/>
    <x v="167"/>
    <x v="0"/>
    <x v="1"/>
    <n v="40609"/>
    <n v="6675"/>
    <x v="3"/>
  </r>
  <r>
    <n v="936"/>
    <x v="234"/>
    <x v="1"/>
    <x v="0"/>
    <n v="38347"/>
    <n v="6319"/>
    <x v="3"/>
  </r>
  <r>
    <n v="937"/>
    <x v="57"/>
    <x v="4"/>
    <x v="1"/>
    <n v="24030"/>
    <n v="5502"/>
    <x v="3"/>
  </r>
  <r>
    <n v="938"/>
    <x v="29"/>
    <x v="3"/>
    <x v="0"/>
    <n v="11748"/>
    <n v="8140"/>
    <x v="0"/>
  </r>
  <r>
    <n v="939"/>
    <x v="229"/>
    <x v="1"/>
    <x v="0"/>
    <n v="9288"/>
    <n v="3390"/>
    <x v="3"/>
  </r>
  <r>
    <n v="940"/>
    <x v="185"/>
    <x v="0"/>
    <x v="1"/>
    <n v="19303"/>
    <n v="-1160"/>
    <x v="2"/>
  </r>
  <r>
    <n v="941"/>
    <x v="344"/>
    <x v="0"/>
    <x v="1"/>
    <n v="2549"/>
    <n v="8707"/>
    <x v="0"/>
  </r>
  <r>
    <n v="942"/>
    <x v="275"/>
    <x v="0"/>
    <x v="0"/>
    <n v="37522"/>
    <n v="1232"/>
    <x v="1"/>
  </r>
  <r>
    <n v="943"/>
    <x v="201"/>
    <x v="2"/>
    <x v="1"/>
    <n v="9690"/>
    <n v="7824"/>
    <x v="2"/>
  </r>
  <r>
    <n v="944"/>
    <x v="80"/>
    <x v="2"/>
    <x v="0"/>
    <n v="635"/>
    <n v="9952"/>
    <x v="2"/>
  </r>
  <r>
    <n v="945"/>
    <x v="46"/>
    <x v="3"/>
    <x v="0"/>
    <n v="31566"/>
    <n v="5658"/>
    <x v="0"/>
  </r>
  <r>
    <n v="946"/>
    <x v="315"/>
    <x v="3"/>
    <x v="0"/>
    <n v="46217"/>
    <n v="8689"/>
    <x v="1"/>
  </r>
  <r>
    <n v="947"/>
    <x v="103"/>
    <x v="2"/>
    <x v="0"/>
    <n v="21761"/>
    <n v="9662"/>
    <x v="2"/>
  </r>
  <r>
    <n v="948"/>
    <x v="329"/>
    <x v="2"/>
    <x v="0"/>
    <n v="28649"/>
    <n v="7763"/>
    <x v="3"/>
  </r>
  <r>
    <n v="949"/>
    <x v="91"/>
    <x v="1"/>
    <x v="1"/>
    <n v="21568"/>
    <n v="3904"/>
    <x v="1"/>
  </r>
  <r>
    <n v="950"/>
    <x v="203"/>
    <x v="0"/>
    <x v="1"/>
    <n v="13673"/>
    <n v="392"/>
    <x v="2"/>
  </r>
  <r>
    <n v="951"/>
    <x v="304"/>
    <x v="0"/>
    <x v="1"/>
    <n v="22058"/>
    <n v="3482"/>
    <x v="1"/>
  </r>
  <r>
    <n v="952"/>
    <x v="39"/>
    <x v="0"/>
    <x v="1"/>
    <n v="15986"/>
    <n v="1189"/>
    <x v="1"/>
  </r>
  <r>
    <n v="953"/>
    <x v="97"/>
    <x v="2"/>
    <x v="0"/>
    <n v="26639"/>
    <n v="-1681"/>
    <x v="3"/>
  </r>
  <r>
    <n v="954"/>
    <x v="246"/>
    <x v="1"/>
    <x v="0"/>
    <n v="43735"/>
    <n v="4057"/>
    <x v="2"/>
  </r>
  <r>
    <n v="955"/>
    <x v="266"/>
    <x v="2"/>
    <x v="1"/>
    <n v="14648"/>
    <n v="3857"/>
    <x v="0"/>
  </r>
  <r>
    <n v="956"/>
    <x v="111"/>
    <x v="1"/>
    <x v="0"/>
    <n v="45056"/>
    <n v="9652"/>
    <x v="3"/>
  </r>
  <r>
    <n v="957"/>
    <x v="54"/>
    <x v="4"/>
    <x v="1"/>
    <n v="8389"/>
    <n v="2342"/>
    <x v="0"/>
  </r>
  <r>
    <n v="958"/>
    <x v="265"/>
    <x v="1"/>
    <x v="1"/>
    <n v="25436"/>
    <n v="2501"/>
    <x v="1"/>
  </r>
  <r>
    <n v="959"/>
    <x v="208"/>
    <x v="3"/>
    <x v="1"/>
    <n v="40902"/>
    <n v="8470"/>
    <x v="0"/>
  </r>
  <r>
    <n v="960"/>
    <x v="323"/>
    <x v="2"/>
    <x v="1"/>
    <n v="40750"/>
    <n v="8974"/>
    <x v="0"/>
  </r>
  <r>
    <n v="961"/>
    <x v="94"/>
    <x v="4"/>
    <x v="1"/>
    <n v="26607"/>
    <n v="6905"/>
    <x v="0"/>
  </r>
  <r>
    <n v="962"/>
    <x v="23"/>
    <x v="1"/>
    <x v="0"/>
    <n v="19785"/>
    <n v="7872"/>
    <x v="3"/>
  </r>
  <r>
    <n v="963"/>
    <x v="56"/>
    <x v="3"/>
    <x v="1"/>
    <n v="39678"/>
    <n v="-1871"/>
    <x v="0"/>
  </r>
  <r>
    <n v="964"/>
    <x v="31"/>
    <x v="1"/>
    <x v="1"/>
    <n v="42006"/>
    <n v="6756"/>
    <x v="1"/>
  </r>
  <r>
    <n v="965"/>
    <x v="264"/>
    <x v="1"/>
    <x v="1"/>
    <n v="46023"/>
    <n v="1939"/>
    <x v="3"/>
  </r>
  <r>
    <n v="966"/>
    <x v="157"/>
    <x v="4"/>
    <x v="0"/>
    <n v="11166"/>
    <n v="4543"/>
    <x v="3"/>
  </r>
  <r>
    <n v="967"/>
    <x v="114"/>
    <x v="1"/>
    <x v="1"/>
    <n v="3824"/>
    <n v="5419"/>
    <x v="0"/>
  </r>
  <r>
    <n v="968"/>
    <x v="147"/>
    <x v="1"/>
    <x v="0"/>
    <n v="12069"/>
    <n v="3565"/>
    <x v="0"/>
  </r>
  <r>
    <n v="969"/>
    <x v="6"/>
    <x v="4"/>
    <x v="1"/>
    <n v="26140"/>
    <n v="7386"/>
    <x v="0"/>
  </r>
  <r>
    <n v="970"/>
    <x v="255"/>
    <x v="2"/>
    <x v="0"/>
    <n v="42170"/>
    <n v="3975"/>
    <x v="3"/>
  </r>
  <r>
    <n v="971"/>
    <x v="201"/>
    <x v="0"/>
    <x v="0"/>
    <n v="14801"/>
    <n v="4274"/>
    <x v="3"/>
  </r>
  <r>
    <n v="972"/>
    <x v="165"/>
    <x v="3"/>
    <x v="1"/>
    <n v="26851"/>
    <n v="-1889"/>
    <x v="2"/>
  </r>
  <r>
    <n v="973"/>
    <x v="283"/>
    <x v="1"/>
    <x v="0"/>
    <n v="33442"/>
    <n v="7462"/>
    <x v="0"/>
  </r>
  <r>
    <n v="974"/>
    <x v="158"/>
    <x v="1"/>
    <x v="1"/>
    <n v="4717"/>
    <n v="5225"/>
    <x v="0"/>
  </r>
  <r>
    <n v="975"/>
    <x v="204"/>
    <x v="2"/>
    <x v="0"/>
    <n v="25368"/>
    <n v="7920"/>
    <x v="3"/>
  </r>
  <r>
    <n v="976"/>
    <x v="31"/>
    <x v="1"/>
    <x v="1"/>
    <n v="32565"/>
    <n v="6248"/>
    <x v="3"/>
  </r>
  <r>
    <n v="977"/>
    <x v="274"/>
    <x v="4"/>
    <x v="0"/>
    <n v="28187"/>
    <n v="4362"/>
    <x v="2"/>
  </r>
  <r>
    <n v="978"/>
    <x v="338"/>
    <x v="4"/>
    <x v="0"/>
    <n v="8647"/>
    <n v="7217"/>
    <x v="0"/>
  </r>
  <r>
    <n v="979"/>
    <x v="36"/>
    <x v="2"/>
    <x v="0"/>
    <n v="42774"/>
    <n v="-1159"/>
    <x v="2"/>
  </r>
  <r>
    <n v="980"/>
    <x v="219"/>
    <x v="1"/>
    <x v="0"/>
    <n v="6061"/>
    <n v="-766"/>
    <x v="3"/>
  </r>
  <r>
    <n v="981"/>
    <x v="345"/>
    <x v="1"/>
    <x v="0"/>
    <n v="45265"/>
    <n v="7830"/>
    <x v="3"/>
  </r>
  <r>
    <n v="982"/>
    <x v="289"/>
    <x v="1"/>
    <x v="1"/>
    <n v="49742"/>
    <n v="6476"/>
    <x v="0"/>
  </r>
  <r>
    <n v="983"/>
    <x v="137"/>
    <x v="1"/>
    <x v="0"/>
    <n v="42276"/>
    <n v="8638"/>
    <x v="1"/>
  </r>
  <r>
    <n v="984"/>
    <x v="281"/>
    <x v="2"/>
    <x v="1"/>
    <n v="4847"/>
    <n v="720"/>
    <x v="0"/>
  </r>
  <r>
    <n v="985"/>
    <x v="346"/>
    <x v="4"/>
    <x v="1"/>
    <n v="24647"/>
    <n v="-1282"/>
    <x v="3"/>
  </r>
  <r>
    <n v="986"/>
    <x v="239"/>
    <x v="1"/>
    <x v="0"/>
    <n v="27738"/>
    <n v="4241"/>
    <x v="1"/>
  </r>
  <r>
    <n v="987"/>
    <x v="271"/>
    <x v="2"/>
    <x v="1"/>
    <n v="21057"/>
    <n v="3809"/>
    <x v="1"/>
  </r>
  <r>
    <n v="988"/>
    <x v="197"/>
    <x v="3"/>
    <x v="0"/>
    <n v="30745"/>
    <n v="-600"/>
    <x v="1"/>
  </r>
  <r>
    <n v="989"/>
    <x v="331"/>
    <x v="1"/>
    <x v="0"/>
    <n v="16534"/>
    <n v="-276"/>
    <x v="2"/>
  </r>
  <r>
    <n v="990"/>
    <x v="170"/>
    <x v="2"/>
    <x v="0"/>
    <n v="25172"/>
    <n v="7147"/>
    <x v="3"/>
  </r>
  <r>
    <n v="991"/>
    <x v="111"/>
    <x v="4"/>
    <x v="0"/>
    <n v="7817"/>
    <n v="6094"/>
    <x v="3"/>
  </r>
  <r>
    <n v="992"/>
    <x v="196"/>
    <x v="2"/>
    <x v="0"/>
    <n v="41138"/>
    <n v="8176"/>
    <x v="2"/>
  </r>
  <r>
    <n v="993"/>
    <x v="25"/>
    <x v="1"/>
    <x v="1"/>
    <n v="3069"/>
    <n v="9668"/>
    <x v="3"/>
  </r>
  <r>
    <n v="994"/>
    <x v="85"/>
    <x v="4"/>
    <x v="1"/>
    <n v="28002"/>
    <n v="1476"/>
    <x v="0"/>
  </r>
  <r>
    <n v="995"/>
    <x v="168"/>
    <x v="0"/>
    <x v="0"/>
    <n v="26384"/>
    <n v="6951"/>
    <x v="0"/>
  </r>
  <r>
    <n v="996"/>
    <x v="330"/>
    <x v="2"/>
    <x v="1"/>
    <n v="34547"/>
    <n v="-974"/>
    <x v="0"/>
  </r>
  <r>
    <n v="997"/>
    <x v="80"/>
    <x v="1"/>
    <x v="1"/>
    <n v="29608"/>
    <n v="1602"/>
    <x v="1"/>
  </r>
  <r>
    <n v="998"/>
    <x v="278"/>
    <x v="2"/>
    <x v="0"/>
    <n v="40699"/>
    <n v="2000"/>
    <x v="3"/>
  </r>
  <r>
    <n v="999"/>
    <x v="347"/>
    <x v="3"/>
    <x v="0"/>
    <n v="36088"/>
    <n v="-1048"/>
    <x v="0"/>
  </r>
  <r>
    <n v="1000"/>
    <x v="80"/>
    <x v="1"/>
    <x v="0"/>
    <n v="32309"/>
    <n v="196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DB0382-98DB-4A13-87A8-B846FF17917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O29:P32" firstHeaderRow="1" firstDataRow="1" firstDataCol="1"/>
  <pivotFields count="9">
    <pivotField showAll="0"/>
    <pivotField showAll="0">
      <items count="349">
        <item x="107"/>
        <item x="192"/>
        <item x="96"/>
        <item x="90"/>
        <item x="287"/>
        <item x="272"/>
        <item x="93"/>
        <item x="122"/>
        <item x="50"/>
        <item x="91"/>
        <item x="182"/>
        <item x="301"/>
        <item x="277"/>
        <item x="98"/>
        <item x="27"/>
        <item x="276"/>
        <item x="142"/>
        <item x="117"/>
        <item x="303"/>
        <item x="38"/>
        <item x="95"/>
        <item x="20"/>
        <item x="36"/>
        <item x="201"/>
        <item x="45"/>
        <item x="161"/>
        <item x="173"/>
        <item x="321"/>
        <item x="151"/>
        <item x="250"/>
        <item x="298"/>
        <item x="11"/>
        <item x="170"/>
        <item x="115"/>
        <item x="52"/>
        <item x="193"/>
        <item x="97"/>
        <item x="266"/>
        <item x="176"/>
        <item x="72"/>
        <item x="144"/>
        <item x="101"/>
        <item x="310"/>
        <item x="219"/>
        <item x="254"/>
        <item x="157"/>
        <item x="249"/>
        <item x="123"/>
        <item x="333"/>
        <item x="245"/>
        <item x="343"/>
        <item x="246"/>
        <item x="172"/>
        <item x="323"/>
        <item x="106"/>
        <item x="85"/>
        <item x="74"/>
        <item x="344"/>
        <item x="248"/>
        <item x="40"/>
        <item x="14"/>
        <item x="198"/>
        <item x="118"/>
        <item x="137"/>
        <item x="92"/>
        <item x="283"/>
        <item x="31"/>
        <item x="19"/>
        <item x="211"/>
        <item x="314"/>
        <item x="221"/>
        <item x="139"/>
        <item x="136"/>
        <item x="209"/>
        <item x="109"/>
        <item x="17"/>
        <item x="185"/>
        <item x="207"/>
        <item x="281"/>
        <item x="166"/>
        <item x="84"/>
        <item x="128"/>
        <item x="227"/>
        <item x="57"/>
        <item x="204"/>
        <item x="81"/>
        <item x="78"/>
        <item x="191"/>
        <item x="24"/>
        <item x="202"/>
        <item x="143"/>
        <item x="234"/>
        <item x="165"/>
        <item x="225"/>
        <item x="259"/>
        <item x="322"/>
        <item x="160"/>
        <item x="243"/>
        <item x="251"/>
        <item x="83"/>
        <item x="102"/>
        <item x="338"/>
        <item x="236"/>
        <item x="260"/>
        <item x="216"/>
        <item x="269"/>
        <item x="239"/>
        <item x="206"/>
        <item x="100"/>
        <item x="217"/>
        <item x="145"/>
        <item x="327"/>
        <item x="129"/>
        <item x="320"/>
        <item x="37"/>
        <item x="197"/>
        <item x="302"/>
        <item x="103"/>
        <item x="186"/>
        <item x="67"/>
        <item x="6"/>
        <item x="77"/>
        <item x="229"/>
        <item x="94"/>
        <item x="68"/>
        <item x="253"/>
        <item x="9"/>
        <item x="71"/>
        <item x="331"/>
        <item x="231"/>
        <item x="285"/>
        <item x="60"/>
        <item x="141"/>
        <item x="162"/>
        <item x="64"/>
        <item x="263"/>
        <item x="247"/>
        <item x="305"/>
        <item x="76"/>
        <item x="195"/>
        <item x="167"/>
        <item x="15"/>
        <item x="131"/>
        <item x="150"/>
        <item x="119"/>
        <item x="75"/>
        <item x="163"/>
        <item x="132"/>
        <item x="65"/>
        <item x="238"/>
        <item x="148"/>
        <item x="2"/>
        <item x="274"/>
        <item x="330"/>
        <item x="224"/>
        <item x="55"/>
        <item x="46"/>
        <item x="300"/>
        <item x="332"/>
        <item x="189"/>
        <item x="70"/>
        <item x="82"/>
        <item x="61"/>
        <item x="25"/>
        <item x="183"/>
        <item x="10"/>
        <item x="29"/>
        <item x="326"/>
        <item x="286"/>
        <item x="214"/>
        <item x="35"/>
        <item x="112"/>
        <item x="223"/>
        <item x="175"/>
        <item x="268"/>
        <item x="291"/>
        <item x="294"/>
        <item x="104"/>
        <item x="339"/>
        <item x="116"/>
        <item x="4"/>
        <item x="171"/>
        <item x="177"/>
        <item x="111"/>
        <item x="325"/>
        <item x="297"/>
        <item x="126"/>
        <item x="187"/>
        <item x="255"/>
        <item x="154"/>
        <item x="133"/>
        <item x="340"/>
        <item x="240"/>
        <item x="290"/>
        <item x="345"/>
        <item x="47"/>
        <item x="121"/>
        <item x="108"/>
        <item x="54"/>
        <item x="32"/>
        <item x="280"/>
        <item x="110"/>
        <item x="218"/>
        <item x="53"/>
        <item x="41"/>
        <item x="296"/>
        <item x="329"/>
        <item x="212"/>
        <item x="156"/>
        <item x="230"/>
        <item x="58"/>
        <item x="79"/>
        <item x="152"/>
        <item x="149"/>
        <item x="222"/>
        <item x="337"/>
        <item x="164"/>
        <item x="328"/>
        <item x="241"/>
        <item x="288"/>
        <item x="271"/>
        <item x="334"/>
        <item x="278"/>
        <item x="252"/>
        <item x="181"/>
        <item x="146"/>
        <item x="66"/>
        <item x="299"/>
        <item x="89"/>
        <item x="34"/>
        <item x="28"/>
        <item x="30"/>
        <item x="140"/>
        <item x="307"/>
        <item x="292"/>
        <item x="178"/>
        <item x="309"/>
        <item x="113"/>
        <item x="184"/>
        <item x="347"/>
        <item x="130"/>
        <item x="279"/>
        <item x="237"/>
        <item x="168"/>
        <item x="242"/>
        <item x="275"/>
        <item x="86"/>
        <item x="341"/>
        <item x="8"/>
        <item x="135"/>
        <item x="153"/>
        <item x="69"/>
        <item x="49"/>
        <item x="63"/>
        <item x="336"/>
        <item x="273"/>
        <item x="174"/>
        <item x="210"/>
        <item x="319"/>
        <item x="88"/>
        <item x="147"/>
        <item x="308"/>
        <item x="257"/>
        <item x="43"/>
        <item x="335"/>
        <item x="282"/>
        <item x="23"/>
        <item x="7"/>
        <item x="12"/>
        <item x="265"/>
        <item x="51"/>
        <item x="256"/>
        <item x="48"/>
        <item x="244"/>
        <item x="194"/>
        <item x="188"/>
        <item x="18"/>
        <item x="293"/>
        <item x="125"/>
        <item x="315"/>
        <item x="42"/>
        <item x="26"/>
        <item x="190"/>
        <item x="318"/>
        <item x="213"/>
        <item x="342"/>
        <item x="311"/>
        <item x="134"/>
        <item x="267"/>
        <item x="232"/>
        <item x="306"/>
        <item x="270"/>
        <item x="159"/>
        <item x="158"/>
        <item x="228"/>
        <item x="220"/>
        <item x="289"/>
        <item x="62"/>
        <item x="33"/>
        <item x="208"/>
        <item x="1"/>
        <item x="324"/>
        <item x="22"/>
        <item x="59"/>
        <item x="180"/>
        <item x="44"/>
        <item x="169"/>
        <item x="346"/>
        <item x="124"/>
        <item x="203"/>
        <item x="313"/>
        <item x="304"/>
        <item x="215"/>
        <item x="99"/>
        <item x="138"/>
        <item x="258"/>
        <item x="262"/>
        <item x="5"/>
        <item x="200"/>
        <item x="284"/>
        <item x="120"/>
        <item x="16"/>
        <item x="199"/>
        <item x="80"/>
        <item x="312"/>
        <item x="316"/>
        <item x="73"/>
        <item x="39"/>
        <item x="56"/>
        <item x="105"/>
        <item x="235"/>
        <item x="13"/>
        <item x="155"/>
        <item x="127"/>
        <item x="3"/>
        <item x="0"/>
        <item x="179"/>
        <item x="196"/>
        <item x="21"/>
        <item x="317"/>
        <item x="261"/>
        <item x="87"/>
        <item x="233"/>
        <item x="205"/>
        <item x="295"/>
        <item x="264"/>
        <item x="114"/>
        <item x="226"/>
        <item t="default"/>
      </items>
    </pivotField>
    <pivotField showAll="0"/>
    <pivotField axis="axisRow" showAll="0">
      <items count="3">
        <item x="1"/>
        <item x="0"/>
        <item t="default"/>
      </items>
    </pivotField>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3">
    <i>
      <x/>
    </i>
    <i>
      <x v="1"/>
    </i>
    <i t="grand">
      <x/>
    </i>
  </rowItems>
  <colItems count="1">
    <i/>
  </colItems>
  <dataFields count="1">
    <dataField name="Sum of Sales" fld="4" baseField="0" baseItem="0"/>
  </dataFields>
  <chartFormats count="4">
    <chartFormat chart="9"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3" count="1" selected="0">
            <x v="1"/>
          </reference>
        </references>
      </pivotArea>
    </chartFormat>
    <chartFormat chart="15" format="4">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A4A79F-B4FC-46C4-8C30-7B1DCAEAF29A}"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I3:K8" firstHeaderRow="0" firstDataRow="1" firstDataCol="1"/>
  <pivotFields count="9">
    <pivotField showAll="0"/>
    <pivotField showAll="0">
      <items count="349">
        <item x="107"/>
        <item x="192"/>
        <item x="96"/>
        <item x="90"/>
        <item x="287"/>
        <item x="272"/>
        <item x="93"/>
        <item x="122"/>
        <item x="50"/>
        <item x="91"/>
        <item x="182"/>
        <item x="301"/>
        <item x="277"/>
        <item x="98"/>
        <item x="27"/>
        <item x="276"/>
        <item x="142"/>
        <item x="117"/>
        <item x="303"/>
        <item x="38"/>
        <item x="95"/>
        <item x="20"/>
        <item x="36"/>
        <item x="201"/>
        <item x="45"/>
        <item x="161"/>
        <item x="173"/>
        <item x="321"/>
        <item x="151"/>
        <item x="250"/>
        <item x="298"/>
        <item x="11"/>
        <item x="170"/>
        <item x="115"/>
        <item x="52"/>
        <item x="193"/>
        <item x="97"/>
        <item x="266"/>
        <item x="176"/>
        <item x="72"/>
        <item x="144"/>
        <item x="101"/>
        <item x="310"/>
        <item x="219"/>
        <item x="254"/>
        <item x="157"/>
        <item x="249"/>
        <item x="123"/>
        <item x="333"/>
        <item x="245"/>
        <item x="343"/>
        <item x="246"/>
        <item x="172"/>
        <item x="323"/>
        <item x="106"/>
        <item x="85"/>
        <item x="74"/>
        <item x="344"/>
        <item x="248"/>
        <item x="40"/>
        <item x="14"/>
        <item x="198"/>
        <item x="118"/>
        <item x="137"/>
        <item x="92"/>
        <item x="283"/>
        <item x="31"/>
        <item x="19"/>
        <item x="211"/>
        <item x="314"/>
        <item x="221"/>
        <item x="139"/>
        <item x="136"/>
        <item x="209"/>
        <item x="109"/>
        <item x="17"/>
        <item x="185"/>
        <item x="207"/>
        <item x="281"/>
        <item x="166"/>
        <item x="84"/>
        <item x="128"/>
        <item x="227"/>
        <item x="57"/>
        <item x="204"/>
        <item x="81"/>
        <item x="78"/>
        <item x="191"/>
        <item x="24"/>
        <item x="202"/>
        <item x="143"/>
        <item x="234"/>
        <item x="165"/>
        <item x="225"/>
        <item x="259"/>
        <item x="322"/>
        <item x="160"/>
        <item x="243"/>
        <item x="251"/>
        <item x="83"/>
        <item x="102"/>
        <item x="338"/>
        <item x="236"/>
        <item x="260"/>
        <item x="216"/>
        <item x="269"/>
        <item x="239"/>
        <item x="206"/>
        <item x="100"/>
        <item x="217"/>
        <item x="145"/>
        <item x="327"/>
        <item x="129"/>
        <item x="320"/>
        <item x="37"/>
        <item x="197"/>
        <item x="302"/>
        <item x="103"/>
        <item x="186"/>
        <item x="67"/>
        <item x="6"/>
        <item x="77"/>
        <item x="229"/>
        <item x="94"/>
        <item x="68"/>
        <item x="253"/>
        <item x="9"/>
        <item x="71"/>
        <item x="331"/>
        <item x="231"/>
        <item x="285"/>
        <item x="60"/>
        <item x="141"/>
        <item x="162"/>
        <item x="64"/>
        <item x="263"/>
        <item x="247"/>
        <item x="305"/>
        <item x="76"/>
        <item x="195"/>
        <item x="167"/>
        <item x="15"/>
        <item x="131"/>
        <item x="150"/>
        <item x="119"/>
        <item x="75"/>
        <item x="163"/>
        <item x="132"/>
        <item x="65"/>
        <item x="238"/>
        <item x="148"/>
        <item x="2"/>
        <item x="274"/>
        <item x="330"/>
        <item x="224"/>
        <item x="55"/>
        <item x="46"/>
        <item x="300"/>
        <item x="332"/>
        <item x="189"/>
        <item x="70"/>
        <item x="82"/>
        <item x="61"/>
        <item x="25"/>
        <item x="183"/>
        <item x="10"/>
        <item x="29"/>
        <item x="326"/>
        <item x="286"/>
        <item x="214"/>
        <item x="35"/>
        <item x="112"/>
        <item x="223"/>
        <item x="175"/>
        <item x="268"/>
        <item x="291"/>
        <item x="294"/>
        <item x="104"/>
        <item x="339"/>
        <item x="116"/>
        <item x="4"/>
        <item x="171"/>
        <item x="177"/>
        <item x="111"/>
        <item x="325"/>
        <item x="297"/>
        <item x="126"/>
        <item x="187"/>
        <item x="255"/>
        <item x="154"/>
        <item x="133"/>
        <item x="340"/>
        <item x="240"/>
        <item x="290"/>
        <item x="345"/>
        <item x="47"/>
        <item x="121"/>
        <item x="108"/>
        <item x="54"/>
        <item x="32"/>
        <item x="280"/>
        <item x="110"/>
        <item x="218"/>
        <item x="53"/>
        <item x="41"/>
        <item x="296"/>
        <item x="329"/>
        <item x="212"/>
        <item x="156"/>
        <item x="230"/>
        <item x="58"/>
        <item x="79"/>
        <item x="152"/>
        <item x="149"/>
        <item x="222"/>
        <item x="337"/>
        <item x="164"/>
        <item x="328"/>
        <item x="241"/>
        <item x="288"/>
        <item x="271"/>
        <item x="334"/>
        <item x="278"/>
        <item x="252"/>
        <item x="181"/>
        <item x="146"/>
        <item x="66"/>
        <item x="299"/>
        <item x="89"/>
        <item x="34"/>
        <item x="28"/>
        <item x="30"/>
        <item x="140"/>
        <item x="307"/>
        <item x="292"/>
        <item x="178"/>
        <item x="309"/>
        <item x="113"/>
        <item x="184"/>
        <item x="347"/>
        <item x="130"/>
        <item x="279"/>
        <item x="237"/>
        <item x="168"/>
        <item x="242"/>
        <item x="275"/>
        <item x="86"/>
        <item x="341"/>
        <item x="8"/>
        <item x="135"/>
        <item x="153"/>
        <item x="69"/>
        <item x="49"/>
        <item x="63"/>
        <item x="336"/>
        <item x="273"/>
        <item x="174"/>
        <item x="210"/>
        <item x="319"/>
        <item x="88"/>
        <item x="147"/>
        <item x="308"/>
        <item x="257"/>
        <item x="43"/>
        <item x="335"/>
        <item x="282"/>
        <item x="23"/>
        <item x="7"/>
        <item x="12"/>
        <item x="265"/>
        <item x="51"/>
        <item x="256"/>
        <item x="48"/>
        <item x="244"/>
        <item x="194"/>
        <item x="188"/>
        <item x="18"/>
        <item x="293"/>
        <item x="125"/>
        <item x="315"/>
        <item x="42"/>
        <item x="26"/>
        <item x="190"/>
        <item x="318"/>
        <item x="213"/>
        <item x="342"/>
        <item x="311"/>
        <item x="134"/>
        <item x="267"/>
        <item x="232"/>
        <item x="306"/>
        <item x="270"/>
        <item x="159"/>
        <item x="158"/>
        <item x="228"/>
        <item x="220"/>
        <item x="289"/>
        <item x="62"/>
        <item x="33"/>
        <item x="208"/>
        <item x="1"/>
        <item x="324"/>
        <item x="22"/>
        <item x="59"/>
        <item x="180"/>
        <item x="44"/>
        <item x="169"/>
        <item x="346"/>
        <item x="124"/>
        <item x="203"/>
        <item x="313"/>
        <item x="304"/>
        <item x="215"/>
        <item x="99"/>
        <item x="138"/>
        <item x="258"/>
        <item x="262"/>
        <item x="5"/>
        <item x="200"/>
        <item x="284"/>
        <item x="120"/>
        <item x="16"/>
        <item x="199"/>
        <item x="80"/>
        <item x="312"/>
        <item x="316"/>
        <item x="73"/>
        <item x="39"/>
        <item x="56"/>
        <item x="105"/>
        <item x="235"/>
        <item x="13"/>
        <item x="155"/>
        <item x="127"/>
        <item x="3"/>
        <item x="0"/>
        <item x="179"/>
        <item x="196"/>
        <item x="21"/>
        <item x="317"/>
        <item x="261"/>
        <item x="87"/>
        <item x="233"/>
        <item x="205"/>
        <item x="295"/>
        <item x="264"/>
        <item x="114"/>
        <item x="226"/>
        <item t="default"/>
      </items>
    </pivotField>
    <pivotField axis="axisRow" showAll="0">
      <items count="6">
        <item x="2"/>
        <item sd="0" x="4"/>
        <item sd="0" x="1"/>
        <item sd="0" x="3"/>
        <item sd="0" x="0"/>
        <item t="default" sd="0"/>
      </items>
    </pivotField>
    <pivotField showAll="0">
      <items count="3">
        <item x="1"/>
        <item x="0"/>
        <item t="default"/>
      </items>
    </pivotField>
    <pivotField dataField="1"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x v="4"/>
    </i>
  </rowItems>
  <colFields count="1">
    <field x="-2"/>
  </colFields>
  <colItems count="2">
    <i>
      <x/>
    </i>
    <i i="1">
      <x v="1"/>
    </i>
  </colItems>
  <dataFields count="2">
    <dataField name="Sum of Sales" fld="4" baseField="0" baseItem="0"/>
    <dataField name="Sum of Profit" fld="5" baseField="0" baseItem="0"/>
  </dataFields>
  <chartFormats count="12">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 chart="19" format="6">
      <pivotArea type="data" outline="0" fieldPosition="0">
        <references count="2">
          <reference field="4294967294" count="1" selected="0">
            <x v="0"/>
          </reference>
          <reference field="2" count="1" selected="0">
            <x v="2"/>
          </reference>
        </references>
      </pivotArea>
    </chartFormat>
    <chartFormat chart="19" format="7">
      <pivotArea type="data" outline="0" fieldPosition="0">
        <references count="2">
          <reference field="4294967294" count="1" selected="0">
            <x v="0"/>
          </reference>
          <reference field="2" count="1" selected="0">
            <x v="1"/>
          </reference>
        </references>
      </pivotArea>
    </chartFormat>
    <chartFormat chart="19" format="8">
      <pivotArea type="data" outline="0" fieldPosition="0">
        <references count="2">
          <reference field="4294967294" count="1" selected="0">
            <x v="0"/>
          </reference>
          <reference field="2" count="1" selected="0">
            <x v="0"/>
          </reference>
        </references>
      </pivotArea>
    </chartFormat>
    <chartFormat chart="19" format="9">
      <pivotArea type="data" outline="0" fieldPosition="0">
        <references count="2">
          <reference field="4294967294" count="1" selected="0">
            <x v="0"/>
          </reference>
          <reference field="2" count="1" selected="0">
            <x v="3"/>
          </reference>
        </references>
      </pivotArea>
    </chartFormat>
    <chartFormat chart="19" format="10">
      <pivotArea type="data" outline="0" fieldPosition="0">
        <references count="2">
          <reference field="4294967294" count="1" selected="0">
            <x v="0"/>
          </reference>
          <reference field="2" count="1" selected="0">
            <x v="4"/>
          </reference>
        </references>
      </pivotArea>
    </chartFormat>
    <chartFormat chart="19" format="11">
      <pivotArea type="data" outline="0" fieldPosition="0">
        <references count="2">
          <reference field="4294967294" count="1" selected="0">
            <x v="1"/>
          </reference>
          <reference field="2" count="1" selected="0">
            <x v="1"/>
          </reference>
        </references>
      </pivotArea>
    </chartFormat>
    <chartFormat chart="19" format="12">
      <pivotArea type="data" outline="0" fieldPosition="0">
        <references count="2">
          <reference field="4294967294" count="1" selected="0">
            <x v="1"/>
          </reference>
          <reference field="2" count="1" selected="0">
            <x v="0"/>
          </reference>
        </references>
      </pivotArea>
    </chartFormat>
    <chartFormat chart="19" format="13">
      <pivotArea type="data" outline="0" fieldPosition="0">
        <references count="2">
          <reference field="4294967294" count="1" selected="0">
            <x v="1"/>
          </reference>
          <reference field="2" count="1" selected="0">
            <x v="2"/>
          </reference>
        </references>
      </pivotArea>
    </chartFormat>
    <chartFormat chart="19" format="14">
      <pivotArea type="data" outline="0" fieldPosition="0">
        <references count="2">
          <reference field="4294967294" count="1" selected="0">
            <x v="1"/>
          </reference>
          <reference field="2" count="1" selected="0">
            <x v="3"/>
          </reference>
        </references>
      </pivotArea>
    </chartFormat>
    <chartFormat chart="19" format="15">
      <pivotArea type="data" outline="0" fieldPosition="0">
        <references count="2">
          <reference field="4294967294" count="1" selected="0">
            <x v="1"/>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F230EF-AA74-421F-8F43-650B32E76A3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M23:N36" firstHeaderRow="1" firstDataRow="1" firstDataCol="1"/>
  <pivotFields count="9">
    <pivotField showAll="0"/>
    <pivotField numFmtId="14" showAll="0">
      <items count="349">
        <item x="107"/>
        <item x="192"/>
        <item x="96"/>
        <item x="90"/>
        <item x="287"/>
        <item x="272"/>
        <item x="93"/>
        <item x="122"/>
        <item x="50"/>
        <item x="91"/>
        <item x="182"/>
        <item x="301"/>
        <item x="277"/>
        <item x="98"/>
        <item x="27"/>
        <item x="276"/>
        <item x="142"/>
        <item x="117"/>
        <item x="303"/>
        <item x="38"/>
        <item x="95"/>
        <item x="20"/>
        <item x="36"/>
        <item x="201"/>
        <item x="45"/>
        <item x="161"/>
        <item x="173"/>
        <item x="321"/>
        <item x="151"/>
        <item x="250"/>
        <item x="298"/>
        <item x="11"/>
        <item x="170"/>
        <item x="115"/>
        <item x="52"/>
        <item x="193"/>
        <item x="97"/>
        <item x="266"/>
        <item x="176"/>
        <item x="72"/>
        <item x="144"/>
        <item x="101"/>
        <item x="310"/>
        <item x="219"/>
        <item x="254"/>
        <item x="157"/>
        <item x="249"/>
        <item x="123"/>
        <item x="333"/>
        <item x="245"/>
        <item x="343"/>
        <item x="246"/>
        <item x="172"/>
        <item x="323"/>
        <item x="106"/>
        <item x="85"/>
        <item x="74"/>
        <item x="344"/>
        <item x="248"/>
        <item x="40"/>
        <item x="14"/>
        <item x="198"/>
        <item x="118"/>
        <item x="137"/>
        <item x="92"/>
        <item x="283"/>
        <item x="31"/>
        <item x="19"/>
        <item x="211"/>
        <item x="314"/>
        <item x="221"/>
        <item x="139"/>
        <item x="136"/>
        <item x="209"/>
        <item x="109"/>
        <item x="17"/>
        <item x="185"/>
        <item x="207"/>
        <item x="281"/>
        <item x="166"/>
        <item x="84"/>
        <item x="128"/>
        <item x="227"/>
        <item x="57"/>
        <item x="204"/>
        <item x="81"/>
        <item x="78"/>
        <item x="191"/>
        <item x="24"/>
        <item x="202"/>
        <item x="143"/>
        <item x="234"/>
        <item x="165"/>
        <item x="225"/>
        <item x="259"/>
        <item x="322"/>
        <item x="160"/>
        <item x="243"/>
        <item x="251"/>
        <item x="83"/>
        <item x="102"/>
        <item x="338"/>
        <item x="236"/>
        <item x="260"/>
        <item x="216"/>
        <item x="269"/>
        <item x="239"/>
        <item x="206"/>
        <item x="100"/>
        <item x="217"/>
        <item x="145"/>
        <item x="327"/>
        <item x="129"/>
        <item x="320"/>
        <item x="37"/>
        <item x="197"/>
        <item x="302"/>
        <item x="103"/>
        <item x="186"/>
        <item x="67"/>
        <item x="6"/>
        <item x="77"/>
        <item x="229"/>
        <item x="94"/>
        <item x="68"/>
        <item x="253"/>
        <item x="9"/>
        <item x="71"/>
        <item x="331"/>
        <item x="231"/>
        <item x="285"/>
        <item x="60"/>
        <item x="141"/>
        <item x="162"/>
        <item x="64"/>
        <item x="263"/>
        <item x="247"/>
        <item x="305"/>
        <item x="76"/>
        <item x="195"/>
        <item x="167"/>
        <item x="15"/>
        <item x="131"/>
        <item x="150"/>
        <item x="119"/>
        <item x="75"/>
        <item x="163"/>
        <item x="132"/>
        <item x="65"/>
        <item x="238"/>
        <item x="148"/>
        <item x="2"/>
        <item x="274"/>
        <item x="330"/>
        <item x="224"/>
        <item x="55"/>
        <item x="46"/>
        <item x="300"/>
        <item x="332"/>
        <item x="189"/>
        <item x="70"/>
        <item x="82"/>
        <item x="61"/>
        <item x="25"/>
        <item x="183"/>
        <item x="10"/>
        <item x="29"/>
        <item x="326"/>
        <item x="286"/>
        <item x="214"/>
        <item x="35"/>
        <item x="112"/>
        <item x="223"/>
        <item x="175"/>
        <item x="268"/>
        <item x="291"/>
        <item x="294"/>
        <item x="104"/>
        <item x="339"/>
        <item x="116"/>
        <item x="4"/>
        <item x="171"/>
        <item x="177"/>
        <item x="111"/>
        <item x="325"/>
        <item x="297"/>
        <item x="126"/>
        <item x="187"/>
        <item x="255"/>
        <item x="154"/>
        <item x="133"/>
        <item x="340"/>
        <item x="240"/>
        <item x="290"/>
        <item x="345"/>
        <item x="47"/>
        <item x="121"/>
        <item x="108"/>
        <item x="54"/>
        <item x="32"/>
        <item x="280"/>
        <item x="110"/>
        <item x="218"/>
        <item x="53"/>
        <item x="41"/>
        <item x="296"/>
        <item x="329"/>
        <item x="212"/>
        <item x="156"/>
        <item x="230"/>
        <item x="58"/>
        <item x="79"/>
        <item x="152"/>
        <item x="149"/>
        <item x="222"/>
        <item x="337"/>
        <item x="164"/>
        <item x="328"/>
        <item x="241"/>
        <item x="288"/>
        <item x="271"/>
        <item x="334"/>
        <item x="278"/>
        <item x="252"/>
        <item x="181"/>
        <item x="146"/>
        <item x="66"/>
        <item x="299"/>
        <item x="89"/>
        <item x="34"/>
        <item x="28"/>
        <item x="30"/>
        <item x="140"/>
        <item x="307"/>
        <item x="292"/>
        <item x="178"/>
        <item x="309"/>
        <item x="113"/>
        <item x="184"/>
        <item x="347"/>
        <item x="130"/>
        <item x="279"/>
        <item x="237"/>
        <item x="168"/>
        <item x="242"/>
        <item x="275"/>
        <item x="86"/>
        <item x="341"/>
        <item x="8"/>
        <item x="135"/>
        <item x="153"/>
        <item x="69"/>
        <item x="49"/>
        <item x="63"/>
        <item x="336"/>
        <item x="273"/>
        <item x="174"/>
        <item x="210"/>
        <item x="319"/>
        <item x="88"/>
        <item x="147"/>
        <item x="308"/>
        <item x="257"/>
        <item x="43"/>
        <item x="335"/>
        <item x="282"/>
        <item x="23"/>
        <item x="7"/>
        <item x="12"/>
        <item x="265"/>
        <item x="51"/>
        <item x="256"/>
        <item x="48"/>
        <item x="244"/>
        <item x="194"/>
        <item x="188"/>
        <item x="18"/>
        <item x="293"/>
        <item x="125"/>
        <item x="315"/>
        <item x="42"/>
        <item x="26"/>
        <item x="190"/>
        <item x="318"/>
        <item x="213"/>
        <item x="342"/>
        <item x="311"/>
        <item x="134"/>
        <item x="267"/>
        <item x="232"/>
        <item x="306"/>
        <item x="270"/>
        <item x="159"/>
        <item x="158"/>
        <item x="228"/>
        <item x="220"/>
        <item x="289"/>
        <item x="62"/>
        <item x="33"/>
        <item x="208"/>
        <item x="1"/>
        <item x="324"/>
        <item x="22"/>
        <item x="59"/>
        <item x="180"/>
        <item x="44"/>
        <item x="169"/>
        <item x="346"/>
        <item x="124"/>
        <item x="203"/>
        <item x="313"/>
        <item x="304"/>
        <item x="215"/>
        <item x="99"/>
        <item x="138"/>
        <item x="258"/>
        <item x="262"/>
        <item x="5"/>
        <item x="200"/>
        <item x="284"/>
        <item x="120"/>
        <item x="16"/>
        <item x="199"/>
        <item x="80"/>
        <item x="312"/>
        <item x="316"/>
        <item x="73"/>
        <item x="39"/>
        <item x="56"/>
        <item x="105"/>
        <item x="235"/>
        <item x="13"/>
        <item x="155"/>
        <item x="127"/>
        <item x="3"/>
        <item x="0"/>
        <item x="179"/>
        <item x="196"/>
        <item x="21"/>
        <item x="317"/>
        <item x="261"/>
        <item x="87"/>
        <item x="233"/>
        <item x="205"/>
        <item x="295"/>
        <item x="264"/>
        <item x="114"/>
        <item x="226"/>
        <item t="default"/>
      </items>
    </pivotField>
    <pivotField showAll="0"/>
    <pivotField showAll="0">
      <items count="3">
        <item x="1"/>
        <item x="0"/>
        <item t="default"/>
      </items>
    </pivotField>
    <pivotField dataField="1" showAll="0"/>
    <pivotField showAll="0"/>
    <pivotField showAll="0"/>
    <pivotField showAll="0" defaultSubtotal="0"/>
    <pivotField axis="axisRow" showAll="0" defaultSubtotal="0">
      <items count="14">
        <item x="0"/>
        <item x="1"/>
        <item x="2"/>
        <item x="3"/>
        <item x="4"/>
        <item x="5"/>
        <item x="6"/>
        <item x="7"/>
        <item x="8"/>
        <item x="9"/>
        <item x="10"/>
        <item x="11"/>
        <item x="12"/>
        <item x="13"/>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Sales" fld="4" baseField="0" baseItem="0"/>
  </dataFields>
  <chartFormats count="13">
    <chartFormat chart="28" format="2" series="1">
      <pivotArea type="data" outline="0" fieldPosition="0">
        <references count="1">
          <reference field="4294967294" count="1" selected="0">
            <x v="0"/>
          </reference>
        </references>
      </pivotArea>
    </chartFormat>
    <chartFormat chart="28" format="3">
      <pivotArea type="data" outline="0" fieldPosition="0">
        <references count="2">
          <reference field="4294967294" count="1" selected="0">
            <x v="0"/>
          </reference>
          <reference field="8" count="1" selected="0">
            <x v="7"/>
          </reference>
        </references>
      </pivotArea>
    </chartFormat>
    <chartFormat chart="28" format="4">
      <pivotArea type="data" outline="0" fieldPosition="0">
        <references count="2">
          <reference field="4294967294" count="1" selected="0">
            <x v="0"/>
          </reference>
          <reference field="8" count="1" selected="0">
            <x v="2"/>
          </reference>
        </references>
      </pivotArea>
    </chartFormat>
    <chartFormat chart="28" format="5">
      <pivotArea type="data" outline="0" fieldPosition="0">
        <references count="2">
          <reference field="4294967294" count="1" selected="0">
            <x v="0"/>
          </reference>
          <reference field="8" count="1" selected="0">
            <x v="3"/>
          </reference>
        </references>
      </pivotArea>
    </chartFormat>
    <chartFormat chart="28" format="6">
      <pivotArea type="data" outline="0" fieldPosition="0">
        <references count="2">
          <reference field="4294967294" count="1" selected="0">
            <x v="0"/>
          </reference>
          <reference field="8" count="1" selected="0">
            <x v="1"/>
          </reference>
        </references>
      </pivotArea>
    </chartFormat>
    <chartFormat chart="28" format="7">
      <pivotArea type="data" outline="0" fieldPosition="0">
        <references count="2">
          <reference field="4294967294" count="1" selected="0">
            <x v="0"/>
          </reference>
          <reference field="8" count="1" selected="0">
            <x v="5"/>
          </reference>
        </references>
      </pivotArea>
    </chartFormat>
    <chartFormat chart="28" format="8">
      <pivotArea type="data" outline="0" fieldPosition="0">
        <references count="2">
          <reference field="4294967294" count="1" selected="0">
            <x v="0"/>
          </reference>
          <reference field="8" count="1" selected="0">
            <x v="10"/>
          </reference>
        </references>
      </pivotArea>
    </chartFormat>
    <chartFormat chart="28" format="9">
      <pivotArea type="data" outline="0" fieldPosition="0">
        <references count="2">
          <reference field="4294967294" count="1" selected="0">
            <x v="0"/>
          </reference>
          <reference field="8" count="1" selected="0">
            <x v="9"/>
          </reference>
        </references>
      </pivotArea>
    </chartFormat>
    <chartFormat chart="28" format="10">
      <pivotArea type="data" outline="0" fieldPosition="0">
        <references count="2">
          <reference field="4294967294" count="1" selected="0">
            <x v="0"/>
          </reference>
          <reference field="8" count="1" selected="0">
            <x v="12"/>
          </reference>
        </references>
      </pivotArea>
    </chartFormat>
    <chartFormat chart="28" format="11">
      <pivotArea type="data" outline="0" fieldPosition="0">
        <references count="2">
          <reference field="4294967294" count="1" selected="0">
            <x v="0"/>
          </reference>
          <reference field="8" count="1" selected="0">
            <x v="6"/>
          </reference>
        </references>
      </pivotArea>
    </chartFormat>
    <chartFormat chart="28" format="12">
      <pivotArea type="data" outline="0" fieldPosition="0">
        <references count="2">
          <reference field="4294967294" count="1" selected="0">
            <x v="0"/>
          </reference>
          <reference field="8" count="1" selected="0">
            <x v="8"/>
          </reference>
        </references>
      </pivotArea>
    </chartFormat>
    <chartFormat chart="28" format="13">
      <pivotArea type="data" outline="0" fieldPosition="0">
        <references count="2">
          <reference field="4294967294" count="1" selected="0">
            <x v="0"/>
          </reference>
          <reference field="8" count="1" selected="0">
            <x v="11"/>
          </reference>
        </references>
      </pivotArea>
    </chartFormat>
    <chartFormat chart="28" format="14">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14F9F0-0DC3-46B1-A906-0BDF4DC8A14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1:L42" firstHeaderRow="0" firstDataRow="1" firstDataCol="0"/>
  <pivotFields count="9">
    <pivotField dataField="1" showAll="0"/>
    <pivotField numFmtId="14" showAll="0">
      <items count="349">
        <item x="107"/>
        <item x="192"/>
        <item x="96"/>
        <item x="90"/>
        <item x="287"/>
        <item x="272"/>
        <item x="93"/>
        <item x="122"/>
        <item x="50"/>
        <item x="91"/>
        <item x="182"/>
        <item x="301"/>
        <item x="277"/>
        <item x="98"/>
        <item x="27"/>
        <item x="276"/>
        <item x="142"/>
        <item x="117"/>
        <item x="303"/>
        <item x="38"/>
        <item x="95"/>
        <item x="20"/>
        <item x="36"/>
        <item x="201"/>
        <item x="45"/>
        <item x="161"/>
        <item x="173"/>
        <item x="321"/>
        <item x="151"/>
        <item x="250"/>
        <item x="298"/>
        <item x="11"/>
        <item x="170"/>
        <item x="115"/>
        <item x="52"/>
        <item x="193"/>
        <item x="97"/>
        <item x="266"/>
        <item x="176"/>
        <item x="72"/>
        <item x="144"/>
        <item x="101"/>
        <item x="310"/>
        <item x="219"/>
        <item x="254"/>
        <item x="157"/>
        <item x="249"/>
        <item x="123"/>
        <item x="333"/>
        <item x="245"/>
        <item x="343"/>
        <item x="246"/>
        <item x="172"/>
        <item x="323"/>
        <item x="106"/>
        <item x="85"/>
        <item x="74"/>
        <item x="344"/>
        <item x="248"/>
        <item x="40"/>
        <item x="14"/>
        <item x="198"/>
        <item x="118"/>
        <item x="137"/>
        <item x="92"/>
        <item x="283"/>
        <item x="31"/>
        <item x="19"/>
        <item x="211"/>
        <item x="314"/>
        <item x="221"/>
        <item x="139"/>
        <item x="136"/>
        <item x="209"/>
        <item x="109"/>
        <item x="17"/>
        <item x="185"/>
        <item x="207"/>
        <item x="281"/>
        <item x="166"/>
        <item x="84"/>
        <item x="128"/>
        <item x="227"/>
        <item x="57"/>
        <item x="204"/>
        <item x="81"/>
        <item x="78"/>
        <item x="191"/>
        <item x="24"/>
        <item x="202"/>
        <item x="143"/>
        <item x="234"/>
        <item x="165"/>
        <item x="225"/>
        <item x="259"/>
        <item x="322"/>
        <item x="160"/>
        <item x="243"/>
        <item x="251"/>
        <item x="83"/>
        <item x="102"/>
        <item x="338"/>
        <item x="236"/>
        <item x="260"/>
        <item x="216"/>
        <item x="269"/>
        <item x="239"/>
        <item x="206"/>
        <item x="100"/>
        <item x="217"/>
        <item x="145"/>
        <item x="327"/>
        <item x="129"/>
        <item x="320"/>
        <item x="37"/>
        <item x="197"/>
        <item x="302"/>
        <item x="103"/>
        <item x="186"/>
        <item x="67"/>
        <item x="6"/>
        <item x="77"/>
        <item x="229"/>
        <item x="94"/>
        <item x="68"/>
        <item x="253"/>
        <item x="9"/>
        <item x="71"/>
        <item x="331"/>
        <item x="231"/>
        <item x="285"/>
        <item x="60"/>
        <item x="141"/>
        <item x="162"/>
        <item x="64"/>
        <item x="263"/>
        <item x="247"/>
        <item x="305"/>
        <item x="76"/>
        <item x="195"/>
        <item x="167"/>
        <item x="15"/>
        <item x="131"/>
        <item x="150"/>
        <item x="119"/>
        <item x="75"/>
        <item x="163"/>
        <item x="132"/>
        <item x="65"/>
        <item x="238"/>
        <item x="148"/>
        <item x="2"/>
        <item x="274"/>
        <item x="330"/>
        <item x="224"/>
        <item x="55"/>
        <item x="46"/>
        <item x="300"/>
        <item x="332"/>
        <item x="189"/>
        <item x="70"/>
        <item x="82"/>
        <item x="61"/>
        <item x="25"/>
        <item x="183"/>
        <item x="10"/>
        <item x="29"/>
        <item x="326"/>
        <item x="286"/>
        <item x="214"/>
        <item x="35"/>
        <item x="112"/>
        <item x="223"/>
        <item x="175"/>
        <item x="268"/>
        <item x="291"/>
        <item x="294"/>
        <item x="104"/>
        <item x="339"/>
        <item x="116"/>
        <item x="4"/>
        <item x="171"/>
        <item x="177"/>
        <item x="111"/>
        <item x="325"/>
        <item x="297"/>
        <item x="126"/>
        <item x="187"/>
        <item x="255"/>
        <item x="154"/>
        <item x="133"/>
        <item x="340"/>
        <item x="240"/>
        <item x="290"/>
        <item x="345"/>
        <item x="47"/>
        <item x="121"/>
        <item x="108"/>
        <item x="54"/>
        <item x="32"/>
        <item x="280"/>
        <item x="110"/>
        <item x="218"/>
        <item x="53"/>
        <item x="41"/>
        <item x="296"/>
        <item x="329"/>
        <item x="212"/>
        <item x="156"/>
        <item x="230"/>
        <item x="58"/>
        <item x="79"/>
        <item x="152"/>
        <item x="149"/>
        <item x="222"/>
        <item x="337"/>
        <item x="164"/>
        <item x="328"/>
        <item x="241"/>
        <item x="288"/>
        <item x="271"/>
        <item x="334"/>
        <item x="278"/>
        <item x="252"/>
        <item x="181"/>
        <item x="146"/>
        <item x="66"/>
        <item x="299"/>
        <item x="89"/>
        <item x="34"/>
        <item x="28"/>
        <item x="30"/>
        <item x="140"/>
        <item x="307"/>
        <item x="292"/>
        <item x="178"/>
        <item x="309"/>
        <item x="113"/>
        <item x="184"/>
        <item x="347"/>
        <item x="130"/>
        <item x="279"/>
        <item x="237"/>
        <item x="168"/>
        <item x="242"/>
        <item x="275"/>
        <item x="86"/>
        <item x="341"/>
        <item x="8"/>
        <item x="135"/>
        <item x="153"/>
        <item x="69"/>
        <item x="49"/>
        <item x="63"/>
        <item x="336"/>
        <item x="273"/>
        <item x="174"/>
        <item x="210"/>
        <item x="319"/>
        <item x="88"/>
        <item x="147"/>
        <item x="308"/>
        <item x="257"/>
        <item x="43"/>
        <item x="335"/>
        <item x="282"/>
        <item x="23"/>
        <item x="7"/>
        <item x="12"/>
        <item x="265"/>
        <item x="51"/>
        <item x="256"/>
        <item x="48"/>
        <item x="244"/>
        <item x="194"/>
        <item x="188"/>
        <item x="18"/>
        <item x="293"/>
        <item x="125"/>
        <item x="315"/>
        <item x="42"/>
        <item x="26"/>
        <item x="190"/>
        <item x="318"/>
        <item x="213"/>
        <item x="342"/>
        <item x="311"/>
        <item x="134"/>
        <item x="267"/>
        <item x="232"/>
        <item x="306"/>
        <item x="270"/>
        <item x="159"/>
        <item x="158"/>
        <item x="228"/>
        <item x="220"/>
        <item x="289"/>
        <item x="62"/>
        <item x="33"/>
        <item x="208"/>
        <item x="1"/>
        <item x="324"/>
        <item x="22"/>
        <item x="59"/>
        <item x="180"/>
        <item x="44"/>
        <item x="169"/>
        <item x="346"/>
        <item x="124"/>
        <item x="203"/>
        <item x="313"/>
        <item x="304"/>
        <item x="215"/>
        <item x="99"/>
        <item x="138"/>
        <item x="258"/>
        <item x="262"/>
        <item x="5"/>
        <item x="200"/>
        <item x="284"/>
        <item x="120"/>
        <item x="16"/>
        <item x="199"/>
        <item x="80"/>
        <item x="312"/>
        <item x="316"/>
        <item x="73"/>
        <item x="39"/>
        <item x="56"/>
        <item x="105"/>
        <item x="235"/>
        <item x="13"/>
        <item x="155"/>
        <item x="127"/>
        <item x="3"/>
        <item x="0"/>
        <item x="179"/>
        <item x="196"/>
        <item x="21"/>
        <item x="317"/>
        <item x="261"/>
        <item x="87"/>
        <item x="233"/>
        <item x="205"/>
        <item x="295"/>
        <item x="264"/>
        <item x="114"/>
        <item x="226"/>
        <item t="default"/>
      </items>
    </pivotField>
    <pivotField showAll="0"/>
    <pivotField showAll="0">
      <items count="3">
        <item x="1"/>
        <item x="0"/>
        <item t="default"/>
      </items>
    </pivotField>
    <pivotField dataField="1"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3">
    <i>
      <x/>
    </i>
    <i i="1">
      <x v="1"/>
    </i>
    <i i="2">
      <x v="2"/>
    </i>
  </colItems>
  <dataFields count="3">
    <dataField name="Count of Order ID" fld="0" subtotal="count" baseField="0" baseItem="0"/>
    <dataField name="Sum of Sales" fld="4" baseField="0" baseItem="0"/>
    <dataField name="Sum of Profi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3D31AE-076D-448B-8378-35F42593FEF4}" name="PivotTable6"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7">
  <location ref="I13:J18" firstHeaderRow="1" firstDataRow="1" firstDataCol="1"/>
  <pivotFields count="9">
    <pivotField showAll="0"/>
    <pivotField numFmtId="14" showAll="0">
      <items count="349">
        <item x="107"/>
        <item x="192"/>
        <item x="96"/>
        <item x="90"/>
        <item x="287"/>
        <item x="272"/>
        <item x="93"/>
        <item x="122"/>
        <item x="50"/>
        <item x="91"/>
        <item x="182"/>
        <item x="301"/>
        <item x="277"/>
        <item x="98"/>
        <item x="27"/>
        <item x="276"/>
        <item x="142"/>
        <item x="117"/>
        <item x="303"/>
        <item x="38"/>
        <item x="95"/>
        <item x="20"/>
        <item x="36"/>
        <item x="201"/>
        <item x="45"/>
        <item x="161"/>
        <item x="173"/>
        <item x="321"/>
        <item x="151"/>
        <item x="250"/>
        <item x="298"/>
        <item x="11"/>
        <item x="170"/>
        <item x="115"/>
        <item x="52"/>
        <item x="193"/>
        <item x="97"/>
        <item x="266"/>
        <item x="176"/>
        <item x="72"/>
        <item x="144"/>
        <item x="101"/>
        <item x="310"/>
        <item x="219"/>
        <item x="254"/>
        <item x="157"/>
        <item x="249"/>
        <item x="123"/>
        <item x="333"/>
        <item x="245"/>
        <item x="343"/>
        <item x="246"/>
        <item x="172"/>
        <item x="323"/>
        <item x="106"/>
        <item x="85"/>
        <item x="74"/>
        <item x="344"/>
        <item x="248"/>
        <item x="40"/>
        <item x="14"/>
        <item x="198"/>
        <item x="118"/>
        <item x="137"/>
        <item x="92"/>
        <item x="283"/>
        <item x="31"/>
        <item x="19"/>
        <item x="211"/>
        <item x="314"/>
        <item x="221"/>
        <item x="139"/>
        <item x="136"/>
        <item x="209"/>
        <item x="109"/>
        <item x="17"/>
        <item x="185"/>
        <item x="207"/>
        <item x="281"/>
        <item x="166"/>
        <item x="84"/>
        <item x="128"/>
        <item x="227"/>
        <item x="57"/>
        <item x="204"/>
        <item x="81"/>
        <item x="78"/>
        <item x="191"/>
        <item x="24"/>
        <item x="202"/>
        <item x="143"/>
        <item x="234"/>
        <item x="165"/>
        <item x="225"/>
        <item x="259"/>
        <item x="322"/>
        <item x="160"/>
        <item x="243"/>
        <item x="251"/>
        <item x="83"/>
        <item x="102"/>
        <item x="338"/>
        <item x="236"/>
        <item x="260"/>
        <item x="216"/>
        <item x="269"/>
        <item x="239"/>
        <item x="206"/>
        <item x="100"/>
        <item x="217"/>
        <item x="145"/>
        <item x="327"/>
        <item x="129"/>
        <item x="320"/>
        <item x="37"/>
        <item x="197"/>
        <item x="302"/>
        <item x="103"/>
        <item x="186"/>
        <item x="67"/>
        <item x="6"/>
        <item x="77"/>
        <item x="229"/>
        <item x="94"/>
        <item x="68"/>
        <item x="253"/>
        <item x="9"/>
        <item x="71"/>
        <item x="331"/>
        <item x="231"/>
        <item x="285"/>
        <item x="60"/>
        <item x="141"/>
        <item x="162"/>
        <item x="64"/>
        <item x="263"/>
        <item x="247"/>
        <item x="305"/>
        <item x="76"/>
        <item x="195"/>
        <item x="167"/>
        <item x="15"/>
        <item x="131"/>
        <item x="150"/>
        <item x="119"/>
        <item x="75"/>
        <item x="163"/>
        <item x="132"/>
        <item x="65"/>
        <item x="238"/>
        <item x="148"/>
        <item x="2"/>
        <item x="274"/>
        <item x="330"/>
        <item x="224"/>
        <item x="55"/>
        <item x="46"/>
        <item x="300"/>
        <item x="332"/>
        <item x="189"/>
        <item x="70"/>
        <item x="82"/>
        <item x="61"/>
        <item x="25"/>
        <item x="183"/>
        <item x="10"/>
        <item x="29"/>
        <item x="326"/>
        <item x="286"/>
        <item x="214"/>
        <item x="35"/>
        <item x="112"/>
        <item x="223"/>
        <item x="175"/>
        <item x="268"/>
        <item x="291"/>
        <item x="294"/>
        <item x="104"/>
        <item x="339"/>
        <item x="116"/>
        <item x="4"/>
        <item x="171"/>
        <item x="177"/>
        <item x="111"/>
        <item x="325"/>
        <item x="297"/>
        <item x="126"/>
        <item x="187"/>
        <item x="255"/>
        <item x="154"/>
        <item x="133"/>
        <item x="340"/>
        <item x="240"/>
        <item x="290"/>
        <item x="345"/>
        <item x="47"/>
        <item x="121"/>
        <item x="108"/>
        <item x="54"/>
        <item x="32"/>
        <item x="280"/>
        <item x="110"/>
        <item x="218"/>
        <item x="53"/>
        <item x="41"/>
        <item x="296"/>
        <item x="329"/>
        <item x="212"/>
        <item x="156"/>
        <item x="230"/>
        <item x="58"/>
        <item x="79"/>
        <item x="152"/>
        <item x="149"/>
        <item x="222"/>
        <item x="337"/>
        <item x="164"/>
        <item x="328"/>
        <item x="241"/>
        <item x="288"/>
        <item x="271"/>
        <item x="334"/>
        <item x="278"/>
        <item x="252"/>
        <item x="181"/>
        <item x="146"/>
        <item x="66"/>
        <item x="299"/>
        <item x="89"/>
        <item x="34"/>
        <item x="28"/>
        <item x="30"/>
        <item x="140"/>
        <item x="307"/>
        <item x="292"/>
        <item x="178"/>
        <item x="309"/>
        <item x="113"/>
        <item x="184"/>
        <item x="347"/>
        <item x="130"/>
        <item x="279"/>
        <item x="237"/>
        <item x="168"/>
        <item x="242"/>
        <item x="275"/>
        <item x="86"/>
        <item x="341"/>
        <item x="8"/>
        <item x="135"/>
        <item x="153"/>
        <item x="69"/>
        <item x="49"/>
        <item x="63"/>
        <item x="336"/>
        <item x="273"/>
        <item x="174"/>
        <item x="210"/>
        <item x="319"/>
        <item x="88"/>
        <item x="147"/>
        <item x="308"/>
        <item x="257"/>
        <item x="43"/>
        <item x="335"/>
        <item x="282"/>
        <item x="23"/>
        <item x="7"/>
        <item x="12"/>
        <item x="265"/>
        <item x="51"/>
        <item x="256"/>
        <item x="48"/>
        <item x="244"/>
        <item x="194"/>
        <item x="188"/>
        <item x="18"/>
        <item x="293"/>
        <item x="125"/>
        <item x="315"/>
        <item x="42"/>
        <item x="26"/>
        <item x="190"/>
        <item x="318"/>
        <item x="213"/>
        <item x="342"/>
        <item x="311"/>
        <item x="134"/>
        <item x="267"/>
        <item x="232"/>
        <item x="306"/>
        <item x="270"/>
        <item x="159"/>
        <item x="158"/>
        <item x="228"/>
        <item x="220"/>
        <item x="289"/>
        <item x="62"/>
        <item x="33"/>
        <item x="208"/>
        <item x="1"/>
        <item x="324"/>
        <item x="22"/>
        <item x="59"/>
        <item x="180"/>
        <item x="44"/>
        <item x="169"/>
        <item x="346"/>
        <item x="124"/>
        <item x="203"/>
        <item x="313"/>
        <item x="304"/>
        <item x="215"/>
        <item x="99"/>
        <item x="138"/>
        <item x="258"/>
        <item x="262"/>
        <item x="5"/>
        <item x="200"/>
        <item x="284"/>
        <item x="120"/>
        <item x="16"/>
        <item x="199"/>
        <item x="80"/>
        <item x="312"/>
        <item x="316"/>
        <item x="73"/>
        <item x="39"/>
        <item x="56"/>
        <item x="105"/>
        <item x="235"/>
        <item x="13"/>
        <item x="155"/>
        <item x="127"/>
        <item x="3"/>
        <item x="0"/>
        <item x="179"/>
        <item x="196"/>
        <item x="21"/>
        <item x="317"/>
        <item x="261"/>
        <item x="87"/>
        <item x="233"/>
        <item x="205"/>
        <item x="295"/>
        <item x="264"/>
        <item x="114"/>
        <item x="226"/>
        <item t="default"/>
      </items>
    </pivotField>
    <pivotField axis="axisRow" showAll="0">
      <items count="6">
        <item x="2"/>
        <item x="4"/>
        <item x="1"/>
        <item x="3"/>
        <item x="0"/>
        <item t="default"/>
      </items>
    </pivotField>
    <pivotField showAll="0">
      <items count="3">
        <item x="1"/>
        <item x="0"/>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x v="4"/>
    </i>
  </rowItems>
  <colItems count="1">
    <i/>
  </colItems>
  <dataFields count="1">
    <dataField name="Sum of Profi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57F43D-29CA-4555-8FCD-D660E67ABF3E}"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2">
  <location ref="J23:K29" firstHeaderRow="1" firstDataRow="1" firstDataCol="1"/>
  <pivotFields count="9">
    <pivotField dataField="1" showAll="0"/>
    <pivotField showAll="0">
      <items count="349">
        <item x="107"/>
        <item x="192"/>
        <item x="96"/>
        <item x="90"/>
        <item x="287"/>
        <item x="272"/>
        <item x="93"/>
        <item x="122"/>
        <item x="50"/>
        <item x="91"/>
        <item x="182"/>
        <item x="301"/>
        <item x="277"/>
        <item x="98"/>
        <item x="27"/>
        <item x="276"/>
        <item x="142"/>
        <item x="117"/>
        <item x="303"/>
        <item x="38"/>
        <item x="95"/>
        <item x="20"/>
        <item x="36"/>
        <item x="201"/>
        <item x="45"/>
        <item x="161"/>
        <item x="173"/>
        <item x="321"/>
        <item x="151"/>
        <item x="250"/>
        <item x="298"/>
        <item x="11"/>
        <item x="170"/>
        <item x="115"/>
        <item x="52"/>
        <item x="193"/>
        <item x="97"/>
        <item x="266"/>
        <item x="176"/>
        <item x="72"/>
        <item x="144"/>
        <item x="101"/>
        <item x="310"/>
        <item x="219"/>
        <item x="254"/>
        <item x="157"/>
        <item x="249"/>
        <item x="123"/>
        <item x="333"/>
        <item x="245"/>
        <item x="343"/>
        <item x="246"/>
        <item x="172"/>
        <item x="323"/>
        <item x="106"/>
        <item x="85"/>
        <item x="74"/>
        <item x="344"/>
        <item x="248"/>
        <item x="40"/>
        <item x="14"/>
        <item x="198"/>
        <item x="118"/>
        <item x="137"/>
        <item x="92"/>
        <item x="283"/>
        <item x="31"/>
        <item x="19"/>
        <item x="211"/>
        <item x="314"/>
        <item x="221"/>
        <item x="139"/>
        <item x="136"/>
        <item x="209"/>
        <item x="109"/>
        <item x="17"/>
        <item x="185"/>
        <item x="207"/>
        <item x="281"/>
        <item x="166"/>
        <item x="84"/>
        <item x="128"/>
        <item x="227"/>
        <item x="57"/>
        <item x="204"/>
        <item x="81"/>
        <item x="78"/>
        <item x="191"/>
        <item x="24"/>
        <item x="202"/>
        <item x="143"/>
        <item x="234"/>
        <item x="165"/>
        <item x="225"/>
        <item x="259"/>
        <item x="322"/>
        <item x="160"/>
        <item x="243"/>
        <item x="251"/>
        <item x="83"/>
        <item x="102"/>
        <item x="338"/>
        <item x="236"/>
        <item x="260"/>
        <item x="216"/>
        <item x="269"/>
        <item x="239"/>
        <item x="206"/>
        <item x="100"/>
        <item x="217"/>
        <item x="145"/>
        <item x="327"/>
        <item x="129"/>
        <item x="320"/>
        <item x="37"/>
        <item x="197"/>
        <item x="302"/>
        <item x="103"/>
        <item x="186"/>
        <item x="67"/>
        <item x="6"/>
        <item x="77"/>
        <item x="229"/>
        <item x="94"/>
        <item x="68"/>
        <item x="253"/>
        <item x="9"/>
        <item x="71"/>
        <item x="331"/>
        <item x="231"/>
        <item x="285"/>
        <item x="60"/>
        <item x="141"/>
        <item x="162"/>
        <item x="64"/>
        <item x="263"/>
        <item x="247"/>
        <item x="305"/>
        <item x="76"/>
        <item x="195"/>
        <item x="167"/>
        <item x="15"/>
        <item x="131"/>
        <item x="150"/>
        <item x="119"/>
        <item x="75"/>
        <item x="163"/>
        <item x="132"/>
        <item x="65"/>
        <item x="238"/>
        <item x="148"/>
        <item x="2"/>
        <item x="274"/>
        <item x="330"/>
        <item x="224"/>
        <item x="55"/>
        <item x="46"/>
        <item x="300"/>
        <item x="332"/>
        <item x="189"/>
        <item x="70"/>
        <item x="82"/>
        <item x="61"/>
        <item x="25"/>
        <item x="183"/>
        <item x="10"/>
        <item x="29"/>
        <item x="326"/>
        <item x="286"/>
        <item x="214"/>
        <item x="35"/>
        <item x="112"/>
        <item x="223"/>
        <item x="175"/>
        <item x="268"/>
        <item x="291"/>
        <item x="294"/>
        <item x="104"/>
        <item x="339"/>
        <item x="116"/>
        <item x="4"/>
        <item x="171"/>
        <item x="177"/>
        <item x="111"/>
        <item x="325"/>
        <item x="297"/>
        <item x="126"/>
        <item x="187"/>
        <item x="255"/>
        <item x="154"/>
        <item x="133"/>
        <item x="340"/>
        <item x="240"/>
        <item x="290"/>
        <item x="345"/>
        <item x="47"/>
        <item x="121"/>
        <item x="108"/>
        <item x="54"/>
        <item x="32"/>
        <item x="280"/>
        <item x="110"/>
        <item x="218"/>
        <item x="53"/>
        <item x="41"/>
        <item x="296"/>
        <item x="329"/>
        <item x="212"/>
        <item x="156"/>
        <item x="230"/>
        <item x="58"/>
        <item x="79"/>
        <item x="152"/>
        <item x="149"/>
        <item x="222"/>
        <item x="337"/>
        <item x="164"/>
        <item x="328"/>
        <item x="241"/>
        <item x="288"/>
        <item x="271"/>
        <item x="334"/>
        <item x="278"/>
        <item x="252"/>
        <item x="181"/>
        <item x="146"/>
        <item x="66"/>
        <item x="299"/>
        <item x="89"/>
        <item x="34"/>
        <item x="28"/>
        <item x="30"/>
        <item x="140"/>
        <item x="307"/>
        <item x="292"/>
        <item x="178"/>
        <item x="309"/>
        <item x="113"/>
        <item x="184"/>
        <item x="347"/>
        <item x="130"/>
        <item x="279"/>
        <item x="237"/>
        <item x="168"/>
        <item x="242"/>
        <item x="275"/>
        <item x="86"/>
        <item x="341"/>
        <item x="8"/>
        <item x="135"/>
        <item x="153"/>
        <item x="69"/>
        <item x="49"/>
        <item x="63"/>
        <item x="336"/>
        <item x="273"/>
        <item x="174"/>
        <item x="210"/>
        <item x="319"/>
        <item x="88"/>
        <item x="147"/>
        <item x="308"/>
        <item x="257"/>
        <item x="43"/>
        <item x="335"/>
        <item x="282"/>
        <item x="23"/>
        <item x="7"/>
        <item x="12"/>
        <item x="265"/>
        <item x="51"/>
        <item x="256"/>
        <item x="48"/>
        <item x="244"/>
        <item x="194"/>
        <item x="188"/>
        <item x="18"/>
        <item x="293"/>
        <item x="125"/>
        <item x="315"/>
        <item x="42"/>
        <item x="26"/>
        <item x="190"/>
        <item x="318"/>
        <item x="213"/>
        <item x="342"/>
        <item x="311"/>
        <item x="134"/>
        <item x="267"/>
        <item x="232"/>
        <item x="306"/>
        <item x="270"/>
        <item x="159"/>
        <item x="158"/>
        <item x="228"/>
        <item x="220"/>
        <item x="289"/>
        <item x="62"/>
        <item x="33"/>
        <item x="208"/>
        <item x="1"/>
        <item x="324"/>
        <item x="22"/>
        <item x="59"/>
        <item x="180"/>
        <item x="44"/>
        <item x="169"/>
        <item x="346"/>
        <item x="124"/>
        <item x="203"/>
        <item x="313"/>
        <item x="304"/>
        <item x="215"/>
        <item x="99"/>
        <item x="138"/>
        <item x="258"/>
        <item x="262"/>
        <item x="5"/>
        <item x="200"/>
        <item x="284"/>
        <item x="120"/>
        <item x="16"/>
        <item x="199"/>
        <item x="80"/>
        <item x="312"/>
        <item x="316"/>
        <item x="73"/>
        <item x="39"/>
        <item x="56"/>
        <item x="105"/>
        <item x="235"/>
        <item x="13"/>
        <item x="155"/>
        <item x="127"/>
        <item x="3"/>
        <item x="0"/>
        <item x="179"/>
        <item x="196"/>
        <item x="21"/>
        <item x="317"/>
        <item x="261"/>
        <item x="87"/>
        <item x="233"/>
        <item x="205"/>
        <item x="295"/>
        <item x="264"/>
        <item x="114"/>
        <item x="226"/>
        <item t="default"/>
      </items>
    </pivotField>
    <pivotField axis="axisRow" showAll="0">
      <items count="6">
        <item x="2"/>
        <item x="4"/>
        <item x="1"/>
        <item x="3"/>
        <item x="0"/>
        <item t="default"/>
      </items>
    </pivotField>
    <pivotField showAll="0">
      <items count="3">
        <item x="1"/>
        <item x="0"/>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6">
    <i>
      <x/>
    </i>
    <i>
      <x v="1"/>
    </i>
    <i>
      <x v="2"/>
    </i>
    <i>
      <x v="3"/>
    </i>
    <i>
      <x v="4"/>
    </i>
    <i t="grand">
      <x/>
    </i>
  </rowItems>
  <colItems count="1">
    <i/>
  </colItems>
  <dataFields count="1">
    <dataField name="Count of Order ID" fld="0" subtotal="count" baseField="2" baseItem="0"/>
  </dataFields>
  <chartFormats count="10">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2" count="1" selected="0">
            <x v="3"/>
          </reference>
        </references>
      </pivotArea>
    </chartFormat>
    <chartFormat chart="23" format="4">
      <pivotArea type="data" outline="0" fieldPosition="0">
        <references count="2">
          <reference field="4294967294" count="1" selected="0">
            <x v="0"/>
          </reference>
          <reference field="2" count="1" selected="0">
            <x v="2"/>
          </reference>
        </references>
      </pivotArea>
    </chartFormat>
    <chartFormat chart="23" format="5">
      <pivotArea type="data" outline="0" fieldPosition="0">
        <references count="2">
          <reference field="4294967294" count="1" selected="0">
            <x v="0"/>
          </reference>
          <reference field="2" count="1" selected="0">
            <x v="4"/>
          </reference>
        </references>
      </pivotArea>
    </chartFormat>
    <chartFormat chart="23" format="6">
      <pivotArea type="data" outline="0" fieldPosition="0">
        <references count="2">
          <reference field="4294967294" count="1" selected="0">
            <x v="0"/>
          </reference>
          <reference field="2" count="1" selected="0">
            <x v="0"/>
          </reference>
        </references>
      </pivotArea>
    </chartFormat>
    <chartFormat chart="23" format="7">
      <pivotArea type="data" outline="0" fieldPosition="0">
        <references count="2">
          <reference field="4294967294" count="1" selected="0">
            <x v="0"/>
          </reference>
          <reference field="2" count="1" selected="0">
            <x v="1"/>
          </reference>
        </references>
      </pivotArea>
    </chartFormat>
    <chartFormat chart="23" format="10" series="1">
      <pivotArea type="data" outline="0" fieldPosition="0">
        <references count="2">
          <reference field="4294967294" count="1" selected="0">
            <x v="0"/>
          </reference>
          <reference field="2" count="1" selected="0">
            <x v="1"/>
          </reference>
        </references>
      </pivotArea>
    </chartFormat>
    <chartFormat chart="23" format="11" series="1">
      <pivotArea type="data" outline="0" fieldPosition="0">
        <references count="2">
          <reference field="4294967294" count="1" selected="0">
            <x v="0"/>
          </reference>
          <reference field="2" count="1" selected="0">
            <x v="2"/>
          </reference>
        </references>
      </pivotArea>
    </chartFormat>
    <chartFormat chart="23" format="12" series="1">
      <pivotArea type="data" outline="0" fieldPosition="0">
        <references count="2">
          <reference field="4294967294" count="1" selected="0">
            <x v="0"/>
          </reference>
          <reference field="2" count="1" selected="0">
            <x v="3"/>
          </reference>
        </references>
      </pivotArea>
    </chartFormat>
    <chartFormat chart="23" format="13"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7BE7DE-A815-4030-B451-D2A374D80F5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20:R26" firstHeaderRow="1" firstDataRow="1" firstDataCol="1"/>
  <pivotFields count="9">
    <pivotField showAll="0"/>
    <pivotField numFmtId="14" showAll="0">
      <items count="349">
        <item x="107"/>
        <item x="192"/>
        <item x="96"/>
        <item x="90"/>
        <item x="287"/>
        <item x="272"/>
        <item x="93"/>
        <item x="122"/>
        <item x="50"/>
        <item x="91"/>
        <item x="182"/>
        <item x="301"/>
        <item x="277"/>
        <item x="98"/>
        <item x="27"/>
        <item x="276"/>
        <item x="142"/>
        <item x="117"/>
        <item x="303"/>
        <item x="38"/>
        <item x="95"/>
        <item x="20"/>
        <item x="36"/>
        <item x="201"/>
        <item x="45"/>
        <item x="161"/>
        <item x="173"/>
        <item x="321"/>
        <item x="151"/>
        <item x="250"/>
        <item x="298"/>
        <item x="11"/>
        <item x="170"/>
        <item x="115"/>
        <item x="52"/>
        <item x="193"/>
        <item x="97"/>
        <item x="266"/>
        <item x="176"/>
        <item x="72"/>
        <item x="144"/>
        <item x="101"/>
        <item x="310"/>
        <item x="219"/>
        <item x="254"/>
        <item x="157"/>
        <item x="249"/>
        <item x="123"/>
        <item x="333"/>
        <item x="245"/>
        <item x="343"/>
        <item x="246"/>
        <item x="172"/>
        <item x="323"/>
        <item x="106"/>
        <item x="85"/>
        <item x="74"/>
        <item x="344"/>
        <item x="248"/>
        <item x="40"/>
        <item x="14"/>
        <item x="198"/>
        <item x="118"/>
        <item x="137"/>
        <item x="92"/>
        <item x="283"/>
        <item x="31"/>
        <item x="19"/>
        <item x="211"/>
        <item x="314"/>
        <item x="221"/>
        <item x="139"/>
        <item x="136"/>
        <item x="209"/>
        <item x="109"/>
        <item x="17"/>
        <item x="185"/>
        <item x="207"/>
        <item x="281"/>
        <item x="166"/>
        <item x="84"/>
        <item x="128"/>
        <item x="227"/>
        <item x="57"/>
        <item x="204"/>
        <item x="81"/>
        <item x="78"/>
        <item x="191"/>
        <item x="24"/>
        <item x="202"/>
        <item x="143"/>
        <item x="234"/>
        <item x="165"/>
        <item x="225"/>
        <item x="259"/>
        <item x="322"/>
        <item x="160"/>
        <item x="243"/>
        <item x="251"/>
        <item x="83"/>
        <item x="102"/>
        <item x="338"/>
        <item x="236"/>
        <item x="260"/>
        <item x="216"/>
        <item x="269"/>
        <item x="239"/>
        <item x="206"/>
        <item x="100"/>
        <item x="217"/>
        <item x="145"/>
        <item x="327"/>
        <item x="129"/>
        <item x="320"/>
        <item x="37"/>
        <item x="197"/>
        <item x="302"/>
        <item x="103"/>
        <item x="186"/>
        <item x="67"/>
        <item x="6"/>
        <item x="77"/>
        <item x="229"/>
        <item x="94"/>
        <item x="68"/>
        <item x="253"/>
        <item x="9"/>
        <item x="71"/>
        <item x="331"/>
        <item x="231"/>
        <item x="285"/>
        <item x="60"/>
        <item x="141"/>
        <item x="162"/>
        <item x="64"/>
        <item x="263"/>
        <item x="247"/>
        <item x="305"/>
        <item x="76"/>
        <item x="195"/>
        <item x="167"/>
        <item x="15"/>
        <item x="131"/>
        <item x="150"/>
        <item x="119"/>
        <item x="75"/>
        <item x="163"/>
        <item x="132"/>
        <item x="65"/>
        <item x="238"/>
        <item x="148"/>
        <item x="2"/>
        <item x="274"/>
        <item x="330"/>
        <item x="224"/>
        <item x="55"/>
        <item x="46"/>
        <item x="300"/>
        <item x="332"/>
        <item x="189"/>
        <item x="70"/>
        <item x="82"/>
        <item x="61"/>
        <item x="25"/>
        <item x="183"/>
        <item x="10"/>
        <item x="29"/>
        <item x="326"/>
        <item x="286"/>
        <item x="214"/>
        <item x="35"/>
        <item x="112"/>
        <item x="223"/>
        <item x="175"/>
        <item x="268"/>
        <item x="291"/>
        <item x="294"/>
        <item x="104"/>
        <item x="339"/>
        <item x="116"/>
        <item x="4"/>
        <item x="171"/>
        <item x="177"/>
        <item x="111"/>
        <item x="325"/>
        <item x="297"/>
        <item x="126"/>
        <item x="187"/>
        <item x="255"/>
        <item x="154"/>
        <item x="133"/>
        <item x="340"/>
        <item x="240"/>
        <item x="290"/>
        <item x="345"/>
        <item x="47"/>
        <item x="121"/>
        <item x="108"/>
        <item x="54"/>
        <item x="32"/>
        <item x="280"/>
        <item x="110"/>
        <item x="218"/>
        <item x="53"/>
        <item x="41"/>
        <item x="296"/>
        <item x="329"/>
        <item x="212"/>
        <item x="156"/>
        <item x="230"/>
        <item x="58"/>
        <item x="79"/>
        <item x="152"/>
        <item x="149"/>
        <item x="222"/>
        <item x="337"/>
        <item x="164"/>
        <item x="328"/>
        <item x="241"/>
        <item x="288"/>
        <item x="271"/>
        <item x="334"/>
        <item x="278"/>
        <item x="252"/>
        <item x="181"/>
        <item x="146"/>
        <item x="66"/>
        <item x="299"/>
        <item x="89"/>
        <item x="34"/>
        <item x="28"/>
        <item x="30"/>
        <item x="140"/>
        <item x="307"/>
        <item x="292"/>
        <item x="178"/>
        <item x="309"/>
        <item x="113"/>
        <item x="184"/>
        <item x="347"/>
        <item x="130"/>
        <item x="279"/>
        <item x="237"/>
        <item x="168"/>
        <item x="242"/>
        <item x="275"/>
        <item x="86"/>
        <item x="341"/>
        <item x="8"/>
        <item x="135"/>
        <item x="153"/>
        <item x="69"/>
        <item x="49"/>
        <item x="63"/>
        <item x="336"/>
        <item x="273"/>
        <item x="174"/>
        <item x="210"/>
        <item x="319"/>
        <item x="88"/>
        <item x="147"/>
        <item x="308"/>
        <item x="257"/>
        <item x="43"/>
        <item x="335"/>
        <item x="282"/>
        <item x="23"/>
        <item x="7"/>
        <item x="12"/>
        <item x="265"/>
        <item x="51"/>
        <item x="256"/>
        <item x="48"/>
        <item x="244"/>
        <item x="194"/>
        <item x="188"/>
        <item x="18"/>
        <item x="293"/>
        <item x="125"/>
        <item x="315"/>
        <item x="42"/>
        <item x="26"/>
        <item x="190"/>
        <item x="318"/>
        <item x="213"/>
        <item x="342"/>
        <item x="311"/>
        <item x="134"/>
        <item x="267"/>
        <item x="232"/>
        <item x="306"/>
        <item x="270"/>
        <item x="159"/>
        <item x="158"/>
        <item x="228"/>
        <item x="220"/>
        <item x="289"/>
        <item x="62"/>
        <item x="33"/>
        <item x="208"/>
        <item x="1"/>
        <item x="324"/>
        <item x="22"/>
        <item x="59"/>
        <item x="180"/>
        <item x="44"/>
        <item x="169"/>
        <item x="346"/>
        <item x="124"/>
        <item x="203"/>
        <item x="313"/>
        <item x="304"/>
        <item x="215"/>
        <item x="99"/>
        <item x="138"/>
        <item x="258"/>
        <item x="262"/>
        <item x="5"/>
        <item x="200"/>
        <item x="284"/>
        <item x="120"/>
        <item x="16"/>
        <item x="199"/>
        <item x="80"/>
        <item x="312"/>
        <item x="316"/>
        <item x="73"/>
        <item x="39"/>
        <item x="56"/>
        <item x="105"/>
        <item x="235"/>
        <item x="13"/>
        <item x="155"/>
        <item x="127"/>
        <item x="3"/>
        <item x="0"/>
        <item x="179"/>
        <item x="196"/>
        <item x="21"/>
        <item x="317"/>
        <item x="261"/>
        <item x="87"/>
        <item x="233"/>
        <item x="205"/>
        <item x="295"/>
        <item x="264"/>
        <item x="114"/>
        <item x="226"/>
        <item t="default"/>
      </items>
    </pivotField>
    <pivotField axis="axisRow" showAll="0">
      <items count="6">
        <item x="2"/>
        <item x="4"/>
        <item x="1"/>
        <item x="3"/>
        <item x="0"/>
        <item t="default"/>
      </items>
    </pivotField>
    <pivotField showAll="0">
      <items count="3">
        <item x="1"/>
        <item x="0"/>
        <item t="default"/>
      </items>
    </pivotField>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6">
    <i>
      <x/>
    </i>
    <i>
      <x v="1"/>
    </i>
    <i>
      <x v="2"/>
    </i>
    <i>
      <x v="3"/>
    </i>
    <i>
      <x v="4"/>
    </i>
    <i t="grand">
      <x/>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62412C-AEFA-4DB0-A382-9E132B709A1C}"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5">
  <location ref="R30:S36" firstHeaderRow="1" firstDataRow="1" firstDataCol="1"/>
  <pivotFields count="9">
    <pivotField dataField="1" showAll="0"/>
    <pivotField showAll="0">
      <items count="349">
        <item x="107"/>
        <item x="192"/>
        <item x="96"/>
        <item x="90"/>
        <item x="287"/>
        <item x="272"/>
        <item x="93"/>
        <item x="122"/>
        <item x="50"/>
        <item x="91"/>
        <item x="182"/>
        <item x="301"/>
        <item x="277"/>
        <item x="98"/>
        <item x="27"/>
        <item x="276"/>
        <item x="142"/>
        <item x="117"/>
        <item x="303"/>
        <item x="38"/>
        <item x="95"/>
        <item x="20"/>
        <item x="36"/>
        <item x="201"/>
        <item x="45"/>
        <item x="161"/>
        <item x="173"/>
        <item x="321"/>
        <item x="151"/>
        <item x="250"/>
        <item x="298"/>
        <item x="11"/>
        <item x="170"/>
        <item x="115"/>
        <item x="52"/>
        <item x="193"/>
        <item x="97"/>
        <item x="266"/>
        <item x="176"/>
        <item x="72"/>
        <item x="144"/>
        <item x="101"/>
        <item x="310"/>
        <item x="219"/>
        <item x="254"/>
        <item x="157"/>
        <item x="249"/>
        <item x="123"/>
        <item x="333"/>
        <item x="245"/>
        <item x="343"/>
        <item x="246"/>
        <item x="172"/>
        <item x="323"/>
        <item x="106"/>
        <item x="85"/>
        <item x="74"/>
        <item x="344"/>
        <item x="248"/>
        <item x="40"/>
        <item x="14"/>
        <item x="198"/>
        <item x="118"/>
        <item x="137"/>
        <item x="92"/>
        <item x="283"/>
        <item x="31"/>
        <item x="19"/>
        <item x="211"/>
        <item x="314"/>
        <item x="221"/>
        <item x="139"/>
        <item x="136"/>
        <item x="209"/>
        <item x="109"/>
        <item x="17"/>
        <item x="185"/>
        <item x="207"/>
        <item x="281"/>
        <item x="166"/>
        <item x="84"/>
        <item x="128"/>
        <item x="227"/>
        <item x="57"/>
        <item x="204"/>
        <item x="81"/>
        <item x="78"/>
        <item x="191"/>
        <item x="24"/>
        <item x="202"/>
        <item x="143"/>
        <item x="234"/>
        <item x="165"/>
        <item x="225"/>
        <item x="259"/>
        <item x="322"/>
        <item x="160"/>
        <item x="243"/>
        <item x="251"/>
        <item x="83"/>
        <item x="102"/>
        <item x="338"/>
        <item x="236"/>
        <item x="260"/>
        <item x="216"/>
        <item x="269"/>
        <item x="239"/>
        <item x="206"/>
        <item x="100"/>
        <item x="217"/>
        <item x="145"/>
        <item x="327"/>
        <item x="129"/>
        <item x="320"/>
        <item x="37"/>
        <item x="197"/>
        <item x="302"/>
        <item x="103"/>
        <item x="186"/>
        <item x="67"/>
        <item x="6"/>
        <item x="77"/>
        <item x="229"/>
        <item x="94"/>
        <item x="68"/>
        <item x="253"/>
        <item x="9"/>
        <item x="71"/>
        <item x="331"/>
        <item x="231"/>
        <item x="285"/>
        <item x="60"/>
        <item x="141"/>
        <item x="162"/>
        <item x="64"/>
        <item x="263"/>
        <item x="247"/>
        <item x="305"/>
        <item x="76"/>
        <item x="195"/>
        <item x="167"/>
        <item x="15"/>
        <item x="131"/>
        <item x="150"/>
        <item x="119"/>
        <item x="75"/>
        <item x="163"/>
        <item x="132"/>
        <item x="65"/>
        <item x="238"/>
        <item x="148"/>
        <item x="2"/>
        <item x="274"/>
        <item x="330"/>
        <item x="224"/>
        <item x="55"/>
        <item x="46"/>
        <item x="300"/>
        <item x="332"/>
        <item x="189"/>
        <item x="70"/>
        <item x="82"/>
        <item x="61"/>
        <item x="25"/>
        <item x="183"/>
        <item x="10"/>
        <item x="29"/>
        <item x="326"/>
        <item x="286"/>
        <item x="214"/>
        <item x="35"/>
        <item x="112"/>
        <item x="223"/>
        <item x="175"/>
        <item x="268"/>
        <item x="291"/>
        <item x="294"/>
        <item x="104"/>
        <item x="339"/>
        <item x="116"/>
        <item x="4"/>
        <item x="171"/>
        <item x="177"/>
        <item x="111"/>
        <item x="325"/>
        <item x="297"/>
        <item x="126"/>
        <item x="187"/>
        <item x="255"/>
        <item x="154"/>
        <item x="133"/>
        <item x="340"/>
        <item x="240"/>
        <item x="290"/>
        <item x="345"/>
        <item x="47"/>
        <item x="121"/>
        <item x="108"/>
        <item x="54"/>
        <item x="32"/>
        <item x="280"/>
        <item x="110"/>
        <item x="218"/>
        <item x="53"/>
        <item x="41"/>
        <item x="296"/>
        <item x="329"/>
        <item x="212"/>
        <item x="156"/>
        <item x="230"/>
        <item x="58"/>
        <item x="79"/>
        <item x="152"/>
        <item x="149"/>
        <item x="222"/>
        <item x="337"/>
        <item x="164"/>
        <item x="328"/>
        <item x="241"/>
        <item x="288"/>
        <item x="271"/>
        <item x="334"/>
        <item x="278"/>
        <item x="252"/>
        <item x="181"/>
        <item x="146"/>
        <item x="66"/>
        <item x="299"/>
        <item x="89"/>
        <item x="34"/>
        <item x="28"/>
        <item x="30"/>
        <item x="140"/>
        <item x="307"/>
        <item x="292"/>
        <item x="178"/>
        <item x="309"/>
        <item x="113"/>
        <item x="184"/>
        <item x="347"/>
        <item x="130"/>
        <item x="279"/>
        <item x="237"/>
        <item x="168"/>
        <item x="242"/>
        <item x="275"/>
        <item x="86"/>
        <item x="341"/>
        <item x="8"/>
        <item x="135"/>
        <item x="153"/>
        <item x="69"/>
        <item x="49"/>
        <item x="63"/>
        <item x="336"/>
        <item x="273"/>
        <item x="174"/>
        <item x="210"/>
        <item x="319"/>
        <item x="88"/>
        <item x="147"/>
        <item x="308"/>
        <item x="257"/>
        <item x="43"/>
        <item x="335"/>
        <item x="282"/>
        <item x="23"/>
        <item x="7"/>
        <item x="12"/>
        <item x="265"/>
        <item x="51"/>
        <item x="256"/>
        <item x="48"/>
        <item x="244"/>
        <item x="194"/>
        <item x="188"/>
        <item x="18"/>
        <item x="293"/>
        <item x="125"/>
        <item x="315"/>
        <item x="42"/>
        <item x="26"/>
        <item x="190"/>
        <item x="318"/>
        <item x="213"/>
        <item x="342"/>
        <item x="311"/>
        <item x="134"/>
        <item x="267"/>
        <item x="232"/>
        <item x="306"/>
        <item x="270"/>
        <item x="159"/>
        <item x="158"/>
        <item x="228"/>
        <item x="220"/>
        <item x="289"/>
        <item x="62"/>
        <item x="33"/>
        <item x="208"/>
        <item x="1"/>
        <item x="324"/>
        <item x="22"/>
        <item x="59"/>
        <item x="180"/>
        <item x="44"/>
        <item x="169"/>
        <item x="346"/>
        <item x="124"/>
        <item x="203"/>
        <item x="313"/>
        <item x="304"/>
        <item x="215"/>
        <item x="99"/>
        <item x="138"/>
        <item x="258"/>
        <item x="262"/>
        <item x="5"/>
        <item x="200"/>
        <item x="284"/>
        <item x="120"/>
        <item x="16"/>
        <item x="199"/>
        <item x="80"/>
        <item x="312"/>
        <item x="316"/>
        <item x="73"/>
        <item x="39"/>
        <item x="56"/>
        <item x="105"/>
        <item x="235"/>
        <item x="13"/>
        <item x="155"/>
        <item x="127"/>
        <item x="3"/>
        <item x="0"/>
        <item x="179"/>
        <item x="196"/>
        <item x="21"/>
        <item x="317"/>
        <item x="261"/>
        <item x="87"/>
        <item x="233"/>
        <item x="205"/>
        <item x="295"/>
        <item x="264"/>
        <item x="114"/>
        <item x="226"/>
        <item t="default"/>
      </items>
    </pivotField>
    <pivotField axis="axisRow" showAll="0">
      <items count="6">
        <item x="2"/>
        <item x="4"/>
        <item x="1"/>
        <item x="3"/>
        <item x="0"/>
        <item t="default"/>
      </items>
    </pivotField>
    <pivotField showAll="0">
      <items count="3">
        <item x="1"/>
        <item x="0"/>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6">
    <i>
      <x/>
    </i>
    <i>
      <x v="1"/>
    </i>
    <i>
      <x v="2"/>
    </i>
    <i>
      <x v="3"/>
    </i>
    <i>
      <x v="4"/>
    </i>
    <i t="grand">
      <x/>
    </i>
  </rowItems>
  <colItems count="1">
    <i/>
  </colItems>
  <dataFields count="1">
    <dataField name="Count of Order ID" fld="0" subtotal="count" baseField="2" baseItem="0"/>
  </dataFields>
  <chartFormats count="10">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2" count="1" selected="0">
            <x v="3"/>
          </reference>
        </references>
      </pivotArea>
    </chartFormat>
    <chartFormat chart="23" format="4">
      <pivotArea type="data" outline="0" fieldPosition="0">
        <references count="2">
          <reference field="4294967294" count="1" selected="0">
            <x v="0"/>
          </reference>
          <reference field="2" count="1" selected="0">
            <x v="2"/>
          </reference>
        </references>
      </pivotArea>
    </chartFormat>
    <chartFormat chart="23" format="5">
      <pivotArea type="data" outline="0" fieldPosition="0">
        <references count="2">
          <reference field="4294967294" count="1" selected="0">
            <x v="0"/>
          </reference>
          <reference field="2" count="1" selected="0">
            <x v="4"/>
          </reference>
        </references>
      </pivotArea>
    </chartFormat>
    <chartFormat chart="23" format="6">
      <pivotArea type="data" outline="0" fieldPosition="0">
        <references count="2">
          <reference field="4294967294" count="1" selected="0">
            <x v="0"/>
          </reference>
          <reference field="2" count="1" selected="0">
            <x v="0"/>
          </reference>
        </references>
      </pivotArea>
    </chartFormat>
    <chartFormat chart="23" format="7">
      <pivotArea type="data" outline="0" fieldPosition="0">
        <references count="2">
          <reference field="4294967294" count="1" selected="0">
            <x v="0"/>
          </reference>
          <reference field="2" count="1" selected="0">
            <x v="1"/>
          </reference>
        </references>
      </pivotArea>
    </chartFormat>
    <chartFormat chart="23" format="10" series="1">
      <pivotArea type="data" outline="0" fieldPosition="0">
        <references count="2">
          <reference field="4294967294" count="1" selected="0">
            <x v="0"/>
          </reference>
          <reference field="2" count="1" selected="0">
            <x v="1"/>
          </reference>
        </references>
      </pivotArea>
    </chartFormat>
    <chartFormat chart="23" format="11" series="1">
      <pivotArea type="data" outline="0" fieldPosition="0">
        <references count="2">
          <reference field="4294967294" count="1" selected="0">
            <x v="0"/>
          </reference>
          <reference field="2" count="1" selected="0">
            <x v="2"/>
          </reference>
        </references>
      </pivotArea>
    </chartFormat>
    <chartFormat chart="23" format="12" series="1">
      <pivotArea type="data" outline="0" fieldPosition="0">
        <references count="2">
          <reference field="4294967294" count="1" selected="0">
            <x v="0"/>
          </reference>
          <reference field="2" count="1" selected="0">
            <x v="3"/>
          </reference>
        </references>
      </pivotArea>
    </chartFormat>
    <chartFormat chart="23" format="13"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D0B5237-07DA-445C-B535-040F8200111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N1:P6" firstHeaderRow="0" firstDataRow="1" firstDataCol="1"/>
  <pivotFields count="9">
    <pivotField showAll="0"/>
    <pivotField showAll="0">
      <items count="349">
        <item x="107"/>
        <item x="192"/>
        <item x="96"/>
        <item x="90"/>
        <item x="287"/>
        <item x="272"/>
        <item x="93"/>
        <item x="122"/>
        <item x="50"/>
        <item x="91"/>
        <item x="182"/>
        <item x="301"/>
        <item x="277"/>
        <item x="98"/>
        <item x="27"/>
        <item x="276"/>
        <item x="142"/>
        <item x="117"/>
        <item x="303"/>
        <item x="38"/>
        <item x="95"/>
        <item x="20"/>
        <item x="36"/>
        <item x="201"/>
        <item x="45"/>
        <item x="161"/>
        <item x="173"/>
        <item x="321"/>
        <item x="151"/>
        <item x="250"/>
        <item x="298"/>
        <item x="11"/>
        <item x="170"/>
        <item x="115"/>
        <item x="52"/>
        <item x="193"/>
        <item x="97"/>
        <item x="266"/>
        <item x="176"/>
        <item x="72"/>
        <item x="144"/>
        <item x="101"/>
        <item x="310"/>
        <item x="219"/>
        <item x="254"/>
        <item x="157"/>
        <item x="249"/>
        <item x="123"/>
        <item x="333"/>
        <item x="245"/>
        <item x="343"/>
        <item x="246"/>
        <item x="172"/>
        <item x="323"/>
        <item x="106"/>
        <item x="85"/>
        <item x="74"/>
        <item x="344"/>
        <item x="248"/>
        <item x="40"/>
        <item x="14"/>
        <item x="198"/>
        <item x="118"/>
        <item x="137"/>
        <item x="92"/>
        <item x="283"/>
        <item x="31"/>
        <item x="19"/>
        <item x="211"/>
        <item x="314"/>
        <item x="221"/>
        <item x="139"/>
        <item x="136"/>
        <item x="209"/>
        <item x="109"/>
        <item x="17"/>
        <item x="185"/>
        <item x="207"/>
        <item x="281"/>
        <item x="166"/>
        <item x="84"/>
        <item x="128"/>
        <item x="227"/>
        <item x="57"/>
        <item x="204"/>
        <item x="81"/>
        <item x="78"/>
        <item x="191"/>
        <item x="24"/>
        <item x="202"/>
        <item x="143"/>
        <item x="234"/>
        <item x="165"/>
        <item x="225"/>
        <item x="259"/>
        <item x="322"/>
        <item x="160"/>
        <item x="243"/>
        <item x="251"/>
        <item x="83"/>
        <item x="102"/>
        <item x="338"/>
        <item x="236"/>
        <item x="260"/>
        <item x="216"/>
        <item x="269"/>
        <item x="239"/>
        <item x="206"/>
        <item x="100"/>
        <item x="217"/>
        <item x="145"/>
        <item x="327"/>
        <item x="129"/>
        <item x="320"/>
        <item x="37"/>
        <item x="197"/>
        <item x="302"/>
        <item x="103"/>
        <item x="186"/>
        <item x="67"/>
        <item x="6"/>
        <item x="77"/>
        <item x="229"/>
        <item x="94"/>
        <item x="68"/>
        <item x="253"/>
        <item x="9"/>
        <item x="71"/>
        <item x="331"/>
        <item x="231"/>
        <item x="285"/>
        <item x="60"/>
        <item x="141"/>
        <item x="162"/>
        <item x="64"/>
        <item x="263"/>
        <item x="247"/>
        <item x="305"/>
        <item x="76"/>
        <item x="195"/>
        <item x="167"/>
        <item x="15"/>
        <item x="131"/>
        <item x="150"/>
        <item x="119"/>
        <item x="75"/>
        <item x="163"/>
        <item x="132"/>
        <item x="65"/>
        <item x="238"/>
        <item x="148"/>
        <item x="2"/>
        <item x="274"/>
        <item x="330"/>
        <item x="224"/>
        <item x="55"/>
        <item x="46"/>
        <item x="300"/>
        <item x="332"/>
        <item x="189"/>
        <item x="70"/>
        <item x="82"/>
        <item x="61"/>
        <item x="25"/>
        <item x="183"/>
        <item x="10"/>
        <item x="29"/>
        <item x="326"/>
        <item x="286"/>
        <item x="214"/>
        <item x="35"/>
        <item x="112"/>
        <item x="223"/>
        <item x="175"/>
        <item x="268"/>
        <item x="291"/>
        <item x="294"/>
        <item x="104"/>
        <item x="339"/>
        <item x="116"/>
        <item x="4"/>
        <item x="171"/>
        <item x="177"/>
        <item x="111"/>
        <item x="325"/>
        <item x="297"/>
        <item x="126"/>
        <item x="187"/>
        <item x="255"/>
        <item x="154"/>
        <item x="133"/>
        <item x="340"/>
        <item x="240"/>
        <item x="290"/>
        <item x="345"/>
        <item x="47"/>
        <item x="121"/>
        <item x="108"/>
        <item x="54"/>
        <item x="32"/>
        <item x="280"/>
        <item x="110"/>
        <item x="218"/>
        <item x="53"/>
        <item x="41"/>
        <item x="296"/>
        <item x="329"/>
        <item x="212"/>
        <item x="156"/>
        <item x="230"/>
        <item x="58"/>
        <item x="79"/>
        <item x="152"/>
        <item x="149"/>
        <item x="222"/>
        <item x="337"/>
        <item x="164"/>
        <item x="328"/>
        <item x="241"/>
        <item x="288"/>
        <item x="271"/>
        <item x="334"/>
        <item x="278"/>
        <item x="252"/>
        <item x="181"/>
        <item x="146"/>
        <item x="66"/>
        <item x="299"/>
        <item x="89"/>
        <item x="34"/>
        <item x="28"/>
        <item x="30"/>
        <item x="140"/>
        <item x="307"/>
        <item x="292"/>
        <item x="178"/>
        <item x="309"/>
        <item x="113"/>
        <item x="184"/>
        <item x="347"/>
        <item x="130"/>
        <item x="279"/>
        <item x="237"/>
        <item x="168"/>
        <item x="242"/>
        <item x="275"/>
        <item x="86"/>
        <item x="341"/>
        <item x="8"/>
        <item x="135"/>
        <item x="153"/>
        <item x="69"/>
        <item x="49"/>
        <item x="63"/>
        <item x="336"/>
        <item x="273"/>
        <item x="174"/>
        <item x="210"/>
        <item x="319"/>
        <item x="88"/>
        <item x="147"/>
        <item x="308"/>
        <item x="257"/>
        <item x="43"/>
        <item x="335"/>
        <item x="282"/>
        <item x="23"/>
        <item x="7"/>
        <item x="12"/>
        <item x="265"/>
        <item x="51"/>
        <item x="256"/>
        <item x="48"/>
        <item x="244"/>
        <item x="194"/>
        <item x="188"/>
        <item x="18"/>
        <item x="293"/>
        <item x="125"/>
        <item x="315"/>
        <item x="42"/>
        <item x="26"/>
        <item x="190"/>
        <item x="318"/>
        <item x="213"/>
        <item x="342"/>
        <item x="311"/>
        <item x="134"/>
        <item x="267"/>
        <item x="232"/>
        <item x="306"/>
        <item x="270"/>
        <item x="159"/>
        <item x="158"/>
        <item x="228"/>
        <item x="220"/>
        <item x="289"/>
        <item x="62"/>
        <item x="33"/>
        <item x="208"/>
        <item x="1"/>
        <item x="324"/>
        <item x="22"/>
        <item x="59"/>
        <item x="180"/>
        <item x="44"/>
        <item x="169"/>
        <item x="346"/>
        <item x="124"/>
        <item x="203"/>
        <item x="313"/>
        <item x="304"/>
        <item x="215"/>
        <item x="99"/>
        <item x="138"/>
        <item x="258"/>
        <item x="262"/>
        <item x="5"/>
        <item x="200"/>
        <item x="284"/>
        <item x="120"/>
        <item x="16"/>
        <item x="199"/>
        <item x="80"/>
        <item x="312"/>
        <item x="316"/>
        <item x="73"/>
        <item x="39"/>
        <item x="56"/>
        <item x="105"/>
        <item x="235"/>
        <item x="13"/>
        <item x="155"/>
        <item x="127"/>
        <item x="3"/>
        <item x="0"/>
        <item x="179"/>
        <item x="196"/>
        <item x="21"/>
        <item x="317"/>
        <item x="261"/>
        <item x="87"/>
        <item x="233"/>
        <item x="205"/>
        <item x="295"/>
        <item x="264"/>
        <item x="114"/>
        <item x="226"/>
        <item t="default"/>
      </items>
    </pivotField>
    <pivotField showAll="0"/>
    <pivotField showAll="0">
      <items count="3">
        <item x="1"/>
        <item x="0"/>
        <item t="default"/>
      </items>
    </pivotField>
    <pivotField dataField="1" showAll="0"/>
    <pivotField dataField="1" showAll="0"/>
    <pivotField axis="axisRow" showAll="0">
      <items count="5">
        <item x="3"/>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Fields count="1">
    <field x="-2"/>
  </colFields>
  <colItems count="2">
    <i>
      <x/>
    </i>
    <i i="1">
      <x v="1"/>
    </i>
  </colItems>
  <dataFields count="2">
    <dataField name="Sum of Sales" fld="4" showDataAs="percentOfTotal" baseField="0" baseItem="0" numFmtId="10"/>
    <dataField name="Sum of Profit" fld="5" showDataAs="percentOfCol" baseField="0" baseItem="0" numFmtId="10"/>
  </dataFields>
  <chartFormats count="10">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6" format="6">
      <pivotArea type="data" outline="0" fieldPosition="0">
        <references count="2">
          <reference field="4294967294" count="1" selected="0">
            <x v="1"/>
          </reference>
          <reference field="6" count="1" selected="0">
            <x v="2"/>
          </reference>
        </references>
      </pivotArea>
    </chartFormat>
    <chartFormat chart="6" format="7">
      <pivotArea type="data" outline="0" fieldPosition="0">
        <references count="2">
          <reference field="4294967294" count="1" selected="0">
            <x v="1"/>
          </reference>
          <reference field="6" count="1" selected="0">
            <x v="1"/>
          </reference>
        </references>
      </pivotArea>
    </chartFormat>
    <chartFormat chart="6" format="8">
      <pivotArea type="data" outline="0" fieldPosition="0">
        <references count="2">
          <reference field="4294967294" count="1" selected="0">
            <x v="1"/>
          </reference>
          <reference field="6" count="1" selected="0">
            <x v="0"/>
          </reference>
        </references>
      </pivotArea>
    </chartFormat>
    <chartFormat chart="6" format="9">
      <pivotArea type="data" outline="0" fieldPosition="0">
        <references count="2">
          <reference field="4294967294" count="1" selected="0">
            <x v="1"/>
          </reference>
          <reference field="6" count="1" selected="0">
            <x v="3"/>
          </reference>
        </references>
      </pivotArea>
    </chartFormat>
    <chartFormat chart="6" format="10">
      <pivotArea type="data" outline="0" fieldPosition="0">
        <references count="2">
          <reference field="4294967294" count="1" selected="0">
            <x v="0"/>
          </reference>
          <reference field="6" count="1" selected="0">
            <x v="2"/>
          </reference>
        </references>
      </pivotArea>
    </chartFormat>
    <chartFormat chart="6" format="11">
      <pivotArea type="data" outline="0" fieldPosition="0">
        <references count="2">
          <reference field="4294967294" count="1" selected="0">
            <x v="0"/>
          </reference>
          <reference field="6" count="1" selected="0">
            <x v="1"/>
          </reference>
        </references>
      </pivotArea>
    </chartFormat>
    <chartFormat chart="6" format="12">
      <pivotArea type="data" outline="0" fieldPosition="0">
        <references count="2">
          <reference field="4294967294" count="1" selected="0">
            <x v="0"/>
          </reference>
          <reference field="6" count="1" selected="0">
            <x v="0"/>
          </reference>
        </references>
      </pivotArea>
    </chartFormat>
    <chartFormat chart="6" format="13">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C93D9AA-7282-4087-8694-32955BD7F9F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5:W6" firstHeaderRow="0" firstDataRow="1" firstDataCol="0"/>
  <pivotFields count="9">
    <pivotField dataField="1" showAll="0"/>
    <pivotField showAll="0">
      <items count="349">
        <item x="107"/>
        <item x="192"/>
        <item x="96"/>
        <item x="90"/>
        <item x="287"/>
        <item x="272"/>
        <item x="93"/>
        <item x="122"/>
        <item x="50"/>
        <item x="91"/>
        <item x="182"/>
        <item x="301"/>
        <item x="277"/>
        <item x="98"/>
        <item x="27"/>
        <item x="276"/>
        <item x="142"/>
        <item x="117"/>
        <item x="303"/>
        <item x="38"/>
        <item x="95"/>
        <item x="20"/>
        <item x="36"/>
        <item x="201"/>
        <item x="45"/>
        <item x="161"/>
        <item x="173"/>
        <item x="321"/>
        <item x="151"/>
        <item x="250"/>
        <item x="298"/>
        <item x="11"/>
        <item x="170"/>
        <item x="115"/>
        <item x="52"/>
        <item x="193"/>
        <item x="97"/>
        <item x="266"/>
        <item x="176"/>
        <item x="72"/>
        <item x="144"/>
        <item x="101"/>
        <item x="310"/>
        <item x="219"/>
        <item x="254"/>
        <item x="157"/>
        <item x="249"/>
        <item x="123"/>
        <item x="333"/>
        <item x="245"/>
        <item x="343"/>
        <item x="246"/>
        <item x="172"/>
        <item x="323"/>
        <item x="106"/>
        <item x="85"/>
        <item x="74"/>
        <item x="344"/>
        <item x="248"/>
        <item x="40"/>
        <item x="14"/>
        <item x="198"/>
        <item x="118"/>
        <item x="137"/>
        <item x="92"/>
        <item x="283"/>
        <item x="31"/>
        <item x="19"/>
        <item x="211"/>
        <item x="314"/>
        <item x="221"/>
        <item x="139"/>
        <item x="136"/>
        <item x="209"/>
        <item x="109"/>
        <item x="17"/>
        <item x="185"/>
        <item x="207"/>
        <item x="281"/>
        <item x="166"/>
        <item x="84"/>
        <item x="128"/>
        <item x="227"/>
        <item x="57"/>
        <item x="204"/>
        <item x="81"/>
        <item x="78"/>
        <item x="191"/>
        <item x="24"/>
        <item x="202"/>
        <item x="143"/>
        <item x="234"/>
        <item x="165"/>
        <item x="225"/>
        <item x="259"/>
        <item x="322"/>
        <item x="160"/>
        <item x="243"/>
        <item x="251"/>
        <item x="83"/>
        <item x="102"/>
        <item x="338"/>
        <item x="236"/>
        <item x="260"/>
        <item x="216"/>
        <item x="269"/>
        <item x="239"/>
        <item x="206"/>
        <item x="100"/>
        <item x="217"/>
        <item x="145"/>
        <item x="327"/>
        <item x="129"/>
        <item x="320"/>
        <item x="37"/>
        <item x="197"/>
        <item x="302"/>
        <item x="103"/>
        <item x="186"/>
        <item x="67"/>
        <item x="6"/>
        <item x="77"/>
        <item x="229"/>
        <item x="94"/>
        <item x="68"/>
        <item x="253"/>
        <item x="9"/>
        <item x="71"/>
        <item x="331"/>
        <item x="231"/>
        <item x="285"/>
        <item x="60"/>
        <item x="141"/>
        <item x="162"/>
        <item x="64"/>
        <item x="263"/>
        <item x="247"/>
        <item x="305"/>
        <item x="76"/>
        <item x="195"/>
        <item x="167"/>
        <item x="15"/>
        <item x="131"/>
        <item x="150"/>
        <item x="119"/>
        <item x="75"/>
        <item x="163"/>
        <item x="132"/>
        <item x="65"/>
        <item x="238"/>
        <item x="148"/>
        <item x="2"/>
        <item x="274"/>
        <item x="330"/>
        <item x="224"/>
        <item x="55"/>
        <item x="46"/>
        <item x="300"/>
        <item x="332"/>
        <item x="189"/>
        <item x="70"/>
        <item x="82"/>
        <item x="61"/>
        <item x="25"/>
        <item x="183"/>
        <item x="10"/>
        <item x="29"/>
        <item x="326"/>
        <item x="286"/>
        <item x="214"/>
        <item x="35"/>
        <item x="112"/>
        <item x="223"/>
        <item x="175"/>
        <item x="268"/>
        <item x="291"/>
        <item x="294"/>
        <item x="104"/>
        <item x="339"/>
        <item x="116"/>
        <item x="4"/>
        <item x="171"/>
        <item x="177"/>
        <item x="111"/>
        <item x="325"/>
        <item x="297"/>
        <item x="126"/>
        <item x="187"/>
        <item x="255"/>
        <item x="154"/>
        <item x="133"/>
        <item x="340"/>
        <item x="240"/>
        <item x="290"/>
        <item x="345"/>
        <item x="47"/>
        <item x="121"/>
        <item x="108"/>
        <item x="54"/>
        <item x="32"/>
        <item x="280"/>
        <item x="110"/>
        <item x="218"/>
        <item x="53"/>
        <item x="41"/>
        <item x="296"/>
        <item x="329"/>
        <item x="212"/>
        <item x="156"/>
        <item x="230"/>
        <item x="58"/>
        <item x="79"/>
        <item x="152"/>
        <item x="149"/>
        <item x="222"/>
        <item x="337"/>
        <item x="164"/>
        <item x="328"/>
        <item x="241"/>
        <item x="288"/>
        <item x="271"/>
        <item x="334"/>
        <item x="278"/>
        <item x="252"/>
        <item x="181"/>
        <item x="146"/>
        <item x="66"/>
        <item x="299"/>
        <item x="89"/>
        <item x="34"/>
        <item x="28"/>
        <item x="30"/>
        <item x="140"/>
        <item x="307"/>
        <item x="292"/>
        <item x="178"/>
        <item x="309"/>
        <item x="113"/>
        <item x="184"/>
        <item x="347"/>
        <item x="130"/>
        <item x="279"/>
        <item x="237"/>
        <item x="168"/>
        <item x="242"/>
        <item x="275"/>
        <item x="86"/>
        <item x="341"/>
        <item x="8"/>
        <item x="135"/>
        <item x="153"/>
        <item x="69"/>
        <item x="49"/>
        <item x="63"/>
        <item x="336"/>
        <item x="273"/>
        <item x="174"/>
        <item x="210"/>
        <item x="319"/>
        <item x="88"/>
        <item x="147"/>
        <item x="308"/>
        <item x="257"/>
        <item x="43"/>
        <item x="335"/>
        <item x="282"/>
        <item x="23"/>
        <item x="7"/>
        <item x="12"/>
        <item x="265"/>
        <item x="51"/>
        <item x="256"/>
        <item x="48"/>
        <item x="244"/>
        <item x="194"/>
        <item x="188"/>
        <item x="18"/>
        <item x="293"/>
        <item x="125"/>
        <item x="315"/>
        <item x="42"/>
        <item x="26"/>
        <item x="190"/>
        <item x="318"/>
        <item x="213"/>
        <item x="342"/>
        <item x="311"/>
        <item x="134"/>
        <item x="267"/>
        <item x="232"/>
        <item x="306"/>
        <item x="270"/>
        <item x="159"/>
        <item x="158"/>
        <item x="228"/>
        <item x="220"/>
        <item x="289"/>
        <item x="62"/>
        <item x="33"/>
        <item x="208"/>
        <item x="1"/>
        <item x="324"/>
        <item x="22"/>
        <item x="59"/>
        <item x="180"/>
        <item x="44"/>
        <item x="169"/>
        <item x="346"/>
        <item x="124"/>
        <item x="203"/>
        <item x="313"/>
        <item x="304"/>
        <item x="215"/>
        <item x="99"/>
        <item x="138"/>
        <item x="258"/>
        <item x="262"/>
        <item x="5"/>
        <item x="200"/>
        <item x="284"/>
        <item x="120"/>
        <item x="16"/>
        <item x="199"/>
        <item x="80"/>
        <item x="312"/>
        <item x="316"/>
        <item x="73"/>
        <item x="39"/>
        <item x="56"/>
        <item x="105"/>
        <item x="235"/>
        <item x="13"/>
        <item x="155"/>
        <item x="127"/>
        <item x="3"/>
        <item x="0"/>
        <item x="179"/>
        <item x="196"/>
        <item x="21"/>
        <item x="317"/>
        <item x="261"/>
        <item x="87"/>
        <item x="233"/>
        <item x="205"/>
        <item x="295"/>
        <item x="264"/>
        <item x="114"/>
        <item x="226"/>
        <item t="default"/>
      </items>
    </pivotField>
    <pivotField showAll="0"/>
    <pivotField showAll="0">
      <items count="3">
        <item x="1"/>
        <item x="0"/>
        <item t="default"/>
      </items>
    </pivotField>
    <pivotField dataField="1"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2"/>
  </colFields>
  <colItems count="3">
    <i>
      <x/>
    </i>
    <i i="1">
      <x v="1"/>
    </i>
    <i i="2">
      <x v="2"/>
    </i>
  </colItems>
  <dataFields count="3">
    <dataField name="Count of Order ID" fld="0" subtotal="count" baseField="2" baseItem="0"/>
    <dataField name="Sum of Sales" fld="4" baseField="0" baseItem="0"/>
    <dataField name="Sum of Profi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07FEC19-60EF-4938-B5BC-073EDE4A3366}" sourceName="Category">
  <pivotTables>
    <pivotTable tabId="3" name="PivotTable5"/>
    <pivotTable tabId="3" name="PivotTable1"/>
    <pivotTable tabId="3" name="PivotTable11"/>
    <pivotTable tabId="3" name="PivotTable12"/>
    <pivotTable tabId="3" name="PivotTable4"/>
    <pivotTable tabId="3" name="PivotTable6"/>
    <pivotTable tabId="3" name="PivotTable7"/>
    <pivotTable tabId="3" name="PivotTable8"/>
    <pivotTable tabId="3" name="PivotTable9"/>
    <pivotTable tabId="10" name="PivotTable1"/>
  </pivotTables>
  <data>
    <tabular pivotCacheId="84998259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211631B3-7441-4C73-B5C0-41D2AAAF21BB}" sourceName="Months (Order Date)">
  <pivotTables>
    <pivotTable tabId="3" name="PivotTable5"/>
    <pivotTable tabId="3" name="PivotTable1"/>
    <pivotTable tabId="3" name="PivotTable11"/>
    <pivotTable tabId="3" name="PivotTable12"/>
    <pivotTable tabId="3" name="PivotTable4"/>
    <pivotTable tabId="3" name="PivotTable6"/>
    <pivotTable tabId="3" name="PivotTable7"/>
    <pivotTable tabId="3" name="PivotTable8"/>
    <pivotTable tabId="3" name="PivotTable9"/>
    <pivotTable tabId="10" name="PivotTable1"/>
  </pivotTables>
  <data>
    <tabular pivotCacheId="849982593">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EF037674-2E8E-467E-A7AE-7D9638FC698E}" cache="Slicer_Category" caption="Category" style="SlicerStyleLight4" rowHeight="234950"/>
  <slicer name="Months (Order Date) 1" xr10:uid="{3C423317-7A2E-4DDC-B465-A69CCE3A85ED}" cache="Slicer_Months__Order_Date" caption="Months (Order Date)" columnCount="2" style="SlicerStyleLight4"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52BDDEF-41DD-4E10-8BE5-24ED0B640677}" name="Table3" displayName="Table3" ref="A1:G1001" totalsRowShown="0">
  <autoFilter ref="A1:G1001" xr:uid="{F52BDDEF-41DD-4E10-8BE5-24ED0B640677}"/>
  <tableColumns count="7">
    <tableColumn id="1" xr3:uid="{9E9EF3FA-0635-41FB-8338-56307FF1CFCC}" name="Order ID"/>
    <tableColumn id="2" xr3:uid="{70C33FAC-4105-4BF2-8306-91E90FF89201}" name="Order Date"/>
    <tableColumn id="3" xr3:uid="{1CCA11D8-C878-4FD9-9970-892462A72339}" name="Product"/>
    <tableColumn id="4" xr3:uid="{7D7A9F47-F065-4532-A338-137431C8C4DE}" name="Category"/>
    <tableColumn id="5" xr3:uid="{82F3929C-1D22-468F-9B06-6B88C6F7786C}" name="Sales"/>
    <tableColumn id="6" xr3:uid="{FAE7C1AD-1123-4377-8581-BD635F22C9BA}" name="Profit"/>
    <tableColumn id="7" xr3:uid="{B4E444C3-E38D-4BEE-B824-C68DE0B6C21C}" name="Reg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table" Target="../tables/table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0.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01"/>
  <sheetViews>
    <sheetView tabSelected="1" workbookViewId="0">
      <selection activeCell="I4" sqref="I3:J4"/>
    </sheetView>
  </sheetViews>
  <sheetFormatPr defaultRowHeight="14.4" x14ac:dyDescent="0.3"/>
  <cols>
    <col min="1" max="1" width="9.88671875" customWidth="1"/>
    <col min="2" max="2" width="12" customWidth="1"/>
    <col min="3" max="3" width="9.5546875" customWidth="1"/>
    <col min="4" max="4" width="10.44140625" customWidth="1"/>
    <col min="9" max="9" width="12.5546875" bestFit="1" customWidth="1"/>
    <col min="10" max="10" width="15.88671875" bestFit="1" customWidth="1"/>
    <col min="11" max="11" width="11.6640625" bestFit="1" customWidth="1"/>
    <col min="12" max="12" width="12.109375" bestFit="1" customWidth="1"/>
    <col min="13" max="15" width="12.5546875" bestFit="1" customWidth="1"/>
    <col min="16" max="16" width="11.6640625" bestFit="1" customWidth="1"/>
    <col min="17" max="17" width="12.5546875" bestFit="1" customWidth="1"/>
    <col min="18" max="18" width="11.6640625" bestFit="1" customWidth="1"/>
    <col min="19" max="19" width="16.44140625" bestFit="1" customWidth="1"/>
    <col min="20" max="20" width="16.88671875" bestFit="1" customWidth="1"/>
  </cols>
  <sheetData>
    <row r="1" spans="1:16" x14ac:dyDescent="0.3">
      <c r="A1" t="s">
        <v>1</v>
      </c>
      <c r="B1" t="s">
        <v>2</v>
      </c>
      <c r="C1" t="s">
        <v>3</v>
      </c>
      <c r="D1" t="s">
        <v>4</v>
      </c>
      <c r="E1" t="s">
        <v>0</v>
      </c>
      <c r="F1" t="s">
        <v>5</v>
      </c>
      <c r="G1" t="s">
        <v>6</v>
      </c>
      <c r="N1" s="1" t="s">
        <v>18</v>
      </c>
      <c r="O1" t="s">
        <v>20</v>
      </c>
      <c r="P1" t="s">
        <v>21</v>
      </c>
    </row>
    <row r="2" spans="1:16" x14ac:dyDescent="0.3">
      <c r="A2">
        <v>1</v>
      </c>
      <c r="B2" s="4">
        <v>45645</v>
      </c>
      <c r="C2" t="s">
        <v>7</v>
      </c>
      <c r="D2" t="s">
        <v>8</v>
      </c>
      <c r="E2">
        <v>41475</v>
      </c>
      <c r="F2">
        <v>5231</v>
      </c>
      <c r="G2" t="s">
        <v>9</v>
      </c>
      <c r="N2" s="2" t="s">
        <v>16</v>
      </c>
      <c r="O2" s="5">
        <v>0.27106260297586399</v>
      </c>
      <c r="P2" s="5">
        <v>0.24950804321187789</v>
      </c>
    </row>
    <row r="3" spans="1:16" x14ac:dyDescent="0.3">
      <c r="A3">
        <v>2</v>
      </c>
      <c r="B3" s="4">
        <v>45608</v>
      </c>
      <c r="C3" t="s">
        <v>10</v>
      </c>
      <c r="D3" t="s">
        <v>11</v>
      </c>
      <c r="E3">
        <v>26581</v>
      </c>
      <c r="F3">
        <v>6751</v>
      </c>
      <c r="G3" t="s">
        <v>9</v>
      </c>
      <c r="I3" s="1" t="s">
        <v>18</v>
      </c>
      <c r="J3" t="s">
        <v>20</v>
      </c>
      <c r="K3" t="s">
        <v>21</v>
      </c>
      <c r="N3" s="2" t="s">
        <v>9</v>
      </c>
      <c r="O3" s="5">
        <v>0.23788678585530434</v>
      </c>
      <c r="P3" s="5">
        <v>0.24387539510815212</v>
      </c>
    </row>
    <row r="4" spans="1:16" x14ac:dyDescent="0.3">
      <c r="A4">
        <v>3</v>
      </c>
      <c r="B4" s="4">
        <v>45449</v>
      </c>
      <c r="C4" t="s">
        <v>12</v>
      </c>
      <c r="D4" t="s">
        <v>11</v>
      </c>
      <c r="E4">
        <v>33768</v>
      </c>
      <c r="F4">
        <v>-842</v>
      </c>
      <c r="G4" t="s">
        <v>13</v>
      </c>
      <c r="I4" s="2" t="s">
        <v>12</v>
      </c>
      <c r="J4" s="7">
        <v>4249363</v>
      </c>
      <c r="K4" s="7">
        <v>712149</v>
      </c>
      <c r="N4" s="2" t="s">
        <v>13</v>
      </c>
      <c r="O4" s="5">
        <v>0.25061090666196617</v>
      </c>
      <c r="P4" s="5">
        <v>0.26114016434148313</v>
      </c>
    </row>
    <row r="5" spans="1:16" x14ac:dyDescent="0.3">
      <c r="A5">
        <v>4</v>
      </c>
      <c r="B5" s="4">
        <v>45644</v>
      </c>
      <c r="C5" t="s">
        <v>10</v>
      </c>
      <c r="D5" t="s">
        <v>11</v>
      </c>
      <c r="E5">
        <v>22745</v>
      </c>
      <c r="F5">
        <v>1034</v>
      </c>
      <c r="G5" t="s">
        <v>14</v>
      </c>
      <c r="I5" s="2" t="s">
        <v>17</v>
      </c>
      <c r="J5" s="7">
        <v>4467802</v>
      </c>
      <c r="K5" s="7">
        <v>746545</v>
      </c>
      <c r="N5" s="2" t="s">
        <v>14</v>
      </c>
      <c r="O5" s="5">
        <v>0.2404397045068655</v>
      </c>
      <c r="P5" s="5">
        <v>0.24547639733848683</v>
      </c>
    </row>
    <row r="6" spans="1:16" x14ac:dyDescent="0.3">
      <c r="A6">
        <v>5</v>
      </c>
      <c r="B6" s="4">
        <v>45482</v>
      </c>
      <c r="C6" t="s">
        <v>15</v>
      </c>
      <c r="D6" t="s">
        <v>8</v>
      </c>
      <c r="E6">
        <v>38165</v>
      </c>
      <c r="F6">
        <v>1837</v>
      </c>
      <c r="G6" t="s">
        <v>13</v>
      </c>
      <c r="I6" s="2" t="s">
        <v>10</v>
      </c>
      <c r="J6" s="7">
        <v>5317502</v>
      </c>
      <c r="K6" s="7">
        <v>991387</v>
      </c>
      <c r="N6" s="2" t="s">
        <v>19</v>
      </c>
      <c r="O6" s="5">
        <v>1</v>
      </c>
      <c r="P6" s="5">
        <v>1</v>
      </c>
    </row>
    <row r="7" spans="1:16" x14ac:dyDescent="0.3">
      <c r="A7">
        <v>6</v>
      </c>
      <c r="B7" s="4">
        <v>45627</v>
      </c>
      <c r="C7" t="s">
        <v>12</v>
      </c>
      <c r="D7" t="s">
        <v>8</v>
      </c>
      <c r="E7">
        <v>1362</v>
      </c>
      <c r="F7">
        <v>2647</v>
      </c>
      <c r="G7" t="s">
        <v>13</v>
      </c>
      <c r="I7" s="2" t="s">
        <v>15</v>
      </c>
      <c r="J7" s="7">
        <v>5376577</v>
      </c>
      <c r="K7" s="7">
        <v>864465</v>
      </c>
    </row>
    <row r="8" spans="1:16" x14ac:dyDescent="0.3">
      <c r="A8">
        <v>7</v>
      </c>
      <c r="B8" s="4">
        <v>45418</v>
      </c>
      <c r="C8" t="s">
        <v>12</v>
      </c>
      <c r="D8" t="s">
        <v>8</v>
      </c>
      <c r="E8">
        <v>31123</v>
      </c>
      <c r="F8">
        <v>7527</v>
      </c>
      <c r="G8" t="s">
        <v>16</v>
      </c>
      <c r="I8" s="2" t="s">
        <v>7</v>
      </c>
      <c r="J8" s="7">
        <v>5000423</v>
      </c>
      <c r="K8" s="7">
        <v>769146</v>
      </c>
    </row>
    <row r="9" spans="1:16" x14ac:dyDescent="0.3">
      <c r="A9">
        <v>8</v>
      </c>
      <c r="B9" s="4">
        <v>45574</v>
      </c>
      <c r="C9" t="s">
        <v>12</v>
      </c>
      <c r="D9" t="s">
        <v>8</v>
      </c>
      <c r="E9">
        <v>49791</v>
      </c>
      <c r="F9">
        <v>460</v>
      </c>
      <c r="G9" t="s">
        <v>13</v>
      </c>
    </row>
    <row r="10" spans="1:16" x14ac:dyDescent="0.3">
      <c r="A10">
        <v>9</v>
      </c>
      <c r="B10" s="4">
        <v>45552</v>
      </c>
      <c r="C10" t="s">
        <v>17</v>
      </c>
      <c r="D10" t="s">
        <v>8</v>
      </c>
      <c r="E10">
        <v>18178</v>
      </c>
      <c r="F10">
        <v>-564</v>
      </c>
      <c r="G10" t="s">
        <v>16</v>
      </c>
    </row>
    <row r="11" spans="1:16" x14ac:dyDescent="0.3">
      <c r="A11">
        <v>10</v>
      </c>
      <c r="B11" s="4">
        <v>45424</v>
      </c>
      <c r="C11" t="s">
        <v>10</v>
      </c>
      <c r="D11" t="s">
        <v>8</v>
      </c>
      <c r="E11">
        <v>10458</v>
      </c>
      <c r="F11">
        <v>-990</v>
      </c>
      <c r="G11" t="s">
        <v>16</v>
      </c>
    </row>
    <row r="12" spans="1:16" x14ac:dyDescent="0.3">
      <c r="A12">
        <v>11</v>
      </c>
      <c r="B12" s="4">
        <v>45465</v>
      </c>
      <c r="C12" t="s">
        <v>15</v>
      </c>
      <c r="D12" t="s">
        <v>8</v>
      </c>
      <c r="E12">
        <v>48862</v>
      </c>
      <c r="F12">
        <v>2636</v>
      </c>
      <c r="G12" t="s">
        <v>9</v>
      </c>
    </row>
    <row r="13" spans="1:16" x14ac:dyDescent="0.3">
      <c r="A13">
        <v>12</v>
      </c>
      <c r="B13" s="4">
        <v>45325</v>
      </c>
      <c r="C13" t="s">
        <v>15</v>
      </c>
      <c r="D13" t="s">
        <v>8</v>
      </c>
      <c r="E13">
        <v>6436</v>
      </c>
      <c r="F13">
        <v>4050</v>
      </c>
      <c r="G13" t="s">
        <v>16</v>
      </c>
      <c r="I13" s="1" t="s">
        <v>18</v>
      </c>
      <c r="J13" t="s">
        <v>21</v>
      </c>
    </row>
    <row r="14" spans="1:16" x14ac:dyDescent="0.3">
      <c r="A14">
        <v>13</v>
      </c>
      <c r="B14" s="4">
        <v>45575</v>
      </c>
      <c r="C14" t="s">
        <v>15</v>
      </c>
      <c r="D14" t="s">
        <v>11</v>
      </c>
      <c r="E14">
        <v>43100</v>
      </c>
      <c r="F14">
        <v>3783</v>
      </c>
      <c r="G14" t="s">
        <v>16</v>
      </c>
      <c r="I14" s="2" t="s">
        <v>12</v>
      </c>
      <c r="J14" s="7">
        <v>712149</v>
      </c>
    </row>
    <row r="15" spans="1:16" x14ac:dyDescent="0.3">
      <c r="A15">
        <v>14</v>
      </c>
      <c r="B15" s="4">
        <v>45641</v>
      </c>
      <c r="C15" t="s">
        <v>7</v>
      </c>
      <c r="D15" t="s">
        <v>8</v>
      </c>
      <c r="E15">
        <v>10184</v>
      </c>
      <c r="F15">
        <v>2713</v>
      </c>
      <c r="G15" t="s">
        <v>14</v>
      </c>
      <c r="I15" s="2" t="s">
        <v>17</v>
      </c>
      <c r="J15" s="7">
        <v>746545</v>
      </c>
    </row>
    <row r="16" spans="1:16" x14ac:dyDescent="0.3">
      <c r="A16">
        <v>15</v>
      </c>
      <c r="B16" s="4">
        <v>45357</v>
      </c>
      <c r="C16" t="s">
        <v>17</v>
      </c>
      <c r="D16" t="s">
        <v>11</v>
      </c>
      <c r="E16">
        <v>19284</v>
      </c>
      <c r="F16">
        <v>8603</v>
      </c>
      <c r="G16" t="s">
        <v>14</v>
      </c>
      <c r="I16" s="2" t="s">
        <v>10</v>
      </c>
      <c r="J16" s="7">
        <v>991387</v>
      </c>
    </row>
    <row r="17" spans="1:19" x14ac:dyDescent="0.3">
      <c r="A17">
        <v>16</v>
      </c>
      <c r="B17" s="4">
        <v>45439</v>
      </c>
      <c r="C17" t="s">
        <v>17</v>
      </c>
      <c r="D17" t="s">
        <v>11</v>
      </c>
      <c r="E17">
        <v>10125</v>
      </c>
      <c r="F17">
        <v>8712</v>
      </c>
      <c r="G17" t="s">
        <v>9</v>
      </c>
      <c r="I17" s="2" t="s">
        <v>15</v>
      </c>
      <c r="J17" s="7">
        <v>864465</v>
      </c>
    </row>
    <row r="18" spans="1:19" x14ac:dyDescent="0.3">
      <c r="A18">
        <v>17</v>
      </c>
      <c r="B18" s="4">
        <v>45631</v>
      </c>
      <c r="C18" t="s">
        <v>10</v>
      </c>
      <c r="D18" t="s">
        <v>11</v>
      </c>
      <c r="E18">
        <v>39083</v>
      </c>
      <c r="F18">
        <v>359</v>
      </c>
      <c r="G18" t="s">
        <v>9</v>
      </c>
      <c r="I18" s="2" t="s">
        <v>7</v>
      </c>
      <c r="J18" s="7">
        <v>769146</v>
      </c>
    </row>
    <row r="19" spans="1:19" x14ac:dyDescent="0.3">
      <c r="A19">
        <v>18</v>
      </c>
      <c r="B19" s="4">
        <v>45373</v>
      </c>
      <c r="C19" t="s">
        <v>12</v>
      </c>
      <c r="D19" t="s">
        <v>11</v>
      </c>
      <c r="E19">
        <v>7085</v>
      </c>
      <c r="F19">
        <v>5290</v>
      </c>
      <c r="G19" t="s">
        <v>14</v>
      </c>
    </row>
    <row r="20" spans="1:19" x14ac:dyDescent="0.3">
      <c r="A20">
        <v>19</v>
      </c>
      <c r="B20" s="4">
        <v>45583</v>
      </c>
      <c r="C20" t="s">
        <v>7</v>
      </c>
      <c r="D20" t="s">
        <v>8</v>
      </c>
      <c r="E20">
        <v>6250</v>
      </c>
      <c r="F20">
        <v>2034</v>
      </c>
      <c r="G20" t="s">
        <v>14</v>
      </c>
      <c r="Q20" s="1" t="s">
        <v>18</v>
      </c>
      <c r="R20" t="s">
        <v>20</v>
      </c>
    </row>
    <row r="21" spans="1:19" x14ac:dyDescent="0.3">
      <c r="A21">
        <v>20</v>
      </c>
      <c r="B21" s="4">
        <v>45365</v>
      </c>
      <c r="C21" t="s">
        <v>15</v>
      </c>
      <c r="D21" t="s">
        <v>8</v>
      </c>
      <c r="E21">
        <v>4144</v>
      </c>
      <c r="F21">
        <v>4503</v>
      </c>
      <c r="G21" t="s">
        <v>9</v>
      </c>
      <c r="Q21" s="2" t="s">
        <v>12</v>
      </c>
      <c r="R21" s="7">
        <v>4249363</v>
      </c>
    </row>
    <row r="22" spans="1:19" x14ac:dyDescent="0.3">
      <c r="A22">
        <v>21</v>
      </c>
      <c r="B22" s="4">
        <v>45315</v>
      </c>
      <c r="C22" t="s">
        <v>12</v>
      </c>
      <c r="D22" t="s">
        <v>11</v>
      </c>
      <c r="E22">
        <v>33929</v>
      </c>
      <c r="F22">
        <v>6258</v>
      </c>
      <c r="G22" t="s">
        <v>13</v>
      </c>
      <c r="Q22" s="2" t="s">
        <v>17</v>
      </c>
      <c r="R22" s="7">
        <v>4467802</v>
      </c>
    </row>
    <row r="23" spans="1:19" x14ac:dyDescent="0.3">
      <c r="A23">
        <v>22</v>
      </c>
      <c r="B23" s="4">
        <v>45648</v>
      </c>
      <c r="C23" t="s">
        <v>10</v>
      </c>
      <c r="D23" t="s">
        <v>11</v>
      </c>
      <c r="E23">
        <v>30689</v>
      </c>
      <c r="F23">
        <v>3470</v>
      </c>
      <c r="G23" t="s">
        <v>13</v>
      </c>
      <c r="J23" s="1" t="s">
        <v>18</v>
      </c>
      <c r="K23" t="s">
        <v>22</v>
      </c>
      <c r="M23" s="1" t="s">
        <v>18</v>
      </c>
      <c r="N23" t="s">
        <v>20</v>
      </c>
      <c r="Q23" s="2" t="s">
        <v>10</v>
      </c>
      <c r="R23" s="7">
        <v>5317502</v>
      </c>
    </row>
    <row r="24" spans="1:19" x14ac:dyDescent="0.3">
      <c r="A24">
        <v>23</v>
      </c>
      <c r="B24" s="4">
        <v>45610</v>
      </c>
      <c r="C24" t="s">
        <v>7</v>
      </c>
      <c r="D24" t="s">
        <v>8</v>
      </c>
      <c r="E24">
        <v>39009</v>
      </c>
      <c r="F24">
        <v>5578</v>
      </c>
      <c r="G24" t="s">
        <v>9</v>
      </c>
      <c r="J24" s="2" t="s">
        <v>12</v>
      </c>
      <c r="K24" s="7">
        <v>171</v>
      </c>
      <c r="M24" s="2" t="s">
        <v>23</v>
      </c>
      <c r="N24" s="7">
        <v>2006352</v>
      </c>
      <c r="Q24" s="2" t="s">
        <v>15</v>
      </c>
      <c r="R24" s="7">
        <v>5376577</v>
      </c>
    </row>
    <row r="25" spans="1:19" x14ac:dyDescent="0.3">
      <c r="A25">
        <v>24</v>
      </c>
      <c r="B25" s="4">
        <v>45365</v>
      </c>
      <c r="C25" t="s">
        <v>7</v>
      </c>
      <c r="D25" t="s">
        <v>8</v>
      </c>
      <c r="E25">
        <v>5800</v>
      </c>
      <c r="F25">
        <v>2909</v>
      </c>
      <c r="G25" t="s">
        <v>9</v>
      </c>
      <c r="J25" s="2" t="s">
        <v>17</v>
      </c>
      <c r="K25" s="7">
        <v>181</v>
      </c>
      <c r="M25" s="2" t="s">
        <v>24</v>
      </c>
      <c r="N25" s="7">
        <v>2011766</v>
      </c>
      <c r="Q25" s="2" t="s">
        <v>7</v>
      </c>
      <c r="R25" s="7">
        <v>5000423</v>
      </c>
    </row>
    <row r="26" spans="1:19" x14ac:dyDescent="0.3">
      <c r="A26">
        <v>25</v>
      </c>
      <c r="B26" s="4">
        <v>45573</v>
      </c>
      <c r="C26" t="s">
        <v>7</v>
      </c>
      <c r="D26" t="s">
        <v>11</v>
      </c>
      <c r="E26">
        <v>16073</v>
      </c>
      <c r="F26">
        <v>-1260</v>
      </c>
      <c r="G26" t="s">
        <v>14</v>
      </c>
      <c r="J26" s="2" t="s">
        <v>10</v>
      </c>
      <c r="K26" s="7">
        <v>221</v>
      </c>
      <c r="M26" s="2" t="s">
        <v>25</v>
      </c>
      <c r="N26" s="7">
        <v>2311515</v>
      </c>
      <c r="Q26" s="2" t="s">
        <v>19</v>
      </c>
      <c r="R26" s="7">
        <v>24411667</v>
      </c>
    </row>
    <row r="27" spans="1:19" x14ac:dyDescent="0.3">
      <c r="A27">
        <v>26</v>
      </c>
      <c r="B27" s="4">
        <v>45386</v>
      </c>
      <c r="C27" t="s">
        <v>12</v>
      </c>
      <c r="D27" t="s">
        <v>11</v>
      </c>
      <c r="E27">
        <v>27717</v>
      </c>
      <c r="F27">
        <v>-1539</v>
      </c>
      <c r="G27" t="s">
        <v>14</v>
      </c>
      <c r="J27" s="2" t="s">
        <v>15</v>
      </c>
      <c r="K27" s="7">
        <v>217</v>
      </c>
      <c r="M27" s="2" t="s">
        <v>26</v>
      </c>
      <c r="N27" s="7">
        <v>1948428</v>
      </c>
    </row>
    <row r="28" spans="1:19" x14ac:dyDescent="0.3">
      <c r="A28">
        <v>27</v>
      </c>
      <c r="B28" s="4">
        <v>45462</v>
      </c>
      <c r="C28" t="s">
        <v>7</v>
      </c>
      <c r="D28" t="s">
        <v>8</v>
      </c>
      <c r="E28">
        <v>7846</v>
      </c>
      <c r="F28">
        <v>8796</v>
      </c>
      <c r="G28" t="s">
        <v>14</v>
      </c>
      <c r="J28" s="2" t="s">
        <v>7</v>
      </c>
      <c r="K28" s="7">
        <v>210</v>
      </c>
      <c r="M28" s="2" t="s">
        <v>27</v>
      </c>
      <c r="N28" s="7">
        <v>2640667</v>
      </c>
    </row>
    <row r="29" spans="1:19" x14ac:dyDescent="0.3">
      <c r="A29">
        <v>28</v>
      </c>
      <c r="B29" s="4">
        <v>45588</v>
      </c>
      <c r="C29" t="s">
        <v>15</v>
      </c>
      <c r="D29" t="s">
        <v>8</v>
      </c>
      <c r="E29">
        <v>8931</v>
      </c>
      <c r="F29">
        <v>935</v>
      </c>
      <c r="G29" t="s">
        <v>9</v>
      </c>
      <c r="J29" s="2" t="s">
        <v>19</v>
      </c>
      <c r="K29" s="7">
        <v>1000</v>
      </c>
      <c r="M29" s="2" t="s">
        <v>28</v>
      </c>
      <c r="N29" s="7">
        <v>1905423</v>
      </c>
      <c r="O29" s="1" t="s">
        <v>18</v>
      </c>
      <c r="P29" t="s">
        <v>20</v>
      </c>
    </row>
    <row r="30" spans="1:19" x14ac:dyDescent="0.3">
      <c r="A30">
        <v>29</v>
      </c>
      <c r="B30" s="4">
        <v>45307</v>
      </c>
      <c r="C30" t="s">
        <v>7</v>
      </c>
      <c r="D30" t="s">
        <v>8</v>
      </c>
      <c r="E30">
        <v>19592</v>
      </c>
      <c r="F30">
        <v>-1693</v>
      </c>
      <c r="G30" t="s">
        <v>13</v>
      </c>
      <c r="M30" s="2" t="s">
        <v>29</v>
      </c>
      <c r="N30" s="7">
        <v>2018529</v>
      </c>
      <c r="O30" s="2" t="s">
        <v>11</v>
      </c>
      <c r="P30" s="7">
        <v>11682343</v>
      </c>
      <c r="R30" s="1" t="s">
        <v>18</v>
      </c>
      <c r="S30" t="s">
        <v>22</v>
      </c>
    </row>
    <row r="31" spans="1:19" x14ac:dyDescent="0.3">
      <c r="A31">
        <v>30</v>
      </c>
      <c r="B31" s="4">
        <v>45532</v>
      </c>
      <c r="C31" t="s">
        <v>17</v>
      </c>
      <c r="D31" t="s">
        <v>11</v>
      </c>
      <c r="E31">
        <v>3239</v>
      </c>
      <c r="F31">
        <v>773</v>
      </c>
      <c r="G31" t="s">
        <v>13</v>
      </c>
      <c r="M31" s="2" t="s">
        <v>30</v>
      </c>
      <c r="N31" s="7">
        <v>1636304</v>
      </c>
      <c r="O31" s="2" t="s">
        <v>8</v>
      </c>
      <c r="P31" s="7">
        <v>12729324</v>
      </c>
      <c r="R31" s="2" t="s">
        <v>12</v>
      </c>
      <c r="S31" s="7">
        <v>171</v>
      </c>
    </row>
    <row r="32" spans="1:19" x14ac:dyDescent="0.3">
      <c r="A32">
        <v>31</v>
      </c>
      <c r="B32" s="4">
        <v>45466</v>
      </c>
      <c r="C32" t="s">
        <v>10</v>
      </c>
      <c r="D32" t="s">
        <v>8</v>
      </c>
      <c r="E32">
        <v>42482</v>
      </c>
      <c r="F32">
        <v>9599</v>
      </c>
      <c r="G32" t="s">
        <v>16</v>
      </c>
      <c r="M32" s="2" t="s">
        <v>31</v>
      </c>
      <c r="N32" s="7">
        <v>1500856</v>
      </c>
      <c r="O32" s="2" t="s">
        <v>19</v>
      </c>
      <c r="P32" s="7">
        <v>24411667</v>
      </c>
      <c r="R32" s="2" t="s">
        <v>17</v>
      </c>
      <c r="S32" s="7">
        <v>181</v>
      </c>
    </row>
    <row r="33" spans="1:19" x14ac:dyDescent="0.3">
      <c r="A33">
        <v>32</v>
      </c>
      <c r="B33" s="4">
        <v>45533</v>
      </c>
      <c r="C33" t="s">
        <v>17</v>
      </c>
      <c r="D33" t="s">
        <v>8</v>
      </c>
      <c r="E33">
        <v>48498</v>
      </c>
      <c r="F33">
        <v>6592</v>
      </c>
      <c r="G33" t="s">
        <v>16</v>
      </c>
      <c r="M33" s="2" t="s">
        <v>32</v>
      </c>
      <c r="N33" s="7">
        <v>2059600</v>
      </c>
      <c r="R33" s="2" t="s">
        <v>10</v>
      </c>
      <c r="S33" s="7">
        <v>221</v>
      </c>
    </row>
    <row r="34" spans="1:19" x14ac:dyDescent="0.3">
      <c r="A34">
        <v>33</v>
      </c>
      <c r="B34" s="4">
        <v>45627</v>
      </c>
      <c r="C34" t="s">
        <v>15</v>
      </c>
      <c r="D34" t="s">
        <v>8</v>
      </c>
      <c r="E34">
        <v>46984</v>
      </c>
      <c r="F34">
        <v>9303</v>
      </c>
      <c r="G34" t="s">
        <v>9</v>
      </c>
      <c r="M34" s="2" t="s">
        <v>33</v>
      </c>
      <c r="N34" s="7">
        <v>1780628</v>
      </c>
      <c r="R34" s="2" t="s">
        <v>15</v>
      </c>
      <c r="S34" s="7">
        <v>217</v>
      </c>
    </row>
    <row r="35" spans="1:19" x14ac:dyDescent="0.3">
      <c r="A35">
        <v>34</v>
      </c>
      <c r="B35" s="4">
        <v>45364</v>
      </c>
      <c r="C35" t="s">
        <v>17</v>
      </c>
      <c r="D35" t="s">
        <v>8</v>
      </c>
      <c r="E35">
        <v>41481</v>
      </c>
      <c r="F35">
        <v>2324</v>
      </c>
      <c r="G35" t="s">
        <v>13</v>
      </c>
      <c r="M35" s="2" t="s">
        <v>34</v>
      </c>
      <c r="N35" s="7">
        <v>2591599</v>
      </c>
      <c r="R35" s="2" t="s">
        <v>7</v>
      </c>
      <c r="S35" s="7">
        <v>210</v>
      </c>
    </row>
    <row r="36" spans="1:19" x14ac:dyDescent="0.3">
      <c r="A36">
        <v>35</v>
      </c>
      <c r="B36" s="4">
        <v>45501</v>
      </c>
      <c r="C36" t="s">
        <v>10</v>
      </c>
      <c r="D36" t="s">
        <v>11</v>
      </c>
      <c r="E36">
        <v>11180</v>
      </c>
      <c r="F36">
        <v>1976</v>
      </c>
      <c r="G36" t="s">
        <v>13</v>
      </c>
      <c r="M36" s="2" t="s">
        <v>19</v>
      </c>
      <c r="N36" s="7">
        <v>24411667</v>
      </c>
      <c r="R36" s="2" t="s">
        <v>19</v>
      </c>
      <c r="S36" s="7">
        <v>1000</v>
      </c>
    </row>
    <row r="37" spans="1:19" x14ac:dyDescent="0.3">
      <c r="A37">
        <v>36</v>
      </c>
      <c r="B37" s="4">
        <v>45606</v>
      </c>
      <c r="C37" t="s">
        <v>17</v>
      </c>
      <c r="D37" t="s">
        <v>11</v>
      </c>
      <c r="E37">
        <v>47563</v>
      </c>
      <c r="F37">
        <v>7587</v>
      </c>
      <c r="G37" t="s">
        <v>14</v>
      </c>
    </row>
    <row r="38" spans="1:19" x14ac:dyDescent="0.3">
      <c r="A38">
        <v>37</v>
      </c>
      <c r="B38" s="4">
        <v>45531</v>
      </c>
      <c r="C38" t="s">
        <v>15</v>
      </c>
      <c r="D38" t="s">
        <v>8</v>
      </c>
      <c r="E38">
        <v>20822</v>
      </c>
      <c r="F38">
        <v>3599</v>
      </c>
      <c r="G38" t="s">
        <v>16</v>
      </c>
      <c r="N38" t="s">
        <v>35</v>
      </c>
      <c r="O38" t="s">
        <v>36</v>
      </c>
      <c r="P38" t="s">
        <v>37</v>
      </c>
    </row>
    <row r="39" spans="1:19" x14ac:dyDescent="0.3">
      <c r="A39">
        <v>38</v>
      </c>
      <c r="B39" s="4">
        <v>45470</v>
      </c>
      <c r="C39" t="s">
        <v>15</v>
      </c>
      <c r="D39" t="s">
        <v>11</v>
      </c>
      <c r="E39">
        <v>27854</v>
      </c>
      <c r="F39">
        <v>5099</v>
      </c>
      <c r="G39" t="s">
        <v>13</v>
      </c>
    </row>
    <row r="40" spans="1:19" x14ac:dyDescent="0.3">
      <c r="A40">
        <v>39</v>
      </c>
      <c r="B40" s="4">
        <v>45316</v>
      </c>
      <c r="C40" t="s">
        <v>17</v>
      </c>
      <c r="D40" t="s">
        <v>8</v>
      </c>
      <c r="E40">
        <v>46301</v>
      </c>
      <c r="F40">
        <v>7890</v>
      </c>
      <c r="G40" t="s">
        <v>9</v>
      </c>
      <c r="N40" t="str">
        <f>PROPER(N38)</f>
        <v>Count Order_Id</v>
      </c>
      <c r="O40" t="str">
        <f t="shared" ref="O40:P40" si="0">PROPER(O38)</f>
        <v>Total_Sale</v>
      </c>
      <c r="P40" t="str">
        <f t="shared" si="0"/>
        <v>Total_Profit</v>
      </c>
    </row>
    <row r="41" spans="1:19" x14ac:dyDescent="0.3">
      <c r="A41">
        <v>40</v>
      </c>
      <c r="B41" s="4">
        <v>45412</v>
      </c>
      <c r="C41" t="s">
        <v>17</v>
      </c>
      <c r="D41" t="s">
        <v>11</v>
      </c>
      <c r="E41">
        <v>44965</v>
      </c>
      <c r="F41">
        <v>7469</v>
      </c>
      <c r="G41" t="s">
        <v>14</v>
      </c>
      <c r="J41" t="s">
        <v>22</v>
      </c>
      <c r="K41" t="s">
        <v>20</v>
      </c>
      <c r="L41" t="s">
        <v>21</v>
      </c>
      <c r="N41" s="3" t="e">
        <f>GETPIVOTDATA("Count of Order ID",J$37)</f>
        <v>#REF!</v>
      </c>
      <c r="O41" s="6" t="e">
        <f>GETPIVOTDATA("Sum of Sales",$J$37)</f>
        <v>#REF!</v>
      </c>
      <c r="P41" s="3" t="e">
        <f>GETPIVOTDATA("Sum of Profit",$J$37)</f>
        <v>#REF!</v>
      </c>
    </row>
    <row r="42" spans="1:19" x14ac:dyDescent="0.3">
      <c r="A42">
        <v>41</v>
      </c>
      <c r="B42" s="4">
        <v>45312</v>
      </c>
      <c r="C42" t="s">
        <v>7</v>
      </c>
      <c r="D42" t="s">
        <v>8</v>
      </c>
      <c r="E42">
        <v>1591</v>
      </c>
      <c r="F42">
        <v>889</v>
      </c>
      <c r="G42" t="s">
        <v>14</v>
      </c>
      <c r="J42" s="7">
        <v>1000</v>
      </c>
      <c r="K42" s="7">
        <v>24411667</v>
      </c>
      <c r="L42" s="7">
        <v>4083692</v>
      </c>
    </row>
    <row r="43" spans="1:19" x14ac:dyDescent="0.3">
      <c r="A43">
        <v>42</v>
      </c>
      <c r="B43" s="4">
        <v>45637</v>
      </c>
      <c r="C43" t="s">
        <v>12</v>
      </c>
      <c r="D43" t="s">
        <v>8</v>
      </c>
      <c r="E43">
        <v>13451</v>
      </c>
      <c r="F43">
        <v>-1257</v>
      </c>
      <c r="G43" t="s">
        <v>14</v>
      </c>
    </row>
    <row r="44" spans="1:19" x14ac:dyDescent="0.3">
      <c r="A44">
        <v>43</v>
      </c>
      <c r="B44" s="4">
        <v>45356</v>
      </c>
      <c r="C44" t="s">
        <v>10</v>
      </c>
      <c r="D44" t="s">
        <v>8</v>
      </c>
      <c r="E44">
        <v>24516</v>
      </c>
      <c r="F44">
        <v>8951</v>
      </c>
      <c r="G44" t="s">
        <v>13</v>
      </c>
      <c r="I44" t="s">
        <v>38</v>
      </c>
      <c r="K44">
        <f>GETPIVOTDATA("Sum of Sales",$J$41)</f>
        <v>24411667</v>
      </c>
    </row>
    <row r="45" spans="1:19" x14ac:dyDescent="0.3">
      <c r="A45">
        <v>44</v>
      </c>
      <c r="B45" s="4">
        <v>45506</v>
      </c>
      <c r="C45" t="s">
        <v>12</v>
      </c>
      <c r="D45" t="s">
        <v>8</v>
      </c>
      <c r="E45">
        <v>47423</v>
      </c>
      <c r="F45">
        <v>6180</v>
      </c>
      <c r="G45" t="s">
        <v>13</v>
      </c>
      <c r="I45">
        <f>COUNT(Table3[Order ID])</f>
        <v>1000</v>
      </c>
    </row>
    <row r="46" spans="1:19" x14ac:dyDescent="0.3">
      <c r="A46">
        <v>45</v>
      </c>
      <c r="B46" s="4">
        <v>45587</v>
      </c>
      <c r="C46" t="s">
        <v>12</v>
      </c>
      <c r="D46" t="s">
        <v>8</v>
      </c>
      <c r="E46">
        <v>26474</v>
      </c>
      <c r="F46">
        <v>2305</v>
      </c>
      <c r="G46" t="s">
        <v>9</v>
      </c>
    </row>
    <row r="47" spans="1:19" x14ac:dyDescent="0.3">
      <c r="A47">
        <v>46</v>
      </c>
      <c r="B47" s="4">
        <v>45570</v>
      </c>
      <c r="C47" t="s">
        <v>10</v>
      </c>
      <c r="D47" t="s">
        <v>8</v>
      </c>
      <c r="E47">
        <v>4550</v>
      </c>
      <c r="F47">
        <v>1817</v>
      </c>
      <c r="G47" t="s">
        <v>14</v>
      </c>
    </row>
    <row r="48" spans="1:19" x14ac:dyDescent="0.3">
      <c r="A48">
        <v>47</v>
      </c>
      <c r="B48" s="4">
        <v>45614</v>
      </c>
      <c r="C48" t="s">
        <v>10</v>
      </c>
      <c r="D48" t="s">
        <v>8</v>
      </c>
      <c r="E48">
        <v>4804</v>
      </c>
      <c r="F48">
        <v>8945</v>
      </c>
      <c r="G48" t="s">
        <v>9</v>
      </c>
    </row>
    <row r="49" spans="1:7" x14ac:dyDescent="0.3">
      <c r="A49">
        <v>48</v>
      </c>
      <c r="B49" s="4">
        <v>45357</v>
      </c>
      <c r="C49" t="s">
        <v>17</v>
      </c>
      <c r="D49" t="s">
        <v>8</v>
      </c>
      <c r="E49">
        <v>48960</v>
      </c>
      <c r="F49">
        <v>-1573</v>
      </c>
      <c r="G49" t="s">
        <v>9</v>
      </c>
    </row>
    <row r="50" spans="1:7" x14ac:dyDescent="0.3">
      <c r="A50">
        <v>49</v>
      </c>
      <c r="B50" s="4">
        <v>45318</v>
      </c>
      <c r="C50" t="s">
        <v>10</v>
      </c>
      <c r="D50" t="s">
        <v>11</v>
      </c>
      <c r="E50">
        <v>26266</v>
      </c>
      <c r="F50">
        <v>2706</v>
      </c>
      <c r="G50" t="s">
        <v>9</v>
      </c>
    </row>
    <row r="51" spans="1:7" x14ac:dyDescent="0.3">
      <c r="A51">
        <v>50</v>
      </c>
      <c r="B51" s="4">
        <v>45455</v>
      </c>
      <c r="C51" t="s">
        <v>17</v>
      </c>
      <c r="D51" t="s">
        <v>8</v>
      </c>
      <c r="E51">
        <v>4472</v>
      </c>
      <c r="F51">
        <v>8793</v>
      </c>
      <c r="G51" t="s">
        <v>9</v>
      </c>
    </row>
    <row r="52" spans="1:7" x14ac:dyDescent="0.3">
      <c r="A52">
        <v>51</v>
      </c>
      <c r="B52" s="4">
        <v>45497</v>
      </c>
      <c r="C52" t="s">
        <v>17</v>
      </c>
      <c r="D52" t="s">
        <v>8</v>
      </c>
      <c r="E52">
        <v>43161</v>
      </c>
      <c r="F52">
        <v>39</v>
      </c>
      <c r="G52" t="s">
        <v>13</v>
      </c>
    </row>
    <row r="53" spans="1:7" x14ac:dyDescent="0.3">
      <c r="A53">
        <v>52</v>
      </c>
      <c r="B53" s="4">
        <v>45579</v>
      </c>
      <c r="C53" t="s">
        <v>10</v>
      </c>
      <c r="D53" t="s">
        <v>11</v>
      </c>
      <c r="E53">
        <v>21331</v>
      </c>
      <c r="F53">
        <v>7302</v>
      </c>
      <c r="G53" t="s">
        <v>14</v>
      </c>
    </row>
    <row r="54" spans="1:7" x14ac:dyDescent="0.3">
      <c r="A54">
        <v>53</v>
      </c>
      <c r="B54" s="4">
        <v>45439</v>
      </c>
      <c r="C54" t="s">
        <v>15</v>
      </c>
      <c r="D54" t="s">
        <v>8</v>
      </c>
      <c r="E54">
        <v>32372</v>
      </c>
      <c r="F54">
        <v>2841</v>
      </c>
      <c r="G54" t="s">
        <v>13</v>
      </c>
    </row>
    <row r="55" spans="1:7" x14ac:dyDescent="0.3">
      <c r="A55">
        <v>54</v>
      </c>
      <c r="B55" s="4">
        <v>45556</v>
      </c>
      <c r="C55" t="s">
        <v>12</v>
      </c>
      <c r="D55" t="s">
        <v>11</v>
      </c>
      <c r="E55">
        <v>43398</v>
      </c>
      <c r="F55">
        <v>2937</v>
      </c>
      <c r="G55" t="s">
        <v>13</v>
      </c>
    </row>
    <row r="56" spans="1:7" x14ac:dyDescent="0.3">
      <c r="A56">
        <v>55</v>
      </c>
      <c r="B56" s="4">
        <v>45301</v>
      </c>
      <c r="C56" t="s">
        <v>10</v>
      </c>
      <c r="D56" t="s">
        <v>11</v>
      </c>
      <c r="E56">
        <v>42973</v>
      </c>
      <c r="F56">
        <v>1812</v>
      </c>
      <c r="G56" t="s">
        <v>9</v>
      </c>
    </row>
    <row r="57" spans="1:7" x14ac:dyDescent="0.3">
      <c r="A57">
        <v>56</v>
      </c>
      <c r="B57" s="4">
        <v>45577</v>
      </c>
      <c r="C57" t="s">
        <v>17</v>
      </c>
      <c r="D57" t="s">
        <v>8</v>
      </c>
      <c r="E57">
        <v>11736</v>
      </c>
      <c r="F57">
        <v>8556</v>
      </c>
      <c r="G57" t="s">
        <v>9</v>
      </c>
    </row>
    <row r="58" spans="1:7" x14ac:dyDescent="0.3">
      <c r="A58">
        <v>57</v>
      </c>
      <c r="B58" s="4">
        <v>45328</v>
      </c>
      <c r="C58" t="s">
        <v>10</v>
      </c>
      <c r="D58" t="s">
        <v>8</v>
      </c>
      <c r="E58">
        <v>45280</v>
      </c>
      <c r="F58">
        <v>9638</v>
      </c>
      <c r="G58" t="s">
        <v>9</v>
      </c>
    </row>
    <row r="59" spans="1:7" x14ac:dyDescent="0.3">
      <c r="A59">
        <v>58</v>
      </c>
      <c r="B59" s="4">
        <v>45505</v>
      </c>
      <c r="C59" t="s">
        <v>17</v>
      </c>
      <c r="D59" t="s">
        <v>8</v>
      </c>
      <c r="E59">
        <v>40748</v>
      </c>
      <c r="F59">
        <v>271</v>
      </c>
      <c r="G59" t="s">
        <v>13</v>
      </c>
    </row>
    <row r="60" spans="1:7" x14ac:dyDescent="0.3">
      <c r="A60">
        <v>59</v>
      </c>
      <c r="B60" s="4">
        <v>45500</v>
      </c>
      <c r="C60" t="s">
        <v>15</v>
      </c>
      <c r="D60" t="s">
        <v>8</v>
      </c>
      <c r="E60">
        <v>29037</v>
      </c>
      <c r="F60">
        <v>7754</v>
      </c>
      <c r="G60" t="s">
        <v>13</v>
      </c>
    </row>
    <row r="61" spans="1:7" x14ac:dyDescent="0.3">
      <c r="A61">
        <v>60</v>
      </c>
      <c r="B61" s="4">
        <v>45453</v>
      </c>
      <c r="C61" t="s">
        <v>7</v>
      </c>
      <c r="D61" t="s">
        <v>11</v>
      </c>
      <c r="E61">
        <v>1466</v>
      </c>
      <c r="F61">
        <v>4339</v>
      </c>
      <c r="G61" t="s">
        <v>13</v>
      </c>
    </row>
    <row r="62" spans="1:7" x14ac:dyDescent="0.3">
      <c r="A62">
        <v>61</v>
      </c>
      <c r="B62" s="4">
        <v>45638</v>
      </c>
      <c r="C62" t="s">
        <v>15</v>
      </c>
      <c r="D62" t="s">
        <v>11</v>
      </c>
      <c r="E62">
        <v>36775</v>
      </c>
      <c r="F62">
        <v>-657</v>
      </c>
      <c r="G62" t="s">
        <v>16</v>
      </c>
    </row>
    <row r="63" spans="1:7" x14ac:dyDescent="0.3">
      <c r="A63">
        <v>62</v>
      </c>
      <c r="B63" s="4">
        <v>45381</v>
      </c>
      <c r="C63" t="s">
        <v>12</v>
      </c>
      <c r="D63" t="s">
        <v>11</v>
      </c>
      <c r="E63">
        <v>560</v>
      </c>
      <c r="F63">
        <v>1748</v>
      </c>
      <c r="G63" t="s">
        <v>14</v>
      </c>
    </row>
    <row r="64" spans="1:7" x14ac:dyDescent="0.3">
      <c r="A64">
        <v>63</v>
      </c>
      <c r="B64" s="4">
        <v>45325</v>
      </c>
      <c r="C64" t="s">
        <v>7</v>
      </c>
      <c r="D64" t="s">
        <v>11</v>
      </c>
      <c r="E64">
        <v>2552</v>
      </c>
      <c r="F64">
        <v>-18</v>
      </c>
      <c r="G64" t="s">
        <v>14</v>
      </c>
    </row>
    <row r="65" spans="1:7" x14ac:dyDescent="0.3">
      <c r="A65">
        <v>64</v>
      </c>
      <c r="B65" s="4">
        <v>45512</v>
      </c>
      <c r="C65" t="s">
        <v>15</v>
      </c>
      <c r="D65" t="s">
        <v>11</v>
      </c>
      <c r="E65">
        <v>17150</v>
      </c>
      <c r="F65">
        <v>2696</v>
      </c>
      <c r="G65" t="s">
        <v>16</v>
      </c>
    </row>
    <row r="66" spans="1:7" x14ac:dyDescent="0.3">
      <c r="A66">
        <v>65</v>
      </c>
      <c r="B66" s="4">
        <v>45482</v>
      </c>
      <c r="C66" t="s">
        <v>10</v>
      </c>
      <c r="D66" t="s">
        <v>8</v>
      </c>
      <c r="E66">
        <v>28854</v>
      </c>
      <c r="F66">
        <v>9619</v>
      </c>
      <c r="G66" t="s">
        <v>9</v>
      </c>
    </row>
    <row r="67" spans="1:7" x14ac:dyDescent="0.3">
      <c r="A67">
        <v>66</v>
      </c>
      <c r="B67" s="4">
        <v>45611</v>
      </c>
      <c r="C67" t="s">
        <v>7</v>
      </c>
      <c r="D67" t="s">
        <v>11</v>
      </c>
      <c r="E67">
        <v>10630</v>
      </c>
      <c r="F67">
        <v>193</v>
      </c>
      <c r="G67" t="s">
        <v>14</v>
      </c>
    </row>
    <row r="68" spans="1:7" x14ac:dyDescent="0.3">
      <c r="A68">
        <v>67</v>
      </c>
      <c r="B68" s="4">
        <v>45429</v>
      </c>
      <c r="C68" t="s">
        <v>10</v>
      </c>
      <c r="D68" t="s">
        <v>8</v>
      </c>
      <c r="E68">
        <v>21387</v>
      </c>
      <c r="F68">
        <v>2458</v>
      </c>
      <c r="G68" t="s">
        <v>14</v>
      </c>
    </row>
    <row r="69" spans="1:7" x14ac:dyDescent="0.3">
      <c r="A69">
        <v>68</v>
      </c>
      <c r="B69" s="4">
        <v>45461</v>
      </c>
      <c r="C69" t="s">
        <v>12</v>
      </c>
      <c r="D69" t="s">
        <v>11</v>
      </c>
      <c r="E69">
        <v>42938</v>
      </c>
      <c r="F69">
        <v>-1238</v>
      </c>
      <c r="G69" t="s">
        <v>16</v>
      </c>
    </row>
    <row r="70" spans="1:7" x14ac:dyDescent="0.3">
      <c r="A70">
        <v>69</v>
      </c>
      <c r="B70" s="4">
        <v>45605</v>
      </c>
      <c r="C70" t="s">
        <v>10</v>
      </c>
      <c r="D70" t="s">
        <v>11</v>
      </c>
      <c r="E70">
        <v>44912</v>
      </c>
      <c r="F70">
        <v>8743</v>
      </c>
      <c r="G70" t="s">
        <v>14</v>
      </c>
    </row>
    <row r="71" spans="1:7" x14ac:dyDescent="0.3">
      <c r="A71">
        <v>70</v>
      </c>
      <c r="B71" s="4">
        <v>45557</v>
      </c>
      <c r="C71" t="s">
        <v>17</v>
      </c>
      <c r="D71" t="s">
        <v>11</v>
      </c>
      <c r="E71">
        <v>46894</v>
      </c>
      <c r="F71">
        <v>2134</v>
      </c>
      <c r="G71" t="s">
        <v>14</v>
      </c>
    </row>
    <row r="72" spans="1:7" x14ac:dyDescent="0.3">
      <c r="A72">
        <v>71</v>
      </c>
      <c r="B72" s="4">
        <v>45432</v>
      </c>
      <c r="C72" t="s">
        <v>15</v>
      </c>
      <c r="D72" t="s">
        <v>8</v>
      </c>
      <c r="E72">
        <v>23050</v>
      </c>
      <c r="F72">
        <v>-755</v>
      </c>
      <c r="G72" t="s">
        <v>14</v>
      </c>
    </row>
    <row r="73" spans="1:7" x14ac:dyDescent="0.3">
      <c r="A73">
        <v>72</v>
      </c>
      <c r="B73" s="4">
        <v>45446</v>
      </c>
      <c r="C73" t="s">
        <v>10</v>
      </c>
      <c r="D73" t="s">
        <v>8</v>
      </c>
      <c r="E73">
        <v>37747</v>
      </c>
      <c r="F73">
        <v>5997</v>
      </c>
      <c r="G73" t="s">
        <v>13</v>
      </c>
    </row>
    <row r="74" spans="1:7" x14ac:dyDescent="0.3">
      <c r="A74">
        <v>73</v>
      </c>
      <c r="B74" s="4">
        <v>45528</v>
      </c>
      <c r="C74" t="s">
        <v>15</v>
      </c>
      <c r="D74" t="s">
        <v>11</v>
      </c>
      <c r="E74">
        <v>2096</v>
      </c>
      <c r="F74">
        <v>5054</v>
      </c>
      <c r="G74" t="s">
        <v>13</v>
      </c>
    </row>
    <row r="75" spans="1:7" x14ac:dyDescent="0.3">
      <c r="A75">
        <v>74</v>
      </c>
      <c r="B75" s="4">
        <v>45417</v>
      </c>
      <c r="C75" t="s">
        <v>12</v>
      </c>
      <c r="D75" t="s">
        <v>8</v>
      </c>
      <c r="E75">
        <v>10437</v>
      </c>
      <c r="F75">
        <v>4349</v>
      </c>
      <c r="G75" t="s">
        <v>16</v>
      </c>
    </row>
    <row r="76" spans="1:7" x14ac:dyDescent="0.3">
      <c r="A76">
        <v>75</v>
      </c>
      <c r="B76" s="4">
        <v>45422</v>
      </c>
      <c r="C76" t="s">
        <v>12</v>
      </c>
      <c r="D76" t="s">
        <v>8</v>
      </c>
      <c r="E76">
        <v>25755</v>
      </c>
      <c r="F76">
        <v>5273</v>
      </c>
      <c r="G76" t="s">
        <v>14</v>
      </c>
    </row>
    <row r="77" spans="1:7" x14ac:dyDescent="0.3">
      <c r="A77">
        <v>76</v>
      </c>
      <c r="B77" s="4">
        <v>45386</v>
      </c>
      <c r="C77" t="s">
        <v>10</v>
      </c>
      <c r="D77" t="s">
        <v>11</v>
      </c>
      <c r="E77">
        <v>47627</v>
      </c>
      <c r="F77">
        <v>2106</v>
      </c>
      <c r="G77" t="s">
        <v>16</v>
      </c>
    </row>
    <row r="78" spans="1:7" x14ac:dyDescent="0.3">
      <c r="A78">
        <v>77</v>
      </c>
      <c r="B78" s="4">
        <v>45555</v>
      </c>
      <c r="C78" t="s">
        <v>17</v>
      </c>
      <c r="D78" t="s">
        <v>11</v>
      </c>
      <c r="E78">
        <v>13299</v>
      </c>
      <c r="F78">
        <v>413</v>
      </c>
      <c r="G78" t="s">
        <v>14</v>
      </c>
    </row>
    <row r="79" spans="1:7" x14ac:dyDescent="0.3">
      <c r="A79">
        <v>78</v>
      </c>
      <c r="B79" s="4">
        <v>45459</v>
      </c>
      <c r="C79" t="s">
        <v>15</v>
      </c>
      <c r="D79" t="s">
        <v>8</v>
      </c>
      <c r="E79">
        <v>3531</v>
      </c>
      <c r="F79">
        <v>-67</v>
      </c>
      <c r="G79" t="s">
        <v>13</v>
      </c>
    </row>
    <row r="80" spans="1:7" x14ac:dyDescent="0.3">
      <c r="A80">
        <v>79</v>
      </c>
      <c r="B80" s="4">
        <v>45425</v>
      </c>
      <c r="C80" t="s">
        <v>10</v>
      </c>
      <c r="D80" t="s">
        <v>8</v>
      </c>
      <c r="E80">
        <v>34205</v>
      </c>
      <c r="F80">
        <v>5578</v>
      </c>
      <c r="G80" t="s">
        <v>16</v>
      </c>
    </row>
    <row r="81" spans="1:7" x14ac:dyDescent="0.3">
      <c r="A81">
        <v>80</v>
      </c>
      <c r="B81" s="4">
        <v>45334</v>
      </c>
      <c r="C81" t="s">
        <v>15</v>
      </c>
      <c r="D81" t="s">
        <v>8</v>
      </c>
      <c r="E81">
        <v>18977</v>
      </c>
      <c r="F81">
        <v>-1131</v>
      </c>
      <c r="G81" t="s">
        <v>14</v>
      </c>
    </row>
    <row r="82" spans="1:7" x14ac:dyDescent="0.3">
      <c r="A82">
        <v>81</v>
      </c>
      <c r="B82" s="4">
        <v>45636</v>
      </c>
      <c r="C82" t="s">
        <v>12</v>
      </c>
      <c r="D82" t="s">
        <v>11</v>
      </c>
      <c r="E82">
        <v>4283</v>
      </c>
      <c r="F82">
        <v>6067</v>
      </c>
      <c r="G82" t="s">
        <v>13</v>
      </c>
    </row>
    <row r="83" spans="1:7" x14ac:dyDescent="0.3">
      <c r="A83">
        <v>82</v>
      </c>
      <c r="B83" s="4">
        <v>45307</v>
      </c>
      <c r="C83" t="s">
        <v>10</v>
      </c>
      <c r="D83" t="s">
        <v>11</v>
      </c>
      <c r="E83">
        <v>11906</v>
      </c>
      <c r="F83">
        <v>9637</v>
      </c>
      <c r="G83" t="s">
        <v>9</v>
      </c>
    </row>
    <row r="84" spans="1:7" x14ac:dyDescent="0.3">
      <c r="A84">
        <v>83</v>
      </c>
      <c r="B84" s="4">
        <v>45429</v>
      </c>
      <c r="C84" t="s">
        <v>15</v>
      </c>
      <c r="D84" t="s">
        <v>8</v>
      </c>
      <c r="E84">
        <v>24218</v>
      </c>
      <c r="F84">
        <v>9201</v>
      </c>
      <c r="G84" t="s">
        <v>13</v>
      </c>
    </row>
    <row r="85" spans="1:7" x14ac:dyDescent="0.3">
      <c r="A85">
        <v>84</v>
      </c>
      <c r="B85" s="4">
        <v>45637</v>
      </c>
      <c r="C85" t="s">
        <v>17</v>
      </c>
      <c r="D85" t="s">
        <v>11</v>
      </c>
      <c r="E85">
        <v>35278</v>
      </c>
      <c r="F85">
        <v>-1469</v>
      </c>
      <c r="G85" t="s">
        <v>16</v>
      </c>
    </row>
    <row r="86" spans="1:7" x14ac:dyDescent="0.3">
      <c r="A86">
        <v>85</v>
      </c>
      <c r="B86" s="4">
        <v>45353</v>
      </c>
      <c r="C86" t="s">
        <v>15</v>
      </c>
      <c r="D86" t="s">
        <v>8</v>
      </c>
      <c r="E86">
        <v>30452</v>
      </c>
      <c r="F86">
        <v>6899</v>
      </c>
      <c r="G86" t="s">
        <v>13</v>
      </c>
    </row>
    <row r="87" spans="1:7" x14ac:dyDescent="0.3">
      <c r="A87">
        <v>86</v>
      </c>
      <c r="B87" s="4">
        <v>45443</v>
      </c>
      <c r="C87" t="s">
        <v>15</v>
      </c>
      <c r="D87" t="s">
        <v>8</v>
      </c>
      <c r="E87">
        <v>25393</v>
      </c>
      <c r="F87">
        <v>6528</v>
      </c>
      <c r="G87" t="s">
        <v>14</v>
      </c>
    </row>
    <row r="88" spans="1:7" x14ac:dyDescent="0.3">
      <c r="A88">
        <v>87</v>
      </c>
      <c r="B88" s="4">
        <v>45436</v>
      </c>
      <c r="C88" t="s">
        <v>7</v>
      </c>
      <c r="D88" t="s">
        <v>11</v>
      </c>
      <c r="E88">
        <v>36874</v>
      </c>
      <c r="F88">
        <v>8577</v>
      </c>
      <c r="G88" t="s">
        <v>16</v>
      </c>
    </row>
    <row r="89" spans="1:7" x14ac:dyDescent="0.3">
      <c r="A89">
        <v>88</v>
      </c>
      <c r="B89" s="4">
        <v>45419</v>
      </c>
      <c r="C89" t="s">
        <v>12</v>
      </c>
      <c r="D89" t="s">
        <v>11</v>
      </c>
      <c r="E89">
        <v>49645</v>
      </c>
      <c r="F89">
        <v>7138</v>
      </c>
      <c r="G89" t="s">
        <v>13</v>
      </c>
    </row>
    <row r="90" spans="1:7" x14ac:dyDescent="0.3">
      <c r="A90">
        <v>89</v>
      </c>
      <c r="B90" s="4">
        <v>45384</v>
      </c>
      <c r="C90" t="s">
        <v>10</v>
      </c>
      <c r="D90" t="s">
        <v>8</v>
      </c>
      <c r="E90">
        <v>4305</v>
      </c>
      <c r="F90">
        <v>6509</v>
      </c>
      <c r="G90" t="s">
        <v>9</v>
      </c>
    </row>
    <row r="91" spans="1:7" x14ac:dyDescent="0.3">
      <c r="A91">
        <v>90</v>
      </c>
      <c r="B91" s="4">
        <v>45513</v>
      </c>
      <c r="C91" t="s">
        <v>15</v>
      </c>
      <c r="D91" t="s">
        <v>11</v>
      </c>
      <c r="E91">
        <v>5810</v>
      </c>
      <c r="F91">
        <v>1221</v>
      </c>
      <c r="G91" t="s">
        <v>9</v>
      </c>
    </row>
    <row r="92" spans="1:7" x14ac:dyDescent="0.3">
      <c r="A92">
        <v>91</v>
      </c>
      <c r="B92" s="4">
        <v>45633</v>
      </c>
      <c r="C92" t="s">
        <v>7</v>
      </c>
      <c r="D92" t="s">
        <v>8</v>
      </c>
      <c r="E92">
        <v>11380</v>
      </c>
      <c r="F92">
        <v>5188</v>
      </c>
      <c r="G92" t="s">
        <v>14</v>
      </c>
    </row>
    <row r="93" spans="1:7" x14ac:dyDescent="0.3">
      <c r="A93">
        <v>92</v>
      </c>
      <c r="B93" s="4">
        <v>45439</v>
      </c>
      <c r="C93" t="s">
        <v>7</v>
      </c>
      <c r="D93" t="s">
        <v>11</v>
      </c>
      <c r="E93">
        <v>29206</v>
      </c>
      <c r="F93">
        <v>6286</v>
      </c>
      <c r="G93" t="s">
        <v>13</v>
      </c>
    </row>
    <row r="94" spans="1:7" x14ac:dyDescent="0.3">
      <c r="A94">
        <v>93</v>
      </c>
      <c r="B94" s="4">
        <v>45383</v>
      </c>
      <c r="C94" t="s">
        <v>17</v>
      </c>
      <c r="D94" t="s">
        <v>11</v>
      </c>
      <c r="E94">
        <v>24833</v>
      </c>
      <c r="F94">
        <v>1330</v>
      </c>
      <c r="G94" t="s">
        <v>9</v>
      </c>
    </row>
    <row r="95" spans="1:7" x14ac:dyDescent="0.3">
      <c r="A95">
        <v>94</v>
      </c>
      <c r="B95" s="4">
        <v>45460</v>
      </c>
      <c r="C95" t="s">
        <v>15</v>
      </c>
      <c r="D95" t="s">
        <v>8</v>
      </c>
      <c r="E95">
        <v>47620</v>
      </c>
      <c r="F95">
        <v>7784</v>
      </c>
      <c r="G95" t="s">
        <v>14</v>
      </c>
    </row>
    <row r="96" spans="1:7" x14ac:dyDescent="0.3">
      <c r="A96">
        <v>95</v>
      </c>
      <c r="B96" s="4">
        <v>45397</v>
      </c>
      <c r="C96" t="s">
        <v>7</v>
      </c>
      <c r="D96" t="s">
        <v>11</v>
      </c>
      <c r="E96">
        <v>13285</v>
      </c>
      <c r="F96">
        <v>1392</v>
      </c>
      <c r="G96" t="s">
        <v>9</v>
      </c>
    </row>
    <row r="97" spans="1:7" x14ac:dyDescent="0.3">
      <c r="A97">
        <v>96</v>
      </c>
      <c r="B97" s="4">
        <v>45378</v>
      </c>
      <c r="C97" t="s">
        <v>7</v>
      </c>
      <c r="D97" t="s">
        <v>11</v>
      </c>
      <c r="E97">
        <v>11165</v>
      </c>
      <c r="F97">
        <v>7846</v>
      </c>
      <c r="G97" t="s">
        <v>16</v>
      </c>
    </row>
    <row r="98" spans="1:7" x14ac:dyDescent="0.3">
      <c r="A98">
        <v>97</v>
      </c>
      <c r="B98" s="4">
        <v>45352</v>
      </c>
      <c r="C98" t="s">
        <v>12</v>
      </c>
      <c r="D98" t="s">
        <v>11</v>
      </c>
      <c r="E98">
        <v>34751</v>
      </c>
      <c r="F98">
        <v>-526</v>
      </c>
      <c r="G98" t="s">
        <v>14</v>
      </c>
    </row>
    <row r="99" spans="1:7" x14ac:dyDescent="0.3">
      <c r="A99">
        <v>98</v>
      </c>
      <c r="B99" s="4">
        <v>45550</v>
      </c>
      <c r="C99" t="s">
        <v>15</v>
      </c>
      <c r="D99" t="s">
        <v>8</v>
      </c>
      <c r="E99">
        <v>41804</v>
      </c>
      <c r="F99">
        <v>3052</v>
      </c>
      <c r="G99" t="s">
        <v>9</v>
      </c>
    </row>
    <row r="100" spans="1:7" x14ac:dyDescent="0.3">
      <c r="A100">
        <v>99</v>
      </c>
      <c r="B100" s="4">
        <v>45651</v>
      </c>
      <c r="C100" t="s">
        <v>12</v>
      </c>
      <c r="D100" t="s">
        <v>8</v>
      </c>
      <c r="E100">
        <v>14133</v>
      </c>
      <c r="F100">
        <v>-1599</v>
      </c>
      <c r="G100" t="s">
        <v>9</v>
      </c>
    </row>
    <row r="101" spans="1:7" x14ac:dyDescent="0.3">
      <c r="A101">
        <v>100</v>
      </c>
      <c r="B101" s="4">
        <v>45566</v>
      </c>
      <c r="C101" t="s">
        <v>7</v>
      </c>
      <c r="D101" t="s">
        <v>8</v>
      </c>
      <c r="E101">
        <v>22031</v>
      </c>
      <c r="F101">
        <v>3129</v>
      </c>
      <c r="G101" t="s">
        <v>13</v>
      </c>
    </row>
    <row r="102" spans="1:7" x14ac:dyDescent="0.3">
      <c r="A102">
        <v>101</v>
      </c>
      <c r="B102" s="4">
        <v>45530</v>
      </c>
      <c r="C102" t="s">
        <v>12</v>
      </c>
      <c r="D102" t="s">
        <v>11</v>
      </c>
      <c r="E102">
        <v>49116</v>
      </c>
      <c r="F102">
        <v>3235</v>
      </c>
      <c r="G102" t="s">
        <v>13</v>
      </c>
    </row>
    <row r="103" spans="1:7" x14ac:dyDescent="0.3">
      <c r="A103">
        <v>102</v>
      </c>
      <c r="B103" s="4">
        <v>45296</v>
      </c>
      <c r="C103" t="s">
        <v>15</v>
      </c>
      <c r="D103" t="s">
        <v>11</v>
      </c>
      <c r="E103">
        <v>20426</v>
      </c>
      <c r="F103">
        <v>4810</v>
      </c>
      <c r="G103" t="s">
        <v>14</v>
      </c>
    </row>
    <row r="104" spans="1:7" x14ac:dyDescent="0.3">
      <c r="A104">
        <v>103</v>
      </c>
      <c r="B104" s="4">
        <v>45605</v>
      </c>
      <c r="C104" t="s">
        <v>15</v>
      </c>
      <c r="D104" t="s">
        <v>8</v>
      </c>
      <c r="E104">
        <v>14936</v>
      </c>
      <c r="F104">
        <v>5092</v>
      </c>
      <c r="G104" t="s">
        <v>13</v>
      </c>
    </row>
    <row r="105" spans="1:7" x14ac:dyDescent="0.3">
      <c r="A105">
        <v>104</v>
      </c>
      <c r="B105" s="4">
        <v>45302</v>
      </c>
      <c r="C105" t="s">
        <v>12</v>
      </c>
      <c r="D105" t="s">
        <v>8</v>
      </c>
      <c r="E105">
        <v>3604</v>
      </c>
      <c r="F105">
        <v>363</v>
      </c>
      <c r="G105" t="s">
        <v>13</v>
      </c>
    </row>
    <row r="106" spans="1:7" x14ac:dyDescent="0.3">
      <c r="A106">
        <v>105</v>
      </c>
      <c r="B106" s="4">
        <v>45362</v>
      </c>
      <c r="C106" t="s">
        <v>17</v>
      </c>
      <c r="D106" t="s">
        <v>8</v>
      </c>
      <c r="E106">
        <v>11039</v>
      </c>
      <c r="F106">
        <v>6145</v>
      </c>
      <c r="G106" t="s">
        <v>16</v>
      </c>
    </row>
    <row r="107" spans="1:7" x14ac:dyDescent="0.3">
      <c r="A107">
        <v>106</v>
      </c>
      <c r="B107" s="4">
        <v>45299</v>
      </c>
      <c r="C107" t="s">
        <v>10</v>
      </c>
      <c r="D107" t="s">
        <v>11</v>
      </c>
      <c r="E107">
        <v>38502</v>
      </c>
      <c r="F107">
        <v>3607</v>
      </c>
      <c r="G107" t="s">
        <v>13</v>
      </c>
    </row>
    <row r="108" spans="1:7" x14ac:dyDescent="0.3">
      <c r="A108">
        <v>107</v>
      </c>
      <c r="B108" s="4">
        <v>45421</v>
      </c>
      <c r="C108" t="s">
        <v>17</v>
      </c>
      <c r="D108" t="s">
        <v>11</v>
      </c>
      <c r="E108">
        <v>19673</v>
      </c>
      <c r="F108">
        <v>8513</v>
      </c>
      <c r="G108" t="s">
        <v>9</v>
      </c>
    </row>
    <row r="109" spans="1:7" x14ac:dyDescent="0.3">
      <c r="A109">
        <v>108</v>
      </c>
      <c r="B109" s="4">
        <v>45313</v>
      </c>
      <c r="C109" t="s">
        <v>15</v>
      </c>
      <c r="D109" t="s">
        <v>11</v>
      </c>
      <c r="E109">
        <v>25523</v>
      </c>
      <c r="F109">
        <v>1146</v>
      </c>
      <c r="G109" t="s">
        <v>13</v>
      </c>
    </row>
    <row r="110" spans="1:7" x14ac:dyDescent="0.3">
      <c r="A110">
        <v>109</v>
      </c>
      <c r="B110" s="4">
        <v>45295</v>
      </c>
      <c r="C110" t="s">
        <v>7</v>
      </c>
      <c r="D110" t="s">
        <v>8</v>
      </c>
      <c r="E110">
        <v>787</v>
      </c>
      <c r="F110">
        <v>7669</v>
      </c>
      <c r="G110" t="s">
        <v>16</v>
      </c>
    </row>
    <row r="111" spans="1:7" x14ac:dyDescent="0.3">
      <c r="A111">
        <v>110</v>
      </c>
      <c r="B111" s="4">
        <v>45334</v>
      </c>
      <c r="C111" t="s">
        <v>7</v>
      </c>
      <c r="D111" t="s">
        <v>11</v>
      </c>
      <c r="E111">
        <v>29276</v>
      </c>
      <c r="F111">
        <v>1694</v>
      </c>
      <c r="G111" t="s">
        <v>13</v>
      </c>
    </row>
    <row r="112" spans="1:7" x14ac:dyDescent="0.3">
      <c r="A112">
        <v>111</v>
      </c>
      <c r="B112" s="4">
        <v>45352</v>
      </c>
      <c r="C112" t="s">
        <v>15</v>
      </c>
      <c r="D112" t="s">
        <v>8</v>
      </c>
      <c r="E112">
        <v>865</v>
      </c>
      <c r="F112">
        <v>-1726</v>
      </c>
      <c r="G112" t="s">
        <v>16</v>
      </c>
    </row>
    <row r="113" spans="1:7" x14ac:dyDescent="0.3">
      <c r="A113">
        <v>112</v>
      </c>
      <c r="B113" s="4">
        <v>45330</v>
      </c>
      <c r="C113" t="s">
        <v>17</v>
      </c>
      <c r="D113" t="s">
        <v>11</v>
      </c>
      <c r="E113">
        <v>5509</v>
      </c>
      <c r="F113">
        <v>3374</v>
      </c>
      <c r="G113" t="s">
        <v>9</v>
      </c>
    </row>
    <row r="114" spans="1:7" x14ac:dyDescent="0.3">
      <c r="A114">
        <v>113</v>
      </c>
      <c r="B114" s="4">
        <v>45306</v>
      </c>
      <c r="C114" t="s">
        <v>17</v>
      </c>
      <c r="D114" t="s">
        <v>8</v>
      </c>
      <c r="E114">
        <v>44446</v>
      </c>
      <c r="F114">
        <v>6661</v>
      </c>
      <c r="G114" t="s">
        <v>16</v>
      </c>
    </row>
    <row r="115" spans="1:7" x14ac:dyDescent="0.3">
      <c r="A115">
        <v>114</v>
      </c>
      <c r="B115" s="4">
        <v>45622</v>
      </c>
      <c r="C115" t="s">
        <v>15</v>
      </c>
      <c r="D115" t="s">
        <v>8</v>
      </c>
      <c r="E115">
        <v>44228</v>
      </c>
      <c r="F115">
        <v>9219</v>
      </c>
      <c r="G115" t="s">
        <v>13</v>
      </c>
    </row>
    <row r="116" spans="1:7" x14ac:dyDescent="0.3">
      <c r="A116">
        <v>115</v>
      </c>
      <c r="B116" s="4">
        <v>45406</v>
      </c>
      <c r="C116" t="s">
        <v>15</v>
      </c>
      <c r="D116" t="s">
        <v>8</v>
      </c>
      <c r="E116">
        <v>47829</v>
      </c>
      <c r="F116">
        <v>7317</v>
      </c>
      <c r="G116" t="s">
        <v>9</v>
      </c>
    </row>
    <row r="117" spans="1:7" x14ac:dyDescent="0.3">
      <c r="A117">
        <v>116</v>
      </c>
      <c r="B117" s="4">
        <v>45337</v>
      </c>
      <c r="C117" t="s">
        <v>17</v>
      </c>
      <c r="D117" t="s">
        <v>11</v>
      </c>
      <c r="E117">
        <v>32302</v>
      </c>
      <c r="F117">
        <v>3486</v>
      </c>
      <c r="G117" t="s">
        <v>9</v>
      </c>
    </row>
    <row r="118" spans="1:7" x14ac:dyDescent="0.3">
      <c r="A118">
        <v>117</v>
      </c>
      <c r="B118" s="4">
        <v>45398</v>
      </c>
      <c r="C118" t="s">
        <v>15</v>
      </c>
      <c r="D118" t="s">
        <v>11</v>
      </c>
      <c r="E118">
        <v>47716</v>
      </c>
      <c r="F118">
        <v>-194</v>
      </c>
      <c r="G118" t="s">
        <v>14</v>
      </c>
    </row>
    <row r="119" spans="1:7" x14ac:dyDescent="0.3">
      <c r="A119">
        <v>118</v>
      </c>
      <c r="B119" s="4">
        <v>45631</v>
      </c>
      <c r="C119" t="s">
        <v>10</v>
      </c>
      <c r="D119" t="s">
        <v>11</v>
      </c>
      <c r="E119">
        <v>44028</v>
      </c>
      <c r="F119">
        <v>4787</v>
      </c>
      <c r="G119" t="s">
        <v>13</v>
      </c>
    </row>
    <row r="120" spans="1:7" x14ac:dyDescent="0.3">
      <c r="A120">
        <v>119</v>
      </c>
      <c r="B120" s="4">
        <v>45415</v>
      </c>
      <c r="C120" t="s">
        <v>10</v>
      </c>
      <c r="D120" t="s">
        <v>11</v>
      </c>
      <c r="E120">
        <v>30898</v>
      </c>
      <c r="F120">
        <v>5400</v>
      </c>
      <c r="G120" t="s">
        <v>9</v>
      </c>
    </row>
    <row r="121" spans="1:7" x14ac:dyDescent="0.3">
      <c r="A121">
        <v>120</v>
      </c>
      <c r="B121" s="4">
        <v>45328</v>
      </c>
      <c r="C121" t="s">
        <v>7</v>
      </c>
      <c r="D121" t="s">
        <v>8</v>
      </c>
      <c r="E121">
        <v>40168</v>
      </c>
      <c r="F121">
        <v>2036</v>
      </c>
      <c r="G121" t="s">
        <v>16</v>
      </c>
    </row>
    <row r="122" spans="1:7" x14ac:dyDescent="0.3">
      <c r="A122">
        <v>121</v>
      </c>
      <c r="B122" s="4">
        <v>45479</v>
      </c>
      <c r="C122" t="s">
        <v>10</v>
      </c>
      <c r="D122" t="s">
        <v>11</v>
      </c>
      <c r="E122">
        <v>8653</v>
      </c>
      <c r="F122">
        <v>8090</v>
      </c>
      <c r="G122" t="s">
        <v>16</v>
      </c>
    </row>
    <row r="123" spans="1:7" x14ac:dyDescent="0.3">
      <c r="A123">
        <v>122</v>
      </c>
      <c r="B123" s="4">
        <v>45639</v>
      </c>
      <c r="C123" t="s">
        <v>7</v>
      </c>
      <c r="D123" t="s">
        <v>8</v>
      </c>
      <c r="E123">
        <v>5154</v>
      </c>
      <c r="F123">
        <v>-1090</v>
      </c>
      <c r="G123" t="s">
        <v>14</v>
      </c>
    </row>
    <row r="124" spans="1:7" x14ac:dyDescent="0.3">
      <c r="A124">
        <v>123</v>
      </c>
      <c r="B124" s="4">
        <v>45351</v>
      </c>
      <c r="C124" t="s">
        <v>17</v>
      </c>
      <c r="D124" t="s">
        <v>11</v>
      </c>
      <c r="E124">
        <v>9409</v>
      </c>
      <c r="F124">
        <v>9225</v>
      </c>
      <c r="G124" t="s">
        <v>9</v>
      </c>
    </row>
    <row r="125" spans="1:7" x14ac:dyDescent="0.3">
      <c r="A125">
        <v>124</v>
      </c>
      <c r="B125" s="4">
        <v>45293</v>
      </c>
      <c r="C125" t="s">
        <v>17</v>
      </c>
      <c r="D125" t="s">
        <v>11</v>
      </c>
      <c r="E125">
        <v>24671</v>
      </c>
      <c r="F125">
        <v>371</v>
      </c>
      <c r="G125" t="s">
        <v>13</v>
      </c>
    </row>
    <row r="126" spans="1:7" x14ac:dyDescent="0.3">
      <c r="A126">
        <v>125</v>
      </c>
      <c r="B126" s="4">
        <v>45499</v>
      </c>
      <c r="C126" t="s">
        <v>17</v>
      </c>
      <c r="D126" t="s">
        <v>11</v>
      </c>
      <c r="E126">
        <v>43065</v>
      </c>
      <c r="F126">
        <v>2419</v>
      </c>
      <c r="G126" t="s">
        <v>16</v>
      </c>
    </row>
    <row r="127" spans="1:7" x14ac:dyDescent="0.3">
      <c r="A127">
        <v>126</v>
      </c>
      <c r="B127" s="4">
        <v>45528</v>
      </c>
      <c r="C127" t="s">
        <v>15</v>
      </c>
      <c r="D127" t="s">
        <v>11</v>
      </c>
      <c r="E127">
        <v>6901</v>
      </c>
      <c r="F127">
        <v>5908</v>
      </c>
      <c r="G127" t="s">
        <v>14</v>
      </c>
    </row>
    <row r="128" spans="1:7" x14ac:dyDescent="0.3">
      <c r="A128">
        <v>127</v>
      </c>
      <c r="B128" s="4">
        <v>45422</v>
      </c>
      <c r="C128" t="s">
        <v>7</v>
      </c>
      <c r="D128" t="s">
        <v>11</v>
      </c>
      <c r="E128">
        <v>32296</v>
      </c>
      <c r="F128">
        <v>9457</v>
      </c>
      <c r="G128" t="s">
        <v>14</v>
      </c>
    </row>
    <row r="129" spans="1:7" x14ac:dyDescent="0.3">
      <c r="A129">
        <v>128</v>
      </c>
      <c r="B129" s="4">
        <v>45372</v>
      </c>
      <c r="C129" t="s">
        <v>15</v>
      </c>
      <c r="D129" t="s">
        <v>8</v>
      </c>
      <c r="E129">
        <v>33016</v>
      </c>
      <c r="F129">
        <v>-1912</v>
      </c>
      <c r="G129" t="s">
        <v>16</v>
      </c>
    </row>
    <row r="130" spans="1:7" x14ac:dyDescent="0.3">
      <c r="A130">
        <v>129</v>
      </c>
      <c r="B130" s="4">
        <v>45503</v>
      </c>
      <c r="C130" t="s">
        <v>10</v>
      </c>
      <c r="D130" t="s">
        <v>11</v>
      </c>
      <c r="E130">
        <v>5823</v>
      </c>
      <c r="F130">
        <v>1206</v>
      </c>
      <c r="G130" t="s">
        <v>13</v>
      </c>
    </row>
    <row r="131" spans="1:7" x14ac:dyDescent="0.3">
      <c r="A131">
        <v>130</v>
      </c>
      <c r="B131" s="4">
        <v>45485</v>
      </c>
      <c r="C131" t="s">
        <v>17</v>
      </c>
      <c r="D131" t="s">
        <v>11</v>
      </c>
      <c r="E131">
        <v>13870</v>
      </c>
      <c r="F131">
        <v>4094</v>
      </c>
      <c r="G131" t="s">
        <v>14</v>
      </c>
    </row>
    <row r="132" spans="1:7" x14ac:dyDescent="0.3">
      <c r="A132">
        <v>131</v>
      </c>
      <c r="B132" s="4">
        <v>45471</v>
      </c>
      <c r="C132" t="s">
        <v>12</v>
      </c>
      <c r="D132" t="s">
        <v>8</v>
      </c>
      <c r="E132">
        <v>6149</v>
      </c>
      <c r="F132">
        <v>295</v>
      </c>
      <c r="G132" t="s">
        <v>16</v>
      </c>
    </row>
    <row r="133" spans="1:7" x14ac:dyDescent="0.3">
      <c r="A133">
        <v>132</v>
      </c>
      <c r="B133" s="4">
        <v>45539</v>
      </c>
      <c r="C133" t="s">
        <v>10</v>
      </c>
      <c r="D133" t="s">
        <v>11</v>
      </c>
      <c r="E133">
        <v>37537</v>
      </c>
      <c r="F133">
        <v>4125</v>
      </c>
      <c r="G133" t="s">
        <v>16</v>
      </c>
    </row>
    <row r="134" spans="1:7" x14ac:dyDescent="0.3">
      <c r="A134">
        <v>133</v>
      </c>
      <c r="B134" s="4">
        <v>45656</v>
      </c>
      <c r="C134" t="s">
        <v>12</v>
      </c>
      <c r="D134" t="s">
        <v>11</v>
      </c>
      <c r="E134">
        <v>17427</v>
      </c>
      <c r="F134">
        <v>5962</v>
      </c>
      <c r="G134" t="s">
        <v>16</v>
      </c>
    </row>
    <row r="135" spans="1:7" x14ac:dyDescent="0.3">
      <c r="A135">
        <v>134</v>
      </c>
      <c r="B135" s="4">
        <v>45327</v>
      </c>
      <c r="C135" t="s">
        <v>15</v>
      </c>
      <c r="D135" t="s">
        <v>8</v>
      </c>
      <c r="E135">
        <v>26981</v>
      </c>
      <c r="F135">
        <v>8229</v>
      </c>
      <c r="G135" t="s">
        <v>13</v>
      </c>
    </row>
    <row r="136" spans="1:7" x14ac:dyDescent="0.3">
      <c r="A136">
        <v>135</v>
      </c>
      <c r="B136" s="4">
        <v>45453</v>
      </c>
      <c r="C136" t="s">
        <v>7</v>
      </c>
      <c r="D136" t="s">
        <v>8</v>
      </c>
      <c r="E136">
        <v>36487</v>
      </c>
      <c r="F136">
        <v>99</v>
      </c>
      <c r="G136" t="s">
        <v>9</v>
      </c>
    </row>
    <row r="137" spans="1:7" x14ac:dyDescent="0.3">
      <c r="A137">
        <v>136</v>
      </c>
      <c r="B137" s="4">
        <v>45306</v>
      </c>
      <c r="C137" t="s">
        <v>7</v>
      </c>
      <c r="D137" t="s">
        <v>8</v>
      </c>
      <c r="E137">
        <v>9635</v>
      </c>
      <c r="F137">
        <v>4159</v>
      </c>
      <c r="G137" t="s">
        <v>13</v>
      </c>
    </row>
    <row r="138" spans="1:7" x14ac:dyDescent="0.3">
      <c r="A138">
        <v>137</v>
      </c>
      <c r="B138" s="4">
        <v>45530</v>
      </c>
      <c r="C138" t="s">
        <v>10</v>
      </c>
      <c r="D138" t="s">
        <v>8</v>
      </c>
      <c r="E138">
        <v>23728</v>
      </c>
      <c r="F138">
        <v>5854</v>
      </c>
      <c r="G138" t="s">
        <v>14</v>
      </c>
    </row>
    <row r="139" spans="1:7" x14ac:dyDescent="0.3">
      <c r="A139">
        <v>138</v>
      </c>
      <c r="B139" s="4">
        <v>45481</v>
      </c>
      <c r="C139" t="s">
        <v>7</v>
      </c>
      <c r="D139" t="s">
        <v>8</v>
      </c>
      <c r="E139">
        <v>26326</v>
      </c>
      <c r="F139">
        <v>8573</v>
      </c>
      <c r="G139" t="s">
        <v>13</v>
      </c>
    </row>
    <row r="140" spans="1:7" x14ac:dyDescent="0.3">
      <c r="A140">
        <v>139</v>
      </c>
      <c r="B140" s="4">
        <v>45310</v>
      </c>
      <c r="C140" t="s">
        <v>7</v>
      </c>
      <c r="D140" t="s">
        <v>8</v>
      </c>
      <c r="E140">
        <v>42822</v>
      </c>
      <c r="F140">
        <v>9136</v>
      </c>
      <c r="G140" t="s">
        <v>13</v>
      </c>
    </row>
    <row r="141" spans="1:7" x14ac:dyDescent="0.3">
      <c r="A141">
        <v>140</v>
      </c>
      <c r="B141" s="4">
        <v>45360</v>
      </c>
      <c r="C141" t="s">
        <v>15</v>
      </c>
      <c r="D141" t="s">
        <v>8</v>
      </c>
      <c r="E141">
        <v>3661</v>
      </c>
      <c r="F141">
        <v>5571</v>
      </c>
      <c r="G141" t="s">
        <v>9</v>
      </c>
    </row>
    <row r="142" spans="1:7" x14ac:dyDescent="0.3">
      <c r="A142">
        <v>141</v>
      </c>
      <c r="B142" s="4">
        <v>45442</v>
      </c>
      <c r="C142" t="s">
        <v>15</v>
      </c>
      <c r="D142" t="s">
        <v>11</v>
      </c>
      <c r="E142">
        <v>24027</v>
      </c>
      <c r="F142">
        <v>1220</v>
      </c>
      <c r="G142" t="s">
        <v>16</v>
      </c>
    </row>
    <row r="143" spans="1:7" x14ac:dyDescent="0.3">
      <c r="A143">
        <v>142</v>
      </c>
      <c r="B143" s="4">
        <v>45630</v>
      </c>
      <c r="C143" t="s">
        <v>7</v>
      </c>
      <c r="D143" t="s">
        <v>11</v>
      </c>
      <c r="E143">
        <v>5771</v>
      </c>
      <c r="F143">
        <v>981</v>
      </c>
      <c r="G143" t="s">
        <v>13</v>
      </c>
    </row>
    <row r="144" spans="1:7" x14ac:dyDescent="0.3">
      <c r="A144">
        <v>143</v>
      </c>
      <c r="B144" s="4">
        <v>45498</v>
      </c>
      <c r="C144" t="s">
        <v>7</v>
      </c>
      <c r="D144" t="s">
        <v>8</v>
      </c>
      <c r="E144">
        <v>1399</v>
      </c>
      <c r="F144">
        <v>5809</v>
      </c>
      <c r="G144" t="s">
        <v>14</v>
      </c>
    </row>
    <row r="145" spans="1:7" x14ac:dyDescent="0.3">
      <c r="A145">
        <v>144</v>
      </c>
      <c r="B145" s="4">
        <v>45627</v>
      </c>
      <c r="C145" t="s">
        <v>7</v>
      </c>
      <c r="D145" t="s">
        <v>11</v>
      </c>
      <c r="E145">
        <v>15959</v>
      </c>
      <c r="F145">
        <v>6276</v>
      </c>
      <c r="G145" t="s">
        <v>16</v>
      </c>
    </row>
    <row r="146" spans="1:7" x14ac:dyDescent="0.3">
      <c r="A146">
        <v>145</v>
      </c>
      <c r="B146" s="4">
        <v>45300</v>
      </c>
      <c r="C146" t="s">
        <v>12</v>
      </c>
      <c r="D146" t="s">
        <v>11</v>
      </c>
      <c r="E146">
        <v>29365</v>
      </c>
      <c r="F146">
        <v>6218</v>
      </c>
      <c r="G146" t="s">
        <v>14</v>
      </c>
    </row>
    <row r="147" spans="1:7" x14ac:dyDescent="0.3">
      <c r="A147">
        <v>146</v>
      </c>
      <c r="B147" s="4">
        <v>45344</v>
      </c>
      <c r="C147" t="s">
        <v>12</v>
      </c>
      <c r="D147" t="s">
        <v>11</v>
      </c>
      <c r="E147">
        <v>36083</v>
      </c>
      <c r="F147">
        <v>-1409</v>
      </c>
      <c r="G147" t="s">
        <v>16</v>
      </c>
    </row>
    <row r="148" spans="1:7" x14ac:dyDescent="0.3">
      <c r="A148">
        <v>147</v>
      </c>
      <c r="B148" s="4">
        <v>45617</v>
      </c>
      <c r="C148" t="s">
        <v>7</v>
      </c>
      <c r="D148" t="s">
        <v>8</v>
      </c>
      <c r="E148">
        <v>9690</v>
      </c>
      <c r="F148">
        <v>8416</v>
      </c>
      <c r="G148" t="s">
        <v>14</v>
      </c>
    </row>
    <row r="149" spans="1:7" x14ac:dyDescent="0.3">
      <c r="A149">
        <v>148</v>
      </c>
      <c r="B149" s="4">
        <v>45585</v>
      </c>
      <c r="C149" t="s">
        <v>10</v>
      </c>
      <c r="D149" t="s">
        <v>8</v>
      </c>
      <c r="E149">
        <v>11917</v>
      </c>
      <c r="F149">
        <v>6059</v>
      </c>
      <c r="G149" t="s">
        <v>9</v>
      </c>
    </row>
    <row r="150" spans="1:7" x14ac:dyDescent="0.3">
      <c r="A150">
        <v>149</v>
      </c>
      <c r="B150" s="4">
        <v>45482</v>
      </c>
      <c r="C150" t="s">
        <v>10</v>
      </c>
      <c r="D150" t="s">
        <v>8</v>
      </c>
      <c r="E150">
        <v>30653</v>
      </c>
      <c r="F150">
        <v>5172</v>
      </c>
      <c r="G150" t="s">
        <v>14</v>
      </c>
    </row>
    <row r="151" spans="1:7" x14ac:dyDescent="0.3">
      <c r="A151">
        <v>150</v>
      </c>
      <c r="B151" s="4">
        <v>45605</v>
      </c>
      <c r="C151" t="s">
        <v>17</v>
      </c>
      <c r="D151" t="s">
        <v>8</v>
      </c>
      <c r="E151">
        <v>44993</v>
      </c>
      <c r="F151">
        <v>-1284</v>
      </c>
      <c r="G151" t="s">
        <v>14</v>
      </c>
    </row>
    <row r="152" spans="1:7" x14ac:dyDescent="0.3">
      <c r="A152">
        <v>151</v>
      </c>
      <c r="B152" s="4">
        <v>45460</v>
      </c>
      <c r="C152" t="s">
        <v>17</v>
      </c>
      <c r="D152" t="s">
        <v>11</v>
      </c>
      <c r="E152">
        <v>35208</v>
      </c>
      <c r="F152">
        <v>4066</v>
      </c>
      <c r="G152" t="s">
        <v>13</v>
      </c>
    </row>
    <row r="153" spans="1:7" x14ac:dyDescent="0.3">
      <c r="A153">
        <v>152</v>
      </c>
      <c r="B153" s="4">
        <v>45575</v>
      </c>
      <c r="C153" t="s">
        <v>7</v>
      </c>
      <c r="D153" t="s">
        <v>8</v>
      </c>
      <c r="E153">
        <v>45681</v>
      </c>
      <c r="F153">
        <v>7306</v>
      </c>
      <c r="G153" t="s">
        <v>13</v>
      </c>
    </row>
    <row r="154" spans="1:7" x14ac:dyDescent="0.3">
      <c r="A154">
        <v>153</v>
      </c>
      <c r="B154" s="4">
        <v>45488</v>
      </c>
      <c r="C154" t="s">
        <v>17</v>
      </c>
      <c r="D154" t="s">
        <v>8</v>
      </c>
      <c r="E154">
        <v>47659</v>
      </c>
      <c r="F154">
        <v>-6</v>
      </c>
      <c r="G154" t="s">
        <v>9</v>
      </c>
    </row>
    <row r="155" spans="1:7" x14ac:dyDescent="0.3">
      <c r="A155">
        <v>154</v>
      </c>
      <c r="B155" s="4">
        <v>45312</v>
      </c>
      <c r="C155" t="s">
        <v>12</v>
      </c>
      <c r="D155" t="s">
        <v>8</v>
      </c>
      <c r="E155">
        <v>18013</v>
      </c>
      <c r="F155">
        <v>7228</v>
      </c>
      <c r="G155" t="s">
        <v>9</v>
      </c>
    </row>
    <row r="156" spans="1:7" x14ac:dyDescent="0.3">
      <c r="A156">
        <v>155</v>
      </c>
      <c r="B156" s="4">
        <v>45643</v>
      </c>
      <c r="C156" t="s">
        <v>10</v>
      </c>
      <c r="D156" t="s">
        <v>8</v>
      </c>
      <c r="E156">
        <v>8203</v>
      </c>
      <c r="F156">
        <v>583</v>
      </c>
      <c r="G156" t="s">
        <v>9</v>
      </c>
    </row>
    <row r="157" spans="1:7" x14ac:dyDescent="0.3">
      <c r="A157">
        <v>156</v>
      </c>
      <c r="B157" s="4">
        <v>45379</v>
      </c>
      <c r="C157" t="s">
        <v>10</v>
      </c>
      <c r="D157" t="s">
        <v>11</v>
      </c>
      <c r="E157">
        <v>18892</v>
      </c>
      <c r="F157">
        <v>3853</v>
      </c>
      <c r="G157" t="s">
        <v>13</v>
      </c>
    </row>
    <row r="158" spans="1:7" x14ac:dyDescent="0.3">
      <c r="A158">
        <v>157</v>
      </c>
      <c r="B158" s="4">
        <v>45429</v>
      </c>
      <c r="C158" t="s">
        <v>12</v>
      </c>
      <c r="D158" t="s">
        <v>8</v>
      </c>
      <c r="E158">
        <v>14403</v>
      </c>
      <c r="F158">
        <v>4198</v>
      </c>
      <c r="G158" t="s">
        <v>14</v>
      </c>
    </row>
    <row r="159" spans="1:7" x14ac:dyDescent="0.3">
      <c r="A159">
        <v>158</v>
      </c>
      <c r="B159" s="4">
        <v>45410</v>
      </c>
      <c r="C159" t="s">
        <v>17</v>
      </c>
      <c r="D159" t="s">
        <v>8</v>
      </c>
      <c r="E159">
        <v>25084</v>
      </c>
      <c r="F159">
        <v>5502</v>
      </c>
      <c r="G159" t="s">
        <v>13</v>
      </c>
    </row>
    <row r="160" spans="1:7" x14ac:dyDescent="0.3">
      <c r="A160">
        <v>159</v>
      </c>
      <c r="B160" s="4">
        <v>45543</v>
      </c>
      <c r="C160" t="s">
        <v>7</v>
      </c>
      <c r="D160" t="s">
        <v>8</v>
      </c>
      <c r="E160">
        <v>31042</v>
      </c>
      <c r="F160">
        <v>7053</v>
      </c>
      <c r="G160" t="s">
        <v>16</v>
      </c>
    </row>
    <row r="161" spans="1:7" x14ac:dyDescent="0.3">
      <c r="A161">
        <v>160</v>
      </c>
      <c r="B161" s="4">
        <v>45440</v>
      </c>
      <c r="C161" t="s">
        <v>10</v>
      </c>
      <c r="D161" t="s">
        <v>11</v>
      </c>
      <c r="E161">
        <v>23346</v>
      </c>
      <c r="F161">
        <v>4962</v>
      </c>
      <c r="G161" t="s">
        <v>14</v>
      </c>
    </row>
    <row r="162" spans="1:7" x14ac:dyDescent="0.3">
      <c r="A162">
        <v>161</v>
      </c>
      <c r="B162" s="4">
        <v>45630</v>
      </c>
      <c r="C162" t="s">
        <v>10</v>
      </c>
      <c r="D162" t="s">
        <v>11</v>
      </c>
      <c r="E162">
        <v>13483</v>
      </c>
      <c r="F162">
        <v>-783</v>
      </c>
      <c r="G162" t="s">
        <v>13</v>
      </c>
    </row>
    <row r="163" spans="1:7" x14ac:dyDescent="0.3">
      <c r="A163">
        <v>162</v>
      </c>
      <c r="B163" s="4">
        <v>45445</v>
      </c>
      <c r="C163" t="s">
        <v>10</v>
      </c>
      <c r="D163" t="s">
        <v>8</v>
      </c>
      <c r="E163">
        <v>41466</v>
      </c>
      <c r="F163">
        <v>432</v>
      </c>
      <c r="G163" t="s">
        <v>14</v>
      </c>
    </row>
    <row r="164" spans="1:7" x14ac:dyDescent="0.3">
      <c r="A164">
        <v>163</v>
      </c>
      <c r="B164" s="4">
        <v>45492</v>
      </c>
      <c r="C164" t="s">
        <v>15</v>
      </c>
      <c r="D164" t="s">
        <v>8</v>
      </c>
      <c r="E164">
        <v>35191</v>
      </c>
      <c r="F164">
        <v>9550</v>
      </c>
      <c r="G164" t="s">
        <v>16</v>
      </c>
    </row>
    <row r="165" spans="1:7" x14ac:dyDescent="0.3">
      <c r="A165">
        <v>164</v>
      </c>
      <c r="B165" s="4">
        <v>45583</v>
      </c>
      <c r="C165" t="s">
        <v>10</v>
      </c>
      <c r="D165" t="s">
        <v>11</v>
      </c>
      <c r="E165">
        <v>2386</v>
      </c>
      <c r="F165">
        <v>5061</v>
      </c>
      <c r="G165" t="s">
        <v>13</v>
      </c>
    </row>
    <row r="166" spans="1:7" x14ac:dyDescent="0.3">
      <c r="A166">
        <v>165</v>
      </c>
      <c r="B166" s="4">
        <v>45295</v>
      </c>
      <c r="C166" t="s">
        <v>15</v>
      </c>
      <c r="D166" t="s">
        <v>8</v>
      </c>
      <c r="E166">
        <v>43023</v>
      </c>
      <c r="F166">
        <v>-1220</v>
      </c>
      <c r="G166" t="s">
        <v>16</v>
      </c>
    </row>
    <row r="167" spans="1:7" x14ac:dyDescent="0.3">
      <c r="A167">
        <v>166</v>
      </c>
      <c r="B167" s="4">
        <v>45594</v>
      </c>
      <c r="C167" t="s">
        <v>12</v>
      </c>
      <c r="D167" t="s">
        <v>11</v>
      </c>
      <c r="E167">
        <v>10832</v>
      </c>
      <c r="F167">
        <v>5893</v>
      </c>
      <c r="G167" t="s">
        <v>13</v>
      </c>
    </row>
    <row r="168" spans="1:7" x14ac:dyDescent="0.3">
      <c r="A168">
        <v>167</v>
      </c>
      <c r="B168" s="4">
        <v>45553</v>
      </c>
      <c r="C168" t="s">
        <v>15</v>
      </c>
      <c r="D168" t="s">
        <v>8</v>
      </c>
      <c r="E168">
        <v>1142</v>
      </c>
      <c r="F168">
        <v>9467</v>
      </c>
      <c r="G168" t="s">
        <v>16</v>
      </c>
    </row>
    <row r="169" spans="1:7" x14ac:dyDescent="0.3">
      <c r="A169">
        <v>168</v>
      </c>
      <c r="B169" s="4">
        <v>45573</v>
      </c>
      <c r="C169" t="s">
        <v>7</v>
      </c>
      <c r="D169" t="s">
        <v>11</v>
      </c>
      <c r="E169">
        <v>41281</v>
      </c>
      <c r="F169">
        <v>5933</v>
      </c>
      <c r="G169" t="s">
        <v>14</v>
      </c>
    </row>
    <row r="170" spans="1:7" x14ac:dyDescent="0.3">
      <c r="A170">
        <v>169</v>
      </c>
      <c r="B170" s="4">
        <v>45500</v>
      </c>
      <c r="C170" t="s">
        <v>7</v>
      </c>
      <c r="D170" t="s">
        <v>8</v>
      </c>
      <c r="E170">
        <v>35136</v>
      </c>
      <c r="F170">
        <v>2885</v>
      </c>
      <c r="G170" t="s">
        <v>9</v>
      </c>
    </row>
    <row r="171" spans="1:7" x14ac:dyDescent="0.3">
      <c r="A171">
        <v>170</v>
      </c>
      <c r="B171" s="4">
        <v>45370</v>
      </c>
      <c r="C171" t="s">
        <v>10</v>
      </c>
      <c r="D171" t="s">
        <v>8</v>
      </c>
      <c r="E171">
        <v>14876</v>
      </c>
      <c r="F171">
        <v>5230</v>
      </c>
      <c r="G171" t="s">
        <v>14</v>
      </c>
    </row>
    <row r="172" spans="1:7" x14ac:dyDescent="0.3">
      <c r="A172">
        <v>171</v>
      </c>
      <c r="B172" s="4">
        <v>45361</v>
      </c>
      <c r="C172" t="s">
        <v>7</v>
      </c>
      <c r="D172" t="s">
        <v>8</v>
      </c>
      <c r="E172">
        <v>4255</v>
      </c>
      <c r="F172">
        <v>9643</v>
      </c>
      <c r="G172" t="s">
        <v>9</v>
      </c>
    </row>
    <row r="173" spans="1:7" x14ac:dyDescent="0.3">
      <c r="A173">
        <v>172</v>
      </c>
      <c r="B173" s="4">
        <v>45623</v>
      </c>
      <c r="C173" t="s">
        <v>17</v>
      </c>
      <c r="D173" t="s">
        <v>8</v>
      </c>
      <c r="E173">
        <v>1319</v>
      </c>
      <c r="F173">
        <v>8167</v>
      </c>
      <c r="G173" t="s">
        <v>9</v>
      </c>
    </row>
    <row r="174" spans="1:7" x14ac:dyDescent="0.3">
      <c r="A174">
        <v>173</v>
      </c>
      <c r="B174" s="4">
        <v>45369</v>
      </c>
      <c r="C174" t="s">
        <v>15</v>
      </c>
      <c r="D174" t="s">
        <v>8</v>
      </c>
      <c r="E174">
        <v>28441</v>
      </c>
      <c r="F174">
        <v>1265</v>
      </c>
      <c r="G174" t="s">
        <v>16</v>
      </c>
    </row>
    <row r="175" spans="1:7" x14ac:dyDescent="0.3">
      <c r="A175">
        <v>174</v>
      </c>
      <c r="B175" s="4">
        <v>45534</v>
      </c>
      <c r="C175" t="s">
        <v>12</v>
      </c>
      <c r="D175" t="s">
        <v>11</v>
      </c>
      <c r="E175">
        <v>24993</v>
      </c>
      <c r="F175">
        <v>3471</v>
      </c>
      <c r="G175" t="s">
        <v>13</v>
      </c>
    </row>
    <row r="176" spans="1:7" x14ac:dyDescent="0.3">
      <c r="A176">
        <v>175</v>
      </c>
      <c r="B176" s="4">
        <v>45430</v>
      </c>
      <c r="C176" t="s">
        <v>17</v>
      </c>
      <c r="D176" t="s">
        <v>8</v>
      </c>
      <c r="E176">
        <v>3319</v>
      </c>
      <c r="F176">
        <v>3158</v>
      </c>
      <c r="G176" t="s">
        <v>14</v>
      </c>
    </row>
    <row r="177" spans="1:7" x14ac:dyDescent="0.3">
      <c r="A177">
        <v>176</v>
      </c>
      <c r="B177" s="4">
        <v>45309</v>
      </c>
      <c r="C177" t="s">
        <v>10</v>
      </c>
      <c r="D177" t="s">
        <v>11</v>
      </c>
      <c r="E177">
        <v>34535</v>
      </c>
      <c r="F177">
        <v>3267</v>
      </c>
      <c r="G177" t="s">
        <v>14</v>
      </c>
    </row>
    <row r="178" spans="1:7" x14ac:dyDescent="0.3">
      <c r="A178">
        <v>177</v>
      </c>
      <c r="B178" s="4">
        <v>45373</v>
      </c>
      <c r="C178" t="s">
        <v>17</v>
      </c>
      <c r="D178" t="s">
        <v>11</v>
      </c>
      <c r="E178">
        <v>39573</v>
      </c>
      <c r="F178">
        <v>2663</v>
      </c>
      <c r="G178" t="s">
        <v>14</v>
      </c>
    </row>
    <row r="179" spans="1:7" x14ac:dyDescent="0.3">
      <c r="A179">
        <v>178</v>
      </c>
      <c r="B179" s="4">
        <v>45388</v>
      </c>
      <c r="C179" t="s">
        <v>15</v>
      </c>
      <c r="D179" t="s">
        <v>11</v>
      </c>
      <c r="E179">
        <v>27655</v>
      </c>
      <c r="F179">
        <v>7481</v>
      </c>
      <c r="G179" t="s">
        <v>14</v>
      </c>
    </row>
    <row r="180" spans="1:7" x14ac:dyDescent="0.3">
      <c r="A180">
        <v>179</v>
      </c>
      <c r="B180" s="4">
        <v>45336</v>
      </c>
      <c r="C180" t="s">
        <v>7</v>
      </c>
      <c r="D180" t="s">
        <v>11</v>
      </c>
      <c r="E180">
        <v>3224</v>
      </c>
      <c r="F180">
        <v>4011</v>
      </c>
      <c r="G180" t="s">
        <v>13</v>
      </c>
    </row>
    <row r="181" spans="1:7" x14ac:dyDescent="0.3">
      <c r="A181">
        <v>180</v>
      </c>
      <c r="B181" s="4">
        <v>45408</v>
      </c>
      <c r="C181" t="s">
        <v>15</v>
      </c>
      <c r="D181" t="s">
        <v>11</v>
      </c>
      <c r="E181">
        <v>9588</v>
      </c>
      <c r="F181">
        <v>986</v>
      </c>
      <c r="G181" t="s">
        <v>14</v>
      </c>
    </row>
    <row r="182" spans="1:7" x14ac:dyDescent="0.3">
      <c r="A182">
        <v>181</v>
      </c>
      <c r="B182" s="4">
        <v>45372</v>
      </c>
      <c r="C182" t="s">
        <v>7</v>
      </c>
      <c r="D182" t="s">
        <v>8</v>
      </c>
      <c r="E182">
        <v>34741</v>
      </c>
      <c r="F182">
        <v>5298</v>
      </c>
      <c r="G182" t="s">
        <v>9</v>
      </c>
    </row>
    <row r="183" spans="1:7" x14ac:dyDescent="0.3">
      <c r="A183">
        <v>182</v>
      </c>
      <c r="B183" s="4">
        <v>45301</v>
      </c>
      <c r="C183" t="s">
        <v>7</v>
      </c>
      <c r="D183" t="s">
        <v>11</v>
      </c>
      <c r="E183">
        <v>11881</v>
      </c>
      <c r="F183">
        <v>3068</v>
      </c>
      <c r="G183" t="s">
        <v>16</v>
      </c>
    </row>
    <row r="184" spans="1:7" x14ac:dyDescent="0.3">
      <c r="A184">
        <v>183</v>
      </c>
      <c r="B184" s="4">
        <v>45527</v>
      </c>
      <c r="C184" t="s">
        <v>10</v>
      </c>
      <c r="D184" t="s">
        <v>8</v>
      </c>
      <c r="E184">
        <v>37127</v>
      </c>
      <c r="F184">
        <v>8122</v>
      </c>
      <c r="G184" t="s">
        <v>13</v>
      </c>
    </row>
    <row r="185" spans="1:7" x14ac:dyDescent="0.3">
      <c r="A185">
        <v>184</v>
      </c>
      <c r="B185" s="4">
        <v>45424</v>
      </c>
      <c r="C185" t="s">
        <v>15</v>
      </c>
      <c r="D185" t="s">
        <v>8</v>
      </c>
      <c r="E185">
        <v>39334</v>
      </c>
      <c r="F185">
        <v>9539</v>
      </c>
      <c r="G185" t="s">
        <v>13</v>
      </c>
    </row>
    <row r="186" spans="1:7" x14ac:dyDescent="0.3">
      <c r="A186">
        <v>185</v>
      </c>
      <c r="B186" s="4">
        <v>45611</v>
      </c>
      <c r="C186" t="s">
        <v>17</v>
      </c>
      <c r="D186" t="s">
        <v>8</v>
      </c>
      <c r="E186">
        <v>2696</v>
      </c>
      <c r="F186">
        <v>474</v>
      </c>
      <c r="G186" t="s">
        <v>16</v>
      </c>
    </row>
    <row r="187" spans="1:7" x14ac:dyDescent="0.3">
      <c r="A187">
        <v>186</v>
      </c>
      <c r="B187" s="4">
        <v>45415</v>
      </c>
      <c r="C187" t="s">
        <v>7</v>
      </c>
      <c r="D187" t="s">
        <v>11</v>
      </c>
      <c r="E187">
        <v>27970</v>
      </c>
      <c r="F187">
        <v>7298</v>
      </c>
      <c r="G187" t="s">
        <v>13</v>
      </c>
    </row>
    <row r="188" spans="1:7" x14ac:dyDescent="0.3">
      <c r="A188">
        <v>187</v>
      </c>
      <c r="B188" s="4">
        <v>45567</v>
      </c>
      <c r="C188" t="s">
        <v>10</v>
      </c>
      <c r="D188" t="s">
        <v>8</v>
      </c>
      <c r="E188">
        <v>634</v>
      </c>
      <c r="F188">
        <v>6019</v>
      </c>
      <c r="G188" t="s">
        <v>16</v>
      </c>
    </row>
    <row r="189" spans="1:7" x14ac:dyDescent="0.3">
      <c r="A189">
        <v>188</v>
      </c>
      <c r="B189" s="4">
        <v>45448</v>
      </c>
      <c r="C189" t="s">
        <v>10</v>
      </c>
      <c r="D189" t="s">
        <v>11</v>
      </c>
      <c r="E189">
        <v>12640</v>
      </c>
      <c r="F189">
        <v>2413</v>
      </c>
      <c r="G189" t="s">
        <v>9</v>
      </c>
    </row>
    <row r="190" spans="1:7" x14ac:dyDescent="0.3">
      <c r="A190">
        <v>189</v>
      </c>
      <c r="B190" s="4">
        <v>45515</v>
      </c>
      <c r="C190" t="s">
        <v>10</v>
      </c>
      <c r="D190" t="s">
        <v>11</v>
      </c>
      <c r="E190">
        <v>28656</v>
      </c>
      <c r="F190">
        <v>3877</v>
      </c>
      <c r="G190" t="s">
        <v>9</v>
      </c>
    </row>
    <row r="191" spans="1:7" x14ac:dyDescent="0.3">
      <c r="A191">
        <v>190</v>
      </c>
      <c r="B191" s="4">
        <v>45643</v>
      </c>
      <c r="C191" t="s">
        <v>15</v>
      </c>
      <c r="D191" t="s">
        <v>11</v>
      </c>
      <c r="E191">
        <v>27288</v>
      </c>
      <c r="F191">
        <v>1238</v>
      </c>
      <c r="G191" t="s">
        <v>14</v>
      </c>
    </row>
    <row r="192" spans="1:7" x14ac:dyDescent="0.3">
      <c r="A192">
        <v>191</v>
      </c>
      <c r="B192" s="4">
        <v>45622</v>
      </c>
      <c r="C192" t="s">
        <v>12</v>
      </c>
      <c r="D192" t="s">
        <v>11</v>
      </c>
      <c r="E192">
        <v>19384</v>
      </c>
      <c r="F192">
        <v>9127</v>
      </c>
      <c r="G192" t="s">
        <v>16</v>
      </c>
    </row>
    <row r="193" spans="1:7" x14ac:dyDescent="0.3">
      <c r="A193">
        <v>192</v>
      </c>
      <c r="B193" s="4">
        <v>45441</v>
      </c>
      <c r="C193" t="s">
        <v>15</v>
      </c>
      <c r="D193" t="s">
        <v>8</v>
      </c>
      <c r="E193">
        <v>47197</v>
      </c>
      <c r="F193">
        <v>6224</v>
      </c>
      <c r="G193" t="s">
        <v>9</v>
      </c>
    </row>
    <row r="194" spans="1:7" x14ac:dyDescent="0.3">
      <c r="A194">
        <v>193</v>
      </c>
      <c r="B194" s="4">
        <v>45318</v>
      </c>
      <c r="C194" t="s">
        <v>10</v>
      </c>
      <c r="D194" t="s">
        <v>8</v>
      </c>
      <c r="E194">
        <v>36639</v>
      </c>
      <c r="F194">
        <v>5670</v>
      </c>
      <c r="G194" t="s">
        <v>16</v>
      </c>
    </row>
    <row r="195" spans="1:7" x14ac:dyDescent="0.3">
      <c r="A195">
        <v>194</v>
      </c>
      <c r="B195" s="4">
        <v>45322</v>
      </c>
      <c r="C195" t="s">
        <v>10</v>
      </c>
      <c r="D195" t="s">
        <v>11</v>
      </c>
      <c r="E195">
        <v>40670</v>
      </c>
      <c r="F195">
        <v>-1686</v>
      </c>
      <c r="G195" t="s">
        <v>16</v>
      </c>
    </row>
    <row r="196" spans="1:7" x14ac:dyDescent="0.3">
      <c r="A196">
        <v>195</v>
      </c>
      <c r="B196" s="4">
        <v>45557</v>
      </c>
      <c r="C196" t="s">
        <v>12</v>
      </c>
      <c r="D196" t="s">
        <v>8</v>
      </c>
      <c r="E196">
        <v>5783</v>
      </c>
      <c r="F196">
        <v>2381</v>
      </c>
      <c r="G196" t="s">
        <v>13</v>
      </c>
    </row>
    <row r="197" spans="1:7" x14ac:dyDescent="0.3">
      <c r="A197">
        <v>196</v>
      </c>
      <c r="B197" s="4">
        <v>45322</v>
      </c>
      <c r="C197" t="s">
        <v>10</v>
      </c>
      <c r="D197" t="s">
        <v>11</v>
      </c>
      <c r="E197">
        <v>11651</v>
      </c>
      <c r="F197">
        <v>20</v>
      </c>
      <c r="G197" t="s">
        <v>13</v>
      </c>
    </row>
    <row r="198" spans="1:7" x14ac:dyDescent="0.3">
      <c r="A198">
        <v>197</v>
      </c>
      <c r="B198" s="4">
        <v>45514</v>
      </c>
      <c r="C198" t="s">
        <v>7</v>
      </c>
      <c r="D198" t="s">
        <v>11</v>
      </c>
      <c r="E198">
        <v>5527</v>
      </c>
      <c r="F198">
        <v>9534</v>
      </c>
      <c r="G198" t="s">
        <v>14</v>
      </c>
    </row>
    <row r="199" spans="1:7" x14ac:dyDescent="0.3">
      <c r="A199">
        <v>198</v>
      </c>
      <c r="B199" s="4">
        <v>45554</v>
      </c>
      <c r="C199" t="s">
        <v>10</v>
      </c>
      <c r="D199" t="s">
        <v>8</v>
      </c>
      <c r="E199">
        <v>34836</v>
      </c>
      <c r="F199">
        <v>4897</v>
      </c>
      <c r="G199" t="s">
        <v>14</v>
      </c>
    </row>
    <row r="200" spans="1:7" x14ac:dyDescent="0.3">
      <c r="A200">
        <v>199</v>
      </c>
      <c r="B200" s="4">
        <v>45491</v>
      </c>
      <c r="C200" t="s">
        <v>17</v>
      </c>
      <c r="D200" t="s">
        <v>11</v>
      </c>
      <c r="E200">
        <v>37801</v>
      </c>
      <c r="F200">
        <v>966</v>
      </c>
      <c r="G200" t="s">
        <v>14</v>
      </c>
    </row>
    <row r="201" spans="1:7" x14ac:dyDescent="0.3">
      <c r="A201">
        <v>200</v>
      </c>
      <c r="B201" s="4">
        <v>45453</v>
      </c>
      <c r="C201" t="s">
        <v>7</v>
      </c>
      <c r="D201" t="s">
        <v>11</v>
      </c>
      <c r="E201">
        <v>29158</v>
      </c>
      <c r="F201">
        <v>3697</v>
      </c>
      <c r="G201" t="s">
        <v>14</v>
      </c>
    </row>
    <row r="202" spans="1:7" x14ac:dyDescent="0.3">
      <c r="A202">
        <v>201</v>
      </c>
      <c r="B202" s="4">
        <v>45295</v>
      </c>
      <c r="C202" t="s">
        <v>17</v>
      </c>
      <c r="D202" t="s">
        <v>8</v>
      </c>
      <c r="E202">
        <v>36122</v>
      </c>
      <c r="F202">
        <v>1402</v>
      </c>
      <c r="G202" t="s">
        <v>9</v>
      </c>
    </row>
    <row r="203" spans="1:7" x14ac:dyDescent="0.3">
      <c r="A203">
        <v>202</v>
      </c>
      <c r="B203" s="4">
        <v>45642</v>
      </c>
      <c r="C203" t="s">
        <v>17</v>
      </c>
      <c r="D203" t="s">
        <v>11</v>
      </c>
      <c r="E203">
        <v>6949</v>
      </c>
      <c r="F203">
        <v>9301</v>
      </c>
      <c r="G203" t="s">
        <v>14</v>
      </c>
    </row>
    <row r="204" spans="1:7" x14ac:dyDescent="0.3">
      <c r="A204">
        <v>203</v>
      </c>
      <c r="B204" s="4">
        <v>45510</v>
      </c>
      <c r="C204" t="s">
        <v>10</v>
      </c>
      <c r="D204" t="s">
        <v>8</v>
      </c>
      <c r="E204">
        <v>24448</v>
      </c>
      <c r="F204">
        <v>8696</v>
      </c>
      <c r="G204" t="s">
        <v>13</v>
      </c>
    </row>
    <row r="205" spans="1:7" x14ac:dyDescent="0.3">
      <c r="A205">
        <v>204</v>
      </c>
      <c r="B205" s="4">
        <v>45342</v>
      </c>
      <c r="C205" t="s">
        <v>15</v>
      </c>
      <c r="D205" t="s">
        <v>8</v>
      </c>
      <c r="E205">
        <v>6294</v>
      </c>
      <c r="F205">
        <v>1922</v>
      </c>
      <c r="G205" t="s">
        <v>14</v>
      </c>
    </row>
    <row r="206" spans="1:7" x14ac:dyDescent="0.3">
      <c r="A206">
        <v>205</v>
      </c>
      <c r="B206" s="4">
        <v>45601</v>
      </c>
      <c r="C206" t="s">
        <v>10</v>
      </c>
      <c r="D206" t="s">
        <v>8</v>
      </c>
      <c r="E206">
        <v>27826</v>
      </c>
      <c r="F206">
        <v>7995</v>
      </c>
      <c r="G206" t="s">
        <v>16</v>
      </c>
    </row>
    <row r="207" spans="1:7" x14ac:dyDescent="0.3">
      <c r="A207">
        <v>206</v>
      </c>
      <c r="B207" s="4">
        <v>45422</v>
      </c>
      <c r="C207" t="s">
        <v>15</v>
      </c>
      <c r="D207" t="s">
        <v>8</v>
      </c>
      <c r="E207">
        <v>11562</v>
      </c>
      <c r="F207">
        <v>1641</v>
      </c>
      <c r="G207" t="s">
        <v>9</v>
      </c>
    </row>
    <row r="208" spans="1:7" x14ac:dyDescent="0.3">
      <c r="A208">
        <v>207</v>
      </c>
      <c r="B208" s="4">
        <v>45306</v>
      </c>
      <c r="C208" t="s">
        <v>7</v>
      </c>
      <c r="D208" t="s">
        <v>11</v>
      </c>
      <c r="E208">
        <v>25992</v>
      </c>
      <c r="F208">
        <v>4955</v>
      </c>
      <c r="G208" t="s">
        <v>9</v>
      </c>
    </row>
    <row r="209" spans="1:7" x14ac:dyDescent="0.3">
      <c r="A209">
        <v>208</v>
      </c>
      <c r="B209" s="4">
        <v>45325</v>
      </c>
      <c r="C209" t="s">
        <v>12</v>
      </c>
      <c r="D209" t="s">
        <v>8</v>
      </c>
      <c r="E209">
        <v>48753</v>
      </c>
      <c r="F209">
        <v>2964</v>
      </c>
      <c r="G209" t="s">
        <v>16</v>
      </c>
    </row>
    <row r="210" spans="1:7" x14ac:dyDescent="0.3">
      <c r="A210">
        <v>209</v>
      </c>
      <c r="B210" s="4">
        <v>45600</v>
      </c>
      <c r="C210" t="s">
        <v>7</v>
      </c>
      <c r="D210" t="s">
        <v>8</v>
      </c>
      <c r="E210">
        <v>29026</v>
      </c>
      <c r="F210">
        <v>2797</v>
      </c>
      <c r="G210" t="s">
        <v>16</v>
      </c>
    </row>
    <row r="211" spans="1:7" x14ac:dyDescent="0.3">
      <c r="A211">
        <v>210</v>
      </c>
      <c r="B211" s="4">
        <v>45373</v>
      </c>
      <c r="C211" t="s">
        <v>7</v>
      </c>
      <c r="D211" t="s">
        <v>11</v>
      </c>
      <c r="E211">
        <v>5589</v>
      </c>
      <c r="F211">
        <v>3697</v>
      </c>
      <c r="G211" t="s">
        <v>16</v>
      </c>
    </row>
    <row r="212" spans="1:7" x14ac:dyDescent="0.3">
      <c r="A212">
        <v>211</v>
      </c>
      <c r="B212" s="4">
        <v>45630</v>
      </c>
      <c r="C212" t="s">
        <v>15</v>
      </c>
      <c r="D212" t="s">
        <v>8</v>
      </c>
      <c r="E212">
        <v>8881</v>
      </c>
      <c r="F212">
        <v>5094</v>
      </c>
      <c r="G212" t="s">
        <v>16</v>
      </c>
    </row>
    <row r="213" spans="1:7" x14ac:dyDescent="0.3">
      <c r="A213">
        <v>212</v>
      </c>
      <c r="B213" s="4">
        <v>45394</v>
      </c>
      <c r="C213" t="s">
        <v>15</v>
      </c>
      <c r="D213" t="s">
        <v>11</v>
      </c>
      <c r="E213">
        <v>35784</v>
      </c>
      <c r="F213">
        <v>8373</v>
      </c>
      <c r="G213" t="s">
        <v>9</v>
      </c>
    </row>
    <row r="214" spans="1:7" x14ac:dyDescent="0.3">
      <c r="A214">
        <v>213</v>
      </c>
      <c r="B214" s="4">
        <v>45381</v>
      </c>
      <c r="C214" t="s">
        <v>12</v>
      </c>
      <c r="D214" t="s">
        <v>8</v>
      </c>
      <c r="E214">
        <v>13871</v>
      </c>
      <c r="F214">
        <v>4485</v>
      </c>
      <c r="G214" t="s">
        <v>13</v>
      </c>
    </row>
    <row r="215" spans="1:7" x14ac:dyDescent="0.3">
      <c r="A215">
        <v>214</v>
      </c>
      <c r="B215" s="4">
        <v>45319</v>
      </c>
      <c r="C215" t="s">
        <v>7</v>
      </c>
      <c r="D215" t="s">
        <v>11</v>
      </c>
      <c r="E215">
        <v>11503</v>
      </c>
      <c r="F215">
        <v>8439</v>
      </c>
      <c r="G215" t="s">
        <v>14</v>
      </c>
    </row>
    <row r="216" spans="1:7" x14ac:dyDescent="0.3">
      <c r="A216">
        <v>215</v>
      </c>
      <c r="B216" s="4">
        <v>45431</v>
      </c>
      <c r="C216" t="s">
        <v>15</v>
      </c>
      <c r="D216" t="s">
        <v>11</v>
      </c>
      <c r="E216">
        <v>16406</v>
      </c>
      <c r="F216">
        <v>1254</v>
      </c>
      <c r="G216" t="s">
        <v>14</v>
      </c>
    </row>
    <row r="217" spans="1:7" x14ac:dyDescent="0.3">
      <c r="A217">
        <v>216</v>
      </c>
      <c r="B217" s="4">
        <v>45444</v>
      </c>
      <c r="C217" t="s">
        <v>7</v>
      </c>
      <c r="D217" t="s">
        <v>8</v>
      </c>
      <c r="E217">
        <v>26623</v>
      </c>
      <c r="F217">
        <v>7245</v>
      </c>
      <c r="G217" t="s">
        <v>16</v>
      </c>
    </row>
    <row r="218" spans="1:7" x14ac:dyDescent="0.3">
      <c r="A218">
        <v>217</v>
      </c>
      <c r="B218" s="4">
        <v>45518</v>
      </c>
      <c r="C218" t="s">
        <v>17</v>
      </c>
      <c r="D218" t="s">
        <v>11</v>
      </c>
      <c r="E218">
        <v>4520</v>
      </c>
      <c r="F218">
        <v>-378</v>
      </c>
      <c r="G218" t="s">
        <v>9</v>
      </c>
    </row>
    <row r="219" spans="1:7" x14ac:dyDescent="0.3">
      <c r="A219">
        <v>218</v>
      </c>
      <c r="B219" s="4">
        <v>45390</v>
      </c>
      <c r="C219" t="s">
        <v>12</v>
      </c>
      <c r="D219" t="s">
        <v>8</v>
      </c>
      <c r="E219">
        <v>45505</v>
      </c>
      <c r="F219">
        <v>-1851</v>
      </c>
      <c r="G219" t="s">
        <v>9</v>
      </c>
    </row>
    <row r="220" spans="1:7" x14ac:dyDescent="0.3">
      <c r="A220">
        <v>219</v>
      </c>
      <c r="B220" s="4">
        <v>45377</v>
      </c>
      <c r="C220" t="s">
        <v>10</v>
      </c>
      <c r="D220" t="s">
        <v>8</v>
      </c>
      <c r="E220">
        <v>45487</v>
      </c>
      <c r="F220">
        <v>1903</v>
      </c>
      <c r="G220" t="s">
        <v>9</v>
      </c>
    </row>
    <row r="221" spans="1:7" x14ac:dyDescent="0.3">
      <c r="A221">
        <v>220</v>
      </c>
      <c r="B221" s="4">
        <v>45344</v>
      </c>
      <c r="C221" t="s">
        <v>17</v>
      </c>
      <c r="D221" t="s">
        <v>8</v>
      </c>
      <c r="E221">
        <v>42500</v>
      </c>
      <c r="F221">
        <v>3966</v>
      </c>
      <c r="G221" t="s">
        <v>14</v>
      </c>
    </row>
    <row r="222" spans="1:7" x14ac:dyDescent="0.3">
      <c r="A222">
        <v>221</v>
      </c>
      <c r="B222" s="4">
        <v>45438</v>
      </c>
      <c r="C222" t="s">
        <v>10</v>
      </c>
      <c r="D222" t="s">
        <v>11</v>
      </c>
      <c r="E222">
        <v>32034</v>
      </c>
      <c r="F222">
        <v>-1885</v>
      </c>
      <c r="G222" t="s">
        <v>14</v>
      </c>
    </row>
    <row r="223" spans="1:7" x14ac:dyDescent="0.3">
      <c r="A223">
        <v>222</v>
      </c>
      <c r="B223" s="4">
        <v>45377</v>
      </c>
      <c r="C223" t="s">
        <v>12</v>
      </c>
      <c r="D223" t="s">
        <v>8</v>
      </c>
      <c r="E223">
        <v>19114</v>
      </c>
      <c r="F223">
        <v>5385</v>
      </c>
      <c r="G223" t="s">
        <v>9</v>
      </c>
    </row>
    <row r="224" spans="1:7" x14ac:dyDescent="0.3">
      <c r="A224">
        <v>223</v>
      </c>
      <c r="B224" s="4">
        <v>45448</v>
      </c>
      <c r="C224" t="s">
        <v>10</v>
      </c>
      <c r="D224" t="s">
        <v>11</v>
      </c>
      <c r="E224">
        <v>28974</v>
      </c>
      <c r="F224">
        <v>-321</v>
      </c>
      <c r="G224" t="s">
        <v>13</v>
      </c>
    </row>
    <row r="225" spans="1:7" x14ac:dyDescent="0.3">
      <c r="A225">
        <v>224</v>
      </c>
      <c r="B225" s="4">
        <v>45492</v>
      </c>
      <c r="C225" t="s">
        <v>7</v>
      </c>
      <c r="D225" t="s">
        <v>8</v>
      </c>
      <c r="E225">
        <v>23773</v>
      </c>
      <c r="F225">
        <v>-1227</v>
      </c>
      <c r="G225" t="s">
        <v>16</v>
      </c>
    </row>
    <row r="226" spans="1:7" x14ac:dyDescent="0.3">
      <c r="A226">
        <v>225</v>
      </c>
      <c r="B226" s="4">
        <v>45570</v>
      </c>
      <c r="C226" t="s">
        <v>12</v>
      </c>
      <c r="D226" t="s">
        <v>11</v>
      </c>
      <c r="E226">
        <v>8007</v>
      </c>
      <c r="F226">
        <v>-1872</v>
      </c>
      <c r="G226" t="s">
        <v>13</v>
      </c>
    </row>
    <row r="227" spans="1:7" x14ac:dyDescent="0.3">
      <c r="A227">
        <v>226</v>
      </c>
      <c r="B227" s="4">
        <v>45446</v>
      </c>
      <c r="C227" t="s">
        <v>12</v>
      </c>
      <c r="D227" t="s">
        <v>8</v>
      </c>
      <c r="E227">
        <v>11668</v>
      </c>
      <c r="F227">
        <v>-932</v>
      </c>
      <c r="G227" t="s">
        <v>16</v>
      </c>
    </row>
    <row r="228" spans="1:7" x14ac:dyDescent="0.3">
      <c r="A228">
        <v>227</v>
      </c>
      <c r="B228" s="4">
        <v>45547</v>
      </c>
      <c r="C228" t="s">
        <v>15</v>
      </c>
      <c r="D228" t="s">
        <v>8</v>
      </c>
      <c r="E228">
        <v>35774</v>
      </c>
      <c r="F228">
        <v>-151</v>
      </c>
      <c r="G228" t="s">
        <v>9</v>
      </c>
    </row>
    <row r="229" spans="1:7" x14ac:dyDescent="0.3">
      <c r="A229">
        <v>228</v>
      </c>
      <c r="B229" s="4">
        <v>45615</v>
      </c>
      <c r="C229" t="s">
        <v>10</v>
      </c>
      <c r="D229" t="s">
        <v>8</v>
      </c>
      <c r="E229">
        <v>9155</v>
      </c>
      <c r="F229">
        <v>7988</v>
      </c>
      <c r="G229" t="s">
        <v>16</v>
      </c>
    </row>
    <row r="230" spans="1:7" x14ac:dyDescent="0.3">
      <c r="A230">
        <v>229</v>
      </c>
      <c r="B230" s="4">
        <v>45326</v>
      </c>
      <c r="C230" t="s">
        <v>17</v>
      </c>
      <c r="D230" t="s">
        <v>8</v>
      </c>
      <c r="E230">
        <v>28339</v>
      </c>
      <c r="F230">
        <v>7182</v>
      </c>
      <c r="G230" t="s">
        <v>13</v>
      </c>
    </row>
    <row r="231" spans="1:7" x14ac:dyDescent="0.3">
      <c r="A231">
        <v>230</v>
      </c>
      <c r="B231" s="4">
        <v>45483</v>
      </c>
      <c r="C231" t="s">
        <v>7</v>
      </c>
      <c r="D231" t="s">
        <v>8</v>
      </c>
      <c r="E231">
        <v>36111</v>
      </c>
      <c r="F231">
        <v>9109</v>
      </c>
      <c r="G231" t="s">
        <v>16</v>
      </c>
    </row>
    <row r="232" spans="1:7" x14ac:dyDescent="0.3">
      <c r="A232">
        <v>231</v>
      </c>
      <c r="B232" s="4">
        <v>45349</v>
      </c>
      <c r="C232" t="s">
        <v>17</v>
      </c>
      <c r="D232" t="s">
        <v>8</v>
      </c>
      <c r="E232">
        <v>46751</v>
      </c>
      <c r="F232">
        <v>1792</v>
      </c>
      <c r="G232" t="s">
        <v>14</v>
      </c>
    </row>
    <row r="233" spans="1:7" x14ac:dyDescent="0.3">
      <c r="A233">
        <v>232</v>
      </c>
      <c r="B233" s="4">
        <v>45320</v>
      </c>
      <c r="C233" t="s">
        <v>7</v>
      </c>
      <c r="D233" t="s">
        <v>8</v>
      </c>
      <c r="E233">
        <v>33028</v>
      </c>
      <c r="F233">
        <v>1941</v>
      </c>
      <c r="G233" t="s">
        <v>14</v>
      </c>
    </row>
    <row r="234" spans="1:7" x14ac:dyDescent="0.3">
      <c r="A234">
        <v>233</v>
      </c>
      <c r="B234" s="4">
        <v>45378</v>
      </c>
      <c r="C234" t="s">
        <v>15</v>
      </c>
      <c r="D234" t="s">
        <v>11</v>
      </c>
      <c r="E234">
        <v>23733</v>
      </c>
      <c r="F234">
        <v>9527</v>
      </c>
      <c r="G234" t="s">
        <v>9</v>
      </c>
    </row>
    <row r="235" spans="1:7" x14ac:dyDescent="0.3">
      <c r="A235">
        <v>234</v>
      </c>
      <c r="B235" s="4">
        <v>45627</v>
      </c>
      <c r="C235" t="s">
        <v>7</v>
      </c>
      <c r="D235" t="s">
        <v>11</v>
      </c>
      <c r="E235">
        <v>37485</v>
      </c>
      <c r="F235">
        <v>2226</v>
      </c>
      <c r="G235" t="s">
        <v>13</v>
      </c>
    </row>
    <row r="236" spans="1:7" x14ac:dyDescent="0.3">
      <c r="A236">
        <v>235</v>
      </c>
      <c r="B236" s="4">
        <v>45561</v>
      </c>
      <c r="C236" t="s">
        <v>12</v>
      </c>
      <c r="D236" t="s">
        <v>8</v>
      </c>
      <c r="E236">
        <v>23721</v>
      </c>
      <c r="F236">
        <v>8356</v>
      </c>
      <c r="G236" t="s">
        <v>13</v>
      </c>
    </row>
    <row r="237" spans="1:7" x14ac:dyDescent="0.3">
      <c r="A237">
        <v>236</v>
      </c>
      <c r="B237" s="4">
        <v>45473</v>
      </c>
      <c r="C237" t="s">
        <v>12</v>
      </c>
      <c r="D237" t="s">
        <v>8</v>
      </c>
      <c r="E237">
        <v>22907</v>
      </c>
      <c r="F237">
        <v>9016</v>
      </c>
      <c r="G237" t="s">
        <v>13</v>
      </c>
    </row>
    <row r="238" spans="1:7" x14ac:dyDescent="0.3">
      <c r="A238">
        <v>237</v>
      </c>
      <c r="B238" s="4">
        <v>45332</v>
      </c>
      <c r="C238" t="s">
        <v>12</v>
      </c>
      <c r="D238" t="s">
        <v>11</v>
      </c>
      <c r="E238">
        <v>33223</v>
      </c>
      <c r="F238">
        <v>-76</v>
      </c>
      <c r="G238" t="s">
        <v>13</v>
      </c>
    </row>
    <row r="239" spans="1:7" x14ac:dyDescent="0.3">
      <c r="A239">
        <v>238</v>
      </c>
      <c r="B239" s="4">
        <v>45605</v>
      </c>
      <c r="C239" t="s">
        <v>10</v>
      </c>
      <c r="D239" t="s">
        <v>8</v>
      </c>
      <c r="E239">
        <v>36915</v>
      </c>
      <c r="F239">
        <v>2894</v>
      </c>
      <c r="G239" t="s">
        <v>16</v>
      </c>
    </row>
    <row r="240" spans="1:7" x14ac:dyDescent="0.3">
      <c r="A240">
        <v>239</v>
      </c>
      <c r="B240" s="4">
        <v>45302</v>
      </c>
      <c r="C240" t="s">
        <v>10</v>
      </c>
      <c r="D240" t="s">
        <v>8</v>
      </c>
      <c r="E240">
        <v>21885</v>
      </c>
      <c r="F240">
        <v>437</v>
      </c>
      <c r="G240" t="s">
        <v>9</v>
      </c>
    </row>
    <row r="241" spans="1:7" x14ac:dyDescent="0.3">
      <c r="A241">
        <v>240</v>
      </c>
      <c r="B241" s="4">
        <v>45484</v>
      </c>
      <c r="C241" t="s">
        <v>17</v>
      </c>
      <c r="D241" t="s">
        <v>11</v>
      </c>
      <c r="E241">
        <v>24668</v>
      </c>
      <c r="F241">
        <v>192</v>
      </c>
      <c r="G241" t="s">
        <v>16</v>
      </c>
    </row>
    <row r="242" spans="1:7" x14ac:dyDescent="0.3">
      <c r="A242">
        <v>241</v>
      </c>
      <c r="B242" s="4">
        <v>45332</v>
      </c>
      <c r="C242" t="s">
        <v>10</v>
      </c>
      <c r="D242" t="s">
        <v>11</v>
      </c>
      <c r="E242">
        <v>2846</v>
      </c>
      <c r="F242">
        <v>6226</v>
      </c>
      <c r="G242" t="s">
        <v>13</v>
      </c>
    </row>
    <row r="243" spans="1:7" x14ac:dyDescent="0.3">
      <c r="A243">
        <v>242</v>
      </c>
      <c r="B243" s="4">
        <v>45421</v>
      </c>
      <c r="C243" t="s">
        <v>17</v>
      </c>
      <c r="D243" t="s">
        <v>11</v>
      </c>
      <c r="E243">
        <v>5251</v>
      </c>
      <c r="F243">
        <v>-142</v>
      </c>
      <c r="G243" t="s">
        <v>16</v>
      </c>
    </row>
    <row r="244" spans="1:7" x14ac:dyDescent="0.3">
      <c r="A244">
        <v>243</v>
      </c>
      <c r="B244" s="4">
        <v>45537</v>
      </c>
      <c r="C244" t="s">
        <v>7</v>
      </c>
      <c r="D244" t="s">
        <v>11</v>
      </c>
      <c r="E244">
        <v>28770</v>
      </c>
      <c r="F244">
        <v>8820</v>
      </c>
      <c r="G244" t="s">
        <v>13</v>
      </c>
    </row>
    <row r="245" spans="1:7" x14ac:dyDescent="0.3">
      <c r="A245">
        <v>244</v>
      </c>
      <c r="B245" s="4">
        <v>45646</v>
      </c>
      <c r="C245" t="s">
        <v>17</v>
      </c>
      <c r="D245" t="s">
        <v>11</v>
      </c>
      <c r="E245">
        <v>42610</v>
      </c>
      <c r="F245">
        <v>3655</v>
      </c>
      <c r="G245" t="s">
        <v>16</v>
      </c>
    </row>
    <row r="246" spans="1:7" x14ac:dyDescent="0.3">
      <c r="A246">
        <v>245</v>
      </c>
      <c r="B246" s="4">
        <v>45612</v>
      </c>
      <c r="C246" t="s">
        <v>15</v>
      </c>
      <c r="D246" t="s">
        <v>8</v>
      </c>
      <c r="E246">
        <v>44382</v>
      </c>
      <c r="F246">
        <v>3946</v>
      </c>
      <c r="G246" t="s">
        <v>16</v>
      </c>
    </row>
    <row r="247" spans="1:7" x14ac:dyDescent="0.3">
      <c r="A247">
        <v>246</v>
      </c>
      <c r="B247" s="4">
        <v>45460</v>
      </c>
      <c r="C247" t="s">
        <v>7</v>
      </c>
      <c r="D247" t="s">
        <v>8</v>
      </c>
      <c r="E247">
        <v>7820</v>
      </c>
      <c r="F247">
        <v>3243</v>
      </c>
      <c r="G247" t="s">
        <v>14</v>
      </c>
    </row>
    <row r="248" spans="1:7" x14ac:dyDescent="0.3">
      <c r="A248">
        <v>247</v>
      </c>
      <c r="B248" s="4">
        <v>45526</v>
      </c>
      <c r="C248" t="s">
        <v>15</v>
      </c>
      <c r="D248" t="s">
        <v>11</v>
      </c>
      <c r="E248">
        <v>21306</v>
      </c>
      <c r="F248">
        <v>7357</v>
      </c>
      <c r="G248" t="s">
        <v>13</v>
      </c>
    </row>
    <row r="249" spans="1:7" x14ac:dyDescent="0.3">
      <c r="A249">
        <v>248</v>
      </c>
      <c r="B249" s="4">
        <v>45322</v>
      </c>
      <c r="C249" t="s">
        <v>15</v>
      </c>
      <c r="D249" t="s">
        <v>8</v>
      </c>
      <c r="E249">
        <v>2829</v>
      </c>
      <c r="F249">
        <v>1119</v>
      </c>
      <c r="G249" t="s">
        <v>9</v>
      </c>
    </row>
    <row r="250" spans="1:7" x14ac:dyDescent="0.3">
      <c r="A250">
        <v>249</v>
      </c>
      <c r="B250" s="4">
        <v>45303</v>
      </c>
      <c r="C250" t="s">
        <v>10</v>
      </c>
      <c r="D250" t="s">
        <v>8</v>
      </c>
      <c r="E250">
        <v>38784</v>
      </c>
      <c r="F250">
        <v>3213</v>
      </c>
      <c r="G250" t="s">
        <v>13</v>
      </c>
    </row>
    <row r="251" spans="1:7" x14ac:dyDescent="0.3">
      <c r="A251">
        <v>250</v>
      </c>
      <c r="B251" s="4">
        <v>45484</v>
      </c>
      <c r="C251" t="s">
        <v>10</v>
      </c>
      <c r="D251" t="s">
        <v>8</v>
      </c>
      <c r="E251">
        <v>45465</v>
      </c>
      <c r="F251">
        <v>-1278</v>
      </c>
      <c r="G251" t="s">
        <v>9</v>
      </c>
    </row>
    <row r="252" spans="1:7" x14ac:dyDescent="0.3">
      <c r="A252">
        <v>251</v>
      </c>
      <c r="B252" s="4">
        <v>45464</v>
      </c>
      <c r="C252" t="s">
        <v>15</v>
      </c>
      <c r="D252" t="s">
        <v>8</v>
      </c>
      <c r="E252">
        <v>29730</v>
      </c>
      <c r="F252">
        <v>6065</v>
      </c>
      <c r="G252" t="s">
        <v>9</v>
      </c>
    </row>
    <row r="253" spans="1:7" x14ac:dyDescent="0.3">
      <c r="A253">
        <v>252</v>
      </c>
      <c r="B253" s="4">
        <v>45390</v>
      </c>
      <c r="C253" t="s">
        <v>15</v>
      </c>
      <c r="D253" t="s">
        <v>11</v>
      </c>
      <c r="E253">
        <v>4898</v>
      </c>
      <c r="F253">
        <v>9835</v>
      </c>
      <c r="G253" t="s">
        <v>13</v>
      </c>
    </row>
    <row r="254" spans="1:7" x14ac:dyDescent="0.3">
      <c r="A254">
        <v>253</v>
      </c>
      <c r="B254" s="4">
        <v>45322</v>
      </c>
      <c r="C254" t="s">
        <v>15</v>
      </c>
      <c r="D254" t="s">
        <v>11</v>
      </c>
      <c r="E254">
        <v>11855</v>
      </c>
      <c r="F254">
        <v>8361</v>
      </c>
      <c r="G254" t="s">
        <v>14</v>
      </c>
    </row>
    <row r="255" spans="1:7" x14ac:dyDescent="0.3">
      <c r="A255">
        <v>254</v>
      </c>
      <c r="B255" s="4">
        <v>45408</v>
      </c>
      <c r="C255" t="s">
        <v>10</v>
      </c>
      <c r="D255" t="s">
        <v>8</v>
      </c>
      <c r="E255">
        <v>24529</v>
      </c>
      <c r="F255">
        <v>8554</v>
      </c>
      <c r="G255" t="s">
        <v>14</v>
      </c>
    </row>
    <row r="256" spans="1:7" x14ac:dyDescent="0.3">
      <c r="A256">
        <v>255</v>
      </c>
      <c r="B256" s="4">
        <v>45540</v>
      </c>
      <c r="C256" t="s">
        <v>7</v>
      </c>
      <c r="D256" t="s">
        <v>11</v>
      </c>
      <c r="E256">
        <v>22602</v>
      </c>
      <c r="F256">
        <v>9594</v>
      </c>
      <c r="G256" t="s">
        <v>14</v>
      </c>
    </row>
    <row r="257" spans="1:7" x14ac:dyDescent="0.3">
      <c r="A257">
        <v>256</v>
      </c>
      <c r="B257" s="4">
        <v>45641</v>
      </c>
      <c r="C257" t="s">
        <v>17</v>
      </c>
      <c r="D257" t="s">
        <v>8</v>
      </c>
      <c r="E257">
        <v>49835</v>
      </c>
      <c r="F257">
        <v>2044</v>
      </c>
      <c r="G257" t="s">
        <v>16</v>
      </c>
    </row>
    <row r="258" spans="1:7" x14ac:dyDescent="0.3">
      <c r="A258">
        <v>257</v>
      </c>
      <c r="B258" s="4">
        <v>45374</v>
      </c>
      <c r="C258" t="s">
        <v>10</v>
      </c>
      <c r="D258" t="s">
        <v>8</v>
      </c>
      <c r="E258">
        <v>19163</v>
      </c>
      <c r="F258">
        <v>1491</v>
      </c>
      <c r="G258" t="s">
        <v>14</v>
      </c>
    </row>
    <row r="259" spans="1:7" x14ac:dyDescent="0.3">
      <c r="A259">
        <v>258</v>
      </c>
      <c r="B259" s="4">
        <v>45445</v>
      </c>
      <c r="C259" t="s">
        <v>10</v>
      </c>
      <c r="D259" t="s">
        <v>11</v>
      </c>
      <c r="E259">
        <v>28883</v>
      </c>
      <c r="F259">
        <v>2244</v>
      </c>
      <c r="G259" t="s">
        <v>9</v>
      </c>
    </row>
    <row r="260" spans="1:7" x14ac:dyDescent="0.3">
      <c r="A260">
        <v>259</v>
      </c>
      <c r="B260" s="4">
        <v>45575</v>
      </c>
      <c r="C260" t="s">
        <v>15</v>
      </c>
      <c r="D260" t="s">
        <v>11</v>
      </c>
      <c r="E260">
        <v>38948</v>
      </c>
      <c r="F260">
        <v>9587</v>
      </c>
      <c r="G260" t="s">
        <v>16</v>
      </c>
    </row>
    <row r="261" spans="1:7" x14ac:dyDescent="0.3">
      <c r="A261">
        <v>260</v>
      </c>
      <c r="B261" s="4">
        <v>45639</v>
      </c>
      <c r="C261" t="s">
        <v>15</v>
      </c>
      <c r="D261" t="s">
        <v>8</v>
      </c>
      <c r="E261">
        <v>32723</v>
      </c>
      <c r="F261">
        <v>6387</v>
      </c>
      <c r="G261" t="s">
        <v>16</v>
      </c>
    </row>
    <row r="262" spans="1:7" x14ac:dyDescent="0.3">
      <c r="A262">
        <v>261</v>
      </c>
      <c r="B262" s="4">
        <v>45484</v>
      </c>
      <c r="C262" t="s">
        <v>17</v>
      </c>
      <c r="D262" t="s">
        <v>8</v>
      </c>
      <c r="E262">
        <v>44359</v>
      </c>
      <c r="F262">
        <v>6815</v>
      </c>
      <c r="G262" t="s">
        <v>9</v>
      </c>
    </row>
    <row r="263" spans="1:7" x14ac:dyDescent="0.3">
      <c r="A263">
        <v>262</v>
      </c>
      <c r="B263" s="4">
        <v>45416</v>
      </c>
      <c r="C263" t="s">
        <v>17</v>
      </c>
      <c r="D263" t="s">
        <v>8</v>
      </c>
      <c r="E263">
        <v>35598</v>
      </c>
      <c r="F263">
        <v>8891</v>
      </c>
      <c r="G263" t="s">
        <v>13</v>
      </c>
    </row>
    <row r="264" spans="1:7" x14ac:dyDescent="0.3">
      <c r="A264">
        <v>263</v>
      </c>
      <c r="B264" s="4">
        <v>45489</v>
      </c>
      <c r="C264" t="s">
        <v>12</v>
      </c>
      <c r="D264" t="s">
        <v>11</v>
      </c>
      <c r="E264">
        <v>41776</v>
      </c>
      <c r="F264">
        <v>2510</v>
      </c>
      <c r="G264" t="s">
        <v>14</v>
      </c>
    </row>
    <row r="265" spans="1:7" x14ac:dyDescent="0.3">
      <c r="A265">
        <v>264</v>
      </c>
      <c r="B265" s="4">
        <v>45582</v>
      </c>
      <c r="C265" t="s">
        <v>15</v>
      </c>
      <c r="D265" t="s">
        <v>8</v>
      </c>
      <c r="E265">
        <v>41489</v>
      </c>
      <c r="F265">
        <v>5278</v>
      </c>
      <c r="G265" t="s">
        <v>16</v>
      </c>
    </row>
    <row r="266" spans="1:7" x14ac:dyDescent="0.3">
      <c r="A266">
        <v>265</v>
      </c>
      <c r="B266" s="4">
        <v>45574</v>
      </c>
      <c r="C266" t="s">
        <v>7</v>
      </c>
      <c r="D266" t="s">
        <v>11</v>
      </c>
      <c r="E266">
        <v>42780</v>
      </c>
      <c r="F266">
        <v>2600</v>
      </c>
      <c r="G266" t="s">
        <v>16</v>
      </c>
    </row>
    <row r="267" spans="1:7" x14ac:dyDescent="0.3">
      <c r="A267">
        <v>266</v>
      </c>
      <c r="B267" s="4">
        <v>45566</v>
      </c>
      <c r="C267" t="s">
        <v>10</v>
      </c>
      <c r="D267" t="s">
        <v>8</v>
      </c>
      <c r="E267">
        <v>21706</v>
      </c>
      <c r="F267">
        <v>1569</v>
      </c>
      <c r="G267" t="s">
        <v>9</v>
      </c>
    </row>
    <row r="268" spans="1:7" x14ac:dyDescent="0.3">
      <c r="A268">
        <v>267</v>
      </c>
      <c r="B268" s="4">
        <v>45458</v>
      </c>
      <c r="C268" t="s">
        <v>10</v>
      </c>
      <c r="D268" t="s">
        <v>11</v>
      </c>
      <c r="E268">
        <v>32536</v>
      </c>
      <c r="F268">
        <v>9681</v>
      </c>
      <c r="G268" t="s">
        <v>14</v>
      </c>
    </row>
    <row r="269" spans="1:7" x14ac:dyDescent="0.3">
      <c r="A269">
        <v>268</v>
      </c>
      <c r="B269" s="4">
        <v>45553</v>
      </c>
      <c r="C269" t="s">
        <v>15</v>
      </c>
      <c r="D269" t="s">
        <v>8</v>
      </c>
      <c r="E269">
        <v>13473</v>
      </c>
      <c r="F269">
        <v>-1048</v>
      </c>
      <c r="G269" t="s">
        <v>9</v>
      </c>
    </row>
    <row r="270" spans="1:7" x14ac:dyDescent="0.3">
      <c r="A270">
        <v>269</v>
      </c>
      <c r="B270" s="4">
        <v>45530</v>
      </c>
      <c r="C270" t="s">
        <v>10</v>
      </c>
      <c r="D270" t="s">
        <v>11</v>
      </c>
      <c r="E270">
        <v>7883</v>
      </c>
      <c r="F270">
        <v>7129</v>
      </c>
      <c r="G270" t="s">
        <v>16</v>
      </c>
    </row>
    <row r="271" spans="1:7" x14ac:dyDescent="0.3">
      <c r="A271">
        <v>270</v>
      </c>
      <c r="B271" s="4">
        <v>45589</v>
      </c>
      <c r="C271" t="s">
        <v>7</v>
      </c>
      <c r="D271" t="s">
        <v>8</v>
      </c>
      <c r="E271">
        <v>31142</v>
      </c>
      <c r="F271">
        <v>-1647</v>
      </c>
      <c r="G271" t="s">
        <v>9</v>
      </c>
    </row>
    <row r="272" spans="1:7" x14ac:dyDescent="0.3">
      <c r="A272">
        <v>271</v>
      </c>
      <c r="B272" s="4">
        <v>45296</v>
      </c>
      <c r="C272" t="s">
        <v>17</v>
      </c>
      <c r="D272" t="s">
        <v>8</v>
      </c>
      <c r="E272">
        <v>46162</v>
      </c>
      <c r="F272">
        <v>1715</v>
      </c>
      <c r="G272" t="s">
        <v>16</v>
      </c>
    </row>
    <row r="273" spans="1:7" x14ac:dyDescent="0.3">
      <c r="A273">
        <v>272</v>
      </c>
      <c r="B273" s="4">
        <v>45385</v>
      </c>
      <c r="C273" t="s">
        <v>15</v>
      </c>
      <c r="D273" t="s">
        <v>8</v>
      </c>
      <c r="E273">
        <v>48122</v>
      </c>
      <c r="F273">
        <v>985</v>
      </c>
      <c r="G273" t="s">
        <v>16</v>
      </c>
    </row>
    <row r="274" spans="1:7" x14ac:dyDescent="0.3">
      <c r="A274">
        <v>273</v>
      </c>
      <c r="B274" s="4">
        <v>45648</v>
      </c>
      <c r="C274" t="s">
        <v>7</v>
      </c>
      <c r="D274" t="s">
        <v>11</v>
      </c>
      <c r="E274">
        <v>34661</v>
      </c>
      <c r="F274">
        <v>-855</v>
      </c>
      <c r="G274" t="s">
        <v>13</v>
      </c>
    </row>
    <row r="275" spans="1:7" x14ac:dyDescent="0.3">
      <c r="A275">
        <v>274</v>
      </c>
      <c r="B275" s="4">
        <v>45466</v>
      </c>
      <c r="C275" t="s">
        <v>12</v>
      </c>
      <c r="D275" t="s">
        <v>11</v>
      </c>
      <c r="E275">
        <v>843</v>
      </c>
      <c r="F275">
        <v>4624</v>
      </c>
      <c r="G275" t="s">
        <v>9</v>
      </c>
    </row>
    <row r="276" spans="1:7" x14ac:dyDescent="0.3">
      <c r="A276">
        <v>275</v>
      </c>
      <c r="B276" s="4">
        <v>45294</v>
      </c>
      <c r="C276" t="s">
        <v>12</v>
      </c>
      <c r="D276" t="s">
        <v>8</v>
      </c>
      <c r="E276">
        <v>41444</v>
      </c>
      <c r="F276">
        <v>9944</v>
      </c>
      <c r="G276" t="s">
        <v>14</v>
      </c>
    </row>
    <row r="277" spans="1:7" x14ac:dyDescent="0.3">
      <c r="A277">
        <v>276</v>
      </c>
      <c r="B277" s="4">
        <v>45383</v>
      </c>
      <c r="C277" t="s">
        <v>7</v>
      </c>
      <c r="D277" t="s">
        <v>11</v>
      </c>
      <c r="E277">
        <v>30212</v>
      </c>
      <c r="F277">
        <v>3779</v>
      </c>
      <c r="G277" t="s">
        <v>14</v>
      </c>
    </row>
    <row r="278" spans="1:7" x14ac:dyDescent="0.3">
      <c r="A278">
        <v>277</v>
      </c>
      <c r="B278" s="4">
        <v>45424</v>
      </c>
      <c r="C278" t="s">
        <v>15</v>
      </c>
      <c r="D278" t="s">
        <v>8</v>
      </c>
      <c r="E278">
        <v>32574</v>
      </c>
      <c r="F278">
        <v>4316</v>
      </c>
      <c r="G278" t="s">
        <v>13</v>
      </c>
    </row>
    <row r="279" spans="1:7" x14ac:dyDescent="0.3">
      <c r="A279">
        <v>278</v>
      </c>
      <c r="B279" s="4">
        <v>45362</v>
      </c>
      <c r="C279" t="s">
        <v>10</v>
      </c>
      <c r="D279" t="s">
        <v>8</v>
      </c>
      <c r="E279">
        <v>36089</v>
      </c>
      <c r="F279">
        <v>6985</v>
      </c>
      <c r="G279" t="s">
        <v>14</v>
      </c>
    </row>
    <row r="280" spans="1:7" x14ac:dyDescent="0.3">
      <c r="A280">
        <v>279</v>
      </c>
      <c r="B280" s="4">
        <v>45633</v>
      </c>
      <c r="C280" t="s">
        <v>15</v>
      </c>
      <c r="D280" t="s">
        <v>11</v>
      </c>
      <c r="E280">
        <v>22390</v>
      </c>
      <c r="F280">
        <v>4395</v>
      </c>
      <c r="G280" t="s">
        <v>13</v>
      </c>
    </row>
    <row r="281" spans="1:7" x14ac:dyDescent="0.3">
      <c r="A281">
        <v>280</v>
      </c>
      <c r="B281" s="4">
        <v>45329</v>
      </c>
      <c r="C281" t="s">
        <v>17</v>
      </c>
      <c r="D281" t="s">
        <v>8</v>
      </c>
      <c r="E281">
        <v>18308</v>
      </c>
      <c r="F281">
        <v>383</v>
      </c>
      <c r="G281" t="s">
        <v>13</v>
      </c>
    </row>
    <row r="282" spans="1:7" x14ac:dyDescent="0.3">
      <c r="A282">
        <v>281</v>
      </c>
      <c r="B282" s="4">
        <v>45327</v>
      </c>
      <c r="C282" t="s">
        <v>17</v>
      </c>
      <c r="D282" t="s">
        <v>11</v>
      </c>
      <c r="E282">
        <v>49952</v>
      </c>
      <c r="F282">
        <v>9069</v>
      </c>
      <c r="G282" t="s">
        <v>16</v>
      </c>
    </row>
    <row r="283" spans="1:7" x14ac:dyDescent="0.3">
      <c r="A283">
        <v>282</v>
      </c>
      <c r="B283" s="4">
        <v>45555</v>
      </c>
      <c r="C283" t="s">
        <v>15</v>
      </c>
      <c r="D283" t="s">
        <v>11</v>
      </c>
      <c r="E283">
        <v>33714</v>
      </c>
      <c r="F283">
        <v>5558</v>
      </c>
      <c r="G283" t="s">
        <v>14</v>
      </c>
    </row>
    <row r="284" spans="1:7" x14ac:dyDescent="0.3">
      <c r="A284">
        <v>283</v>
      </c>
      <c r="B284" s="4">
        <v>45581</v>
      </c>
      <c r="C284" t="s">
        <v>15</v>
      </c>
      <c r="D284" t="s">
        <v>11</v>
      </c>
      <c r="E284">
        <v>10880</v>
      </c>
      <c r="F284">
        <v>-293</v>
      </c>
      <c r="G284" t="s">
        <v>14</v>
      </c>
    </row>
    <row r="285" spans="1:7" x14ac:dyDescent="0.3">
      <c r="A285">
        <v>284</v>
      </c>
      <c r="B285" s="4">
        <v>45327</v>
      </c>
      <c r="C285" t="s">
        <v>12</v>
      </c>
      <c r="D285" t="s">
        <v>8</v>
      </c>
      <c r="E285">
        <v>25660</v>
      </c>
      <c r="F285">
        <v>1838</v>
      </c>
      <c r="G285" t="s">
        <v>9</v>
      </c>
    </row>
    <row r="286" spans="1:7" x14ac:dyDescent="0.3">
      <c r="A286">
        <v>285</v>
      </c>
      <c r="B286" s="4">
        <v>45437</v>
      </c>
      <c r="C286" t="s">
        <v>7</v>
      </c>
      <c r="D286" t="s">
        <v>8</v>
      </c>
      <c r="E286">
        <v>23631</v>
      </c>
      <c r="F286">
        <v>2393</v>
      </c>
      <c r="G286" t="s">
        <v>14</v>
      </c>
    </row>
    <row r="287" spans="1:7" x14ac:dyDescent="0.3">
      <c r="A287">
        <v>286</v>
      </c>
      <c r="B287" s="4">
        <v>45647</v>
      </c>
      <c r="C287" t="s">
        <v>15</v>
      </c>
      <c r="D287" t="s">
        <v>8</v>
      </c>
      <c r="E287">
        <v>13696</v>
      </c>
      <c r="F287">
        <v>4127</v>
      </c>
      <c r="G287" t="s">
        <v>13</v>
      </c>
    </row>
    <row r="288" spans="1:7" x14ac:dyDescent="0.3">
      <c r="A288">
        <v>287</v>
      </c>
      <c r="B288" s="4">
        <v>45419</v>
      </c>
      <c r="C288" t="s">
        <v>15</v>
      </c>
      <c r="D288" t="s">
        <v>11</v>
      </c>
      <c r="E288">
        <v>12649</v>
      </c>
      <c r="F288">
        <v>7553</v>
      </c>
      <c r="G288" t="s">
        <v>16</v>
      </c>
    </row>
    <row r="289" spans="1:7" x14ac:dyDescent="0.3">
      <c r="A289">
        <v>288</v>
      </c>
      <c r="B289" s="4">
        <v>45413</v>
      </c>
      <c r="C289" t="s">
        <v>7</v>
      </c>
      <c r="D289" t="s">
        <v>11</v>
      </c>
      <c r="E289">
        <v>33669</v>
      </c>
      <c r="F289">
        <v>-267</v>
      </c>
      <c r="G289" t="s">
        <v>14</v>
      </c>
    </row>
    <row r="290" spans="1:7" x14ac:dyDescent="0.3">
      <c r="A290">
        <v>289</v>
      </c>
      <c r="B290" s="4">
        <v>45359</v>
      </c>
      <c r="C290" t="s">
        <v>17</v>
      </c>
      <c r="D290" t="s">
        <v>8</v>
      </c>
      <c r="E290">
        <v>43709</v>
      </c>
      <c r="F290">
        <v>-1814</v>
      </c>
      <c r="G290" t="s">
        <v>16</v>
      </c>
    </row>
    <row r="291" spans="1:7" x14ac:dyDescent="0.3">
      <c r="A291">
        <v>290</v>
      </c>
      <c r="B291" s="4">
        <v>45352</v>
      </c>
      <c r="C291" t="s">
        <v>12</v>
      </c>
      <c r="D291" t="s">
        <v>8</v>
      </c>
      <c r="E291">
        <v>42717</v>
      </c>
      <c r="F291">
        <v>4854</v>
      </c>
      <c r="G291" t="s">
        <v>9</v>
      </c>
    </row>
    <row r="292" spans="1:7" x14ac:dyDescent="0.3">
      <c r="A292">
        <v>291</v>
      </c>
      <c r="B292" s="4">
        <v>45419</v>
      </c>
      <c r="C292" t="s">
        <v>10</v>
      </c>
      <c r="D292" t="s">
        <v>8</v>
      </c>
      <c r="E292">
        <v>1577</v>
      </c>
      <c r="F292">
        <v>2693</v>
      </c>
      <c r="G292" t="s">
        <v>9</v>
      </c>
    </row>
    <row r="293" spans="1:7" x14ac:dyDescent="0.3">
      <c r="A293">
        <v>292</v>
      </c>
      <c r="B293" s="4">
        <v>45431</v>
      </c>
      <c r="C293" t="s">
        <v>15</v>
      </c>
      <c r="D293" t="s">
        <v>8</v>
      </c>
      <c r="E293">
        <v>31393</v>
      </c>
      <c r="F293">
        <v>-169</v>
      </c>
      <c r="G293" t="s">
        <v>14</v>
      </c>
    </row>
    <row r="294" spans="1:7" x14ac:dyDescent="0.3">
      <c r="A294">
        <v>293</v>
      </c>
      <c r="B294" s="4">
        <v>45460</v>
      </c>
      <c r="C294" t="s">
        <v>7</v>
      </c>
      <c r="D294" t="s">
        <v>8</v>
      </c>
      <c r="E294">
        <v>17586</v>
      </c>
      <c r="F294">
        <v>6615</v>
      </c>
      <c r="G294" t="s">
        <v>13</v>
      </c>
    </row>
    <row r="295" spans="1:7" x14ac:dyDescent="0.3">
      <c r="A295">
        <v>294</v>
      </c>
      <c r="B295" s="4">
        <v>45632</v>
      </c>
      <c r="C295" t="s">
        <v>15</v>
      </c>
      <c r="D295" t="s">
        <v>8</v>
      </c>
      <c r="E295">
        <v>16309</v>
      </c>
      <c r="F295">
        <v>7922</v>
      </c>
      <c r="G295" t="s">
        <v>16</v>
      </c>
    </row>
    <row r="296" spans="1:7" x14ac:dyDescent="0.3">
      <c r="A296">
        <v>295</v>
      </c>
      <c r="B296" s="4">
        <v>45473</v>
      </c>
      <c r="C296" t="s">
        <v>12</v>
      </c>
      <c r="D296" t="s">
        <v>8</v>
      </c>
      <c r="E296">
        <v>28045</v>
      </c>
      <c r="F296">
        <v>4864</v>
      </c>
      <c r="G296" t="s">
        <v>9</v>
      </c>
    </row>
    <row r="297" spans="1:7" x14ac:dyDescent="0.3">
      <c r="A297">
        <v>296</v>
      </c>
      <c r="B297" s="4">
        <v>45406</v>
      </c>
      <c r="C297" t="s">
        <v>10</v>
      </c>
      <c r="D297" t="s">
        <v>11</v>
      </c>
      <c r="E297">
        <v>29081</v>
      </c>
      <c r="F297">
        <v>-1111</v>
      </c>
      <c r="G297" t="s">
        <v>16</v>
      </c>
    </row>
    <row r="298" spans="1:7" x14ac:dyDescent="0.3">
      <c r="A298">
        <v>297</v>
      </c>
      <c r="B298" s="4">
        <v>45397</v>
      </c>
      <c r="C298" t="s">
        <v>17</v>
      </c>
      <c r="D298" t="s">
        <v>8</v>
      </c>
      <c r="E298">
        <v>41959</v>
      </c>
      <c r="F298">
        <v>7486</v>
      </c>
      <c r="G298" t="s">
        <v>9</v>
      </c>
    </row>
    <row r="299" spans="1:7" x14ac:dyDescent="0.3">
      <c r="A299">
        <v>298</v>
      </c>
      <c r="B299" s="4">
        <v>45421</v>
      </c>
      <c r="C299" t="s">
        <v>7</v>
      </c>
      <c r="D299" t="s">
        <v>8</v>
      </c>
      <c r="E299">
        <v>17179</v>
      </c>
      <c r="F299">
        <v>7226</v>
      </c>
      <c r="G299" t="s">
        <v>16</v>
      </c>
    </row>
    <row r="300" spans="1:7" x14ac:dyDescent="0.3">
      <c r="A300">
        <v>299</v>
      </c>
      <c r="B300" s="4">
        <v>45628</v>
      </c>
      <c r="C300" t="s">
        <v>7</v>
      </c>
      <c r="D300" t="s">
        <v>8</v>
      </c>
      <c r="E300">
        <v>17872</v>
      </c>
      <c r="F300">
        <v>4874</v>
      </c>
      <c r="G300" t="s">
        <v>13</v>
      </c>
    </row>
    <row r="301" spans="1:7" x14ac:dyDescent="0.3">
      <c r="A301">
        <v>300</v>
      </c>
      <c r="B301" s="4">
        <v>45317</v>
      </c>
      <c r="C301" t="s">
        <v>15</v>
      </c>
      <c r="D301" t="s">
        <v>11</v>
      </c>
      <c r="E301">
        <v>20387</v>
      </c>
      <c r="F301">
        <v>265</v>
      </c>
      <c r="G301" t="s">
        <v>13</v>
      </c>
    </row>
    <row r="302" spans="1:7" x14ac:dyDescent="0.3">
      <c r="A302">
        <v>301</v>
      </c>
      <c r="B302" s="4">
        <v>45387</v>
      </c>
      <c r="C302" t="s">
        <v>7</v>
      </c>
      <c r="D302" t="s">
        <v>11</v>
      </c>
      <c r="E302">
        <v>27166</v>
      </c>
      <c r="F302">
        <v>984</v>
      </c>
      <c r="G302" t="s">
        <v>16</v>
      </c>
    </row>
    <row r="303" spans="1:7" x14ac:dyDescent="0.3">
      <c r="A303">
        <v>302</v>
      </c>
      <c r="B303" s="4">
        <v>45605</v>
      </c>
      <c r="C303" t="s">
        <v>7</v>
      </c>
      <c r="D303" t="s">
        <v>11</v>
      </c>
      <c r="E303">
        <v>24410</v>
      </c>
      <c r="F303">
        <v>5419</v>
      </c>
      <c r="G303" t="s">
        <v>13</v>
      </c>
    </row>
    <row r="304" spans="1:7" x14ac:dyDescent="0.3">
      <c r="A304">
        <v>303</v>
      </c>
      <c r="B304" s="4">
        <v>45651</v>
      </c>
      <c r="C304" t="s">
        <v>15</v>
      </c>
      <c r="D304" t="s">
        <v>8</v>
      </c>
      <c r="E304">
        <v>17755</v>
      </c>
      <c r="F304">
        <v>6065</v>
      </c>
      <c r="G304" t="s">
        <v>13</v>
      </c>
    </row>
    <row r="305" spans="1:7" x14ac:dyDescent="0.3">
      <c r="A305">
        <v>304</v>
      </c>
      <c r="B305" s="4">
        <v>45357</v>
      </c>
      <c r="C305" t="s">
        <v>15</v>
      </c>
      <c r="D305" t="s">
        <v>8</v>
      </c>
      <c r="E305">
        <v>993</v>
      </c>
      <c r="F305">
        <v>3962</v>
      </c>
      <c r="G305" t="s">
        <v>16</v>
      </c>
    </row>
    <row r="306" spans="1:7" x14ac:dyDescent="0.3">
      <c r="A306">
        <v>305</v>
      </c>
      <c r="B306" s="4">
        <v>45618</v>
      </c>
      <c r="C306" t="s">
        <v>15</v>
      </c>
      <c r="D306" t="s">
        <v>8</v>
      </c>
      <c r="E306">
        <v>25033</v>
      </c>
      <c r="F306">
        <v>7596</v>
      </c>
      <c r="G306" t="s">
        <v>13</v>
      </c>
    </row>
    <row r="307" spans="1:7" x14ac:dyDescent="0.3">
      <c r="A307">
        <v>306</v>
      </c>
      <c r="B307" s="4">
        <v>45429</v>
      </c>
      <c r="C307" t="s">
        <v>7</v>
      </c>
      <c r="D307" t="s">
        <v>8</v>
      </c>
      <c r="E307">
        <v>15011</v>
      </c>
      <c r="F307">
        <v>3688</v>
      </c>
      <c r="G307" t="s">
        <v>16</v>
      </c>
    </row>
    <row r="308" spans="1:7" x14ac:dyDescent="0.3">
      <c r="A308">
        <v>307</v>
      </c>
      <c r="B308" s="4">
        <v>45499</v>
      </c>
      <c r="C308" t="s">
        <v>17</v>
      </c>
      <c r="D308" t="s">
        <v>11</v>
      </c>
      <c r="E308">
        <v>24768</v>
      </c>
      <c r="F308">
        <v>326</v>
      </c>
      <c r="G308" t="s">
        <v>16</v>
      </c>
    </row>
    <row r="309" spans="1:7" x14ac:dyDescent="0.3">
      <c r="A309">
        <v>308</v>
      </c>
      <c r="B309" s="4">
        <v>45459</v>
      </c>
      <c r="C309" t="s">
        <v>10</v>
      </c>
      <c r="D309" t="s">
        <v>8</v>
      </c>
      <c r="E309">
        <v>38051</v>
      </c>
      <c r="F309">
        <v>3404</v>
      </c>
      <c r="G309" t="s">
        <v>16</v>
      </c>
    </row>
    <row r="310" spans="1:7" x14ac:dyDescent="0.3">
      <c r="A310">
        <v>309</v>
      </c>
      <c r="B310" s="4">
        <v>45382</v>
      </c>
      <c r="C310" t="s">
        <v>17</v>
      </c>
      <c r="D310" t="s">
        <v>11</v>
      </c>
      <c r="E310">
        <v>28410</v>
      </c>
      <c r="F310">
        <v>9975</v>
      </c>
      <c r="G310" t="s">
        <v>14</v>
      </c>
    </row>
    <row r="311" spans="1:7" x14ac:dyDescent="0.3">
      <c r="A311">
        <v>310</v>
      </c>
      <c r="B311" s="4">
        <v>45429</v>
      </c>
      <c r="C311" t="s">
        <v>12</v>
      </c>
      <c r="D311" t="s">
        <v>11</v>
      </c>
      <c r="E311">
        <v>31808</v>
      </c>
      <c r="F311">
        <v>901</v>
      </c>
      <c r="G311" t="s">
        <v>9</v>
      </c>
    </row>
    <row r="312" spans="1:7" x14ac:dyDescent="0.3">
      <c r="A312">
        <v>311</v>
      </c>
      <c r="B312" s="4">
        <v>45653</v>
      </c>
      <c r="C312" t="s">
        <v>12</v>
      </c>
      <c r="D312" t="s">
        <v>11</v>
      </c>
      <c r="E312">
        <v>33748</v>
      </c>
      <c r="F312">
        <v>9253</v>
      </c>
      <c r="G312" t="s">
        <v>14</v>
      </c>
    </row>
    <row r="313" spans="1:7" x14ac:dyDescent="0.3">
      <c r="A313">
        <v>312</v>
      </c>
      <c r="B313" s="4">
        <v>45561</v>
      </c>
      <c r="C313" t="s">
        <v>15</v>
      </c>
      <c r="D313" t="s">
        <v>8</v>
      </c>
      <c r="E313">
        <v>11655</v>
      </c>
      <c r="F313">
        <v>1126</v>
      </c>
      <c r="G313" t="s">
        <v>9</v>
      </c>
    </row>
    <row r="314" spans="1:7" x14ac:dyDescent="0.3">
      <c r="A314">
        <v>313</v>
      </c>
      <c r="B314" s="4">
        <v>45349</v>
      </c>
      <c r="C314" t="s">
        <v>17</v>
      </c>
      <c r="D314" t="s">
        <v>8</v>
      </c>
      <c r="E314">
        <v>35549</v>
      </c>
      <c r="F314">
        <v>212</v>
      </c>
      <c r="G314" t="s">
        <v>16</v>
      </c>
    </row>
    <row r="315" spans="1:7" x14ac:dyDescent="0.3">
      <c r="A315">
        <v>314</v>
      </c>
      <c r="B315" s="4">
        <v>45405</v>
      </c>
      <c r="C315" t="s">
        <v>17</v>
      </c>
      <c r="D315" t="s">
        <v>8</v>
      </c>
      <c r="E315">
        <v>3840</v>
      </c>
      <c r="F315">
        <v>3892</v>
      </c>
      <c r="G315" t="s">
        <v>9</v>
      </c>
    </row>
    <row r="316" spans="1:7" x14ac:dyDescent="0.3">
      <c r="A316">
        <v>315</v>
      </c>
      <c r="B316" s="4">
        <v>45566</v>
      </c>
      <c r="C316" t="s">
        <v>12</v>
      </c>
      <c r="D316" t="s">
        <v>11</v>
      </c>
      <c r="E316">
        <v>35580</v>
      </c>
      <c r="F316">
        <v>5086</v>
      </c>
      <c r="G316" t="s">
        <v>16</v>
      </c>
    </row>
    <row r="317" spans="1:7" x14ac:dyDescent="0.3">
      <c r="A317">
        <v>316</v>
      </c>
      <c r="B317" s="4">
        <v>45375</v>
      </c>
      <c r="C317" t="s">
        <v>17</v>
      </c>
      <c r="D317" t="s">
        <v>8</v>
      </c>
      <c r="E317">
        <v>12626</v>
      </c>
      <c r="F317">
        <v>4124</v>
      </c>
      <c r="G317" t="s">
        <v>9</v>
      </c>
    </row>
    <row r="318" spans="1:7" x14ac:dyDescent="0.3">
      <c r="A318">
        <v>317</v>
      </c>
      <c r="B318" s="4">
        <v>45607</v>
      </c>
      <c r="C318" t="s">
        <v>12</v>
      </c>
      <c r="D318" t="s">
        <v>8</v>
      </c>
      <c r="E318">
        <v>37837</v>
      </c>
      <c r="F318">
        <v>5687</v>
      </c>
      <c r="G318" t="s">
        <v>13</v>
      </c>
    </row>
    <row r="319" spans="1:7" x14ac:dyDescent="0.3">
      <c r="A319">
        <v>318</v>
      </c>
      <c r="B319" s="4">
        <v>45605</v>
      </c>
      <c r="C319" t="s">
        <v>10</v>
      </c>
      <c r="D319" t="s">
        <v>11</v>
      </c>
      <c r="E319">
        <v>20516</v>
      </c>
      <c r="F319">
        <v>1677</v>
      </c>
      <c r="G319" t="s">
        <v>14</v>
      </c>
    </row>
    <row r="320" spans="1:7" x14ac:dyDescent="0.3">
      <c r="A320">
        <v>319</v>
      </c>
      <c r="B320" s="4">
        <v>45371</v>
      </c>
      <c r="C320" t="s">
        <v>10</v>
      </c>
      <c r="D320" t="s">
        <v>8</v>
      </c>
      <c r="E320">
        <v>32593</v>
      </c>
      <c r="F320">
        <v>-287</v>
      </c>
      <c r="G320" t="s">
        <v>16</v>
      </c>
    </row>
    <row r="321" spans="1:7" x14ac:dyDescent="0.3">
      <c r="A321">
        <v>320</v>
      </c>
      <c r="B321" s="4">
        <v>45562</v>
      </c>
      <c r="C321" t="s">
        <v>7</v>
      </c>
      <c r="D321" t="s">
        <v>8</v>
      </c>
      <c r="E321">
        <v>10156</v>
      </c>
      <c r="F321">
        <v>-1810</v>
      </c>
      <c r="G321" t="s">
        <v>14</v>
      </c>
    </row>
    <row r="322" spans="1:7" x14ac:dyDescent="0.3">
      <c r="A322">
        <v>321</v>
      </c>
      <c r="B322" s="4">
        <v>45623</v>
      </c>
      <c r="C322" t="s">
        <v>10</v>
      </c>
      <c r="D322" t="s">
        <v>8</v>
      </c>
      <c r="E322">
        <v>18183</v>
      </c>
      <c r="F322">
        <v>6375</v>
      </c>
      <c r="G322" t="s">
        <v>14</v>
      </c>
    </row>
    <row r="323" spans="1:7" x14ac:dyDescent="0.3">
      <c r="A323">
        <v>322</v>
      </c>
      <c r="B323" s="4">
        <v>45337</v>
      </c>
      <c r="C323" t="s">
        <v>10</v>
      </c>
      <c r="D323" t="s">
        <v>11</v>
      </c>
      <c r="E323">
        <v>22479</v>
      </c>
      <c r="F323">
        <v>8588</v>
      </c>
      <c r="G323" t="s">
        <v>9</v>
      </c>
    </row>
    <row r="324" spans="1:7" x14ac:dyDescent="0.3">
      <c r="A324">
        <v>323</v>
      </c>
      <c r="B324" s="4">
        <v>45366</v>
      </c>
      <c r="C324" t="s">
        <v>12</v>
      </c>
      <c r="D324" t="s">
        <v>8</v>
      </c>
      <c r="E324">
        <v>22092</v>
      </c>
      <c r="F324">
        <v>4260</v>
      </c>
      <c r="G324" t="s">
        <v>14</v>
      </c>
    </row>
    <row r="325" spans="1:7" x14ac:dyDescent="0.3">
      <c r="A325">
        <v>324</v>
      </c>
      <c r="B325" s="4">
        <v>45509</v>
      </c>
      <c r="C325" t="s">
        <v>17</v>
      </c>
      <c r="D325" t="s">
        <v>8</v>
      </c>
      <c r="E325">
        <v>26645</v>
      </c>
      <c r="F325">
        <v>-156</v>
      </c>
      <c r="G325" t="s">
        <v>16</v>
      </c>
    </row>
    <row r="326" spans="1:7" x14ac:dyDescent="0.3">
      <c r="A326">
        <v>325</v>
      </c>
      <c r="B326" s="4">
        <v>45591</v>
      </c>
      <c r="C326" t="s">
        <v>12</v>
      </c>
      <c r="D326" t="s">
        <v>8</v>
      </c>
      <c r="E326">
        <v>16134</v>
      </c>
      <c r="F326">
        <v>5136</v>
      </c>
      <c r="G326" t="s">
        <v>14</v>
      </c>
    </row>
    <row r="327" spans="1:7" x14ac:dyDescent="0.3">
      <c r="A327">
        <v>326</v>
      </c>
      <c r="B327" s="4">
        <v>45469</v>
      </c>
      <c r="C327" t="s">
        <v>17</v>
      </c>
      <c r="D327" t="s">
        <v>11</v>
      </c>
      <c r="E327">
        <v>9896</v>
      </c>
      <c r="F327">
        <v>3959</v>
      </c>
      <c r="G327" t="s">
        <v>16</v>
      </c>
    </row>
    <row r="328" spans="1:7" x14ac:dyDescent="0.3">
      <c r="A328">
        <v>327</v>
      </c>
      <c r="B328" s="4">
        <v>45336</v>
      </c>
      <c r="C328" t="s">
        <v>7</v>
      </c>
      <c r="D328" t="s">
        <v>8</v>
      </c>
      <c r="E328">
        <v>19428</v>
      </c>
      <c r="F328">
        <v>854</v>
      </c>
      <c r="G328" t="s">
        <v>16</v>
      </c>
    </row>
    <row r="329" spans="1:7" x14ac:dyDescent="0.3">
      <c r="A329">
        <v>328</v>
      </c>
      <c r="B329" s="4">
        <v>45621</v>
      </c>
      <c r="C329" t="s">
        <v>17</v>
      </c>
      <c r="D329" t="s">
        <v>11</v>
      </c>
      <c r="E329">
        <v>27513</v>
      </c>
      <c r="F329">
        <v>6757</v>
      </c>
      <c r="G329" t="s">
        <v>16</v>
      </c>
    </row>
    <row r="330" spans="1:7" x14ac:dyDescent="0.3">
      <c r="A330">
        <v>329</v>
      </c>
      <c r="B330" s="4">
        <v>45375</v>
      </c>
      <c r="C330" t="s">
        <v>15</v>
      </c>
      <c r="D330" t="s">
        <v>8</v>
      </c>
      <c r="E330">
        <v>48625</v>
      </c>
      <c r="F330">
        <v>7455</v>
      </c>
      <c r="G330" t="s">
        <v>14</v>
      </c>
    </row>
    <row r="331" spans="1:7" x14ac:dyDescent="0.3">
      <c r="A331">
        <v>330</v>
      </c>
      <c r="B331" s="4">
        <v>45402</v>
      </c>
      <c r="C331" t="s">
        <v>7</v>
      </c>
      <c r="D331" t="s">
        <v>8</v>
      </c>
      <c r="E331">
        <v>20355</v>
      </c>
      <c r="F331">
        <v>5228</v>
      </c>
      <c r="G331" t="s">
        <v>14</v>
      </c>
    </row>
    <row r="332" spans="1:7" x14ac:dyDescent="0.3">
      <c r="A332">
        <v>331</v>
      </c>
      <c r="B332" s="4">
        <v>45365</v>
      </c>
      <c r="C332" t="s">
        <v>15</v>
      </c>
      <c r="D332" t="s">
        <v>8</v>
      </c>
      <c r="E332">
        <v>24003</v>
      </c>
      <c r="F332">
        <v>-1119</v>
      </c>
      <c r="G332" t="s">
        <v>16</v>
      </c>
    </row>
    <row r="333" spans="1:7" x14ac:dyDescent="0.3">
      <c r="A333">
        <v>332</v>
      </c>
      <c r="B333" s="4">
        <v>45407</v>
      </c>
      <c r="C333" t="s">
        <v>7</v>
      </c>
      <c r="D333" t="s">
        <v>11</v>
      </c>
      <c r="E333">
        <v>38466</v>
      </c>
      <c r="F333">
        <v>7376</v>
      </c>
      <c r="G333" t="s">
        <v>9</v>
      </c>
    </row>
    <row r="334" spans="1:7" x14ac:dyDescent="0.3">
      <c r="A334">
        <v>333</v>
      </c>
      <c r="B334" s="4">
        <v>45504</v>
      </c>
      <c r="C334" t="s">
        <v>10</v>
      </c>
      <c r="D334" t="s">
        <v>8</v>
      </c>
      <c r="E334">
        <v>37926</v>
      </c>
      <c r="F334">
        <v>4506</v>
      </c>
      <c r="G334" t="s">
        <v>16</v>
      </c>
    </row>
    <row r="335" spans="1:7" x14ac:dyDescent="0.3">
      <c r="A335">
        <v>334</v>
      </c>
      <c r="B335" s="4">
        <v>45340</v>
      </c>
      <c r="C335" t="s">
        <v>10</v>
      </c>
      <c r="D335" t="s">
        <v>11</v>
      </c>
      <c r="E335">
        <v>11826</v>
      </c>
      <c r="F335">
        <v>6760</v>
      </c>
      <c r="G335" t="s">
        <v>16</v>
      </c>
    </row>
    <row r="336" spans="1:7" x14ac:dyDescent="0.3">
      <c r="A336">
        <v>335</v>
      </c>
      <c r="B336" s="4">
        <v>45510</v>
      </c>
      <c r="C336" t="s">
        <v>10</v>
      </c>
      <c r="D336" t="s">
        <v>8</v>
      </c>
      <c r="E336">
        <v>10533</v>
      </c>
      <c r="F336">
        <v>-1130</v>
      </c>
      <c r="G336" t="s">
        <v>14</v>
      </c>
    </row>
    <row r="337" spans="1:7" x14ac:dyDescent="0.3">
      <c r="A337">
        <v>336</v>
      </c>
      <c r="B337" s="4">
        <v>45603</v>
      </c>
      <c r="C337" t="s">
        <v>15</v>
      </c>
      <c r="D337" t="s">
        <v>11</v>
      </c>
      <c r="E337">
        <v>15516</v>
      </c>
      <c r="F337">
        <v>2700</v>
      </c>
      <c r="G337" t="s">
        <v>16</v>
      </c>
    </row>
    <row r="338" spans="1:7" x14ac:dyDescent="0.3">
      <c r="A338">
        <v>337</v>
      </c>
      <c r="B338" s="4">
        <v>45615</v>
      </c>
      <c r="C338" t="s">
        <v>17</v>
      </c>
      <c r="D338" t="s">
        <v>11</v>
      </c>
      <c r="E338">
        <v>16054</v>
      </c>
      <c r="F338">
        <v>6295</v>
      </c>
      <c r="G338" t="s">
        <v>14</v>
      </c>
    </row>
    <row r="339" spans="1:7" x14ac:dyDescent="0.3">
      <c r="A339">
        <v>338</v>
      </c>
      <c r="B339" s="4">
        <v>45368</v>
      </c>
      <c r="C339" t="s">
        <v>7</v>
      </c>
      <c r="D339" t="s">
        <v>8</v>
      </c>
      <c r="E339">
        <v>34061</v>
      </c>
      <c r="F339">
        <v>3954</v>
      </c>
      <c r="G339" t="s">
        <v>9</v>
      </c>
    </row>
    <row r="340" spans="1:7" x14ac:dyDescent="0.3">
      <c r="A340">
        <v>339</v>
      </c>
      <c r="B340" s="4">
        <v>45299</v>
      </c>
      <c r="C340" t="s">
        <v>7</v>
      </c>
      <c r="D340" t="s">
        <v>8</v>
      </c>
      <c r="E340">
        <v>15980</v>
      </c>
      <c r="F340">
        <v>8130</v>
      </c>
      <c r="G340" t="s">
        <v>16</v>
      </c>
    </row>
    <row r="341" spans="1:7" x14ac:dyDescent="0.3">
      <c r="A341">
        <v>340</v>
      </c>
      <c r="B341" s="4">
        <v>45633</v>
      </c>
      <c r="C341" t="s">
        <v>12</v>
      </c>
      <c r="D341" t="s">
        <v>8</v>
      </c>
      <c r="E341">
        <v>21355</v>
      </c>
      <c r="F341">
        <v>9617</v>
      </c>
      <c r="G341" t="s">
        <v>14</v>
      </c>
    </row>
    <row r="342" spans="1:7" x14ac:dyDescent="0.3">
      <c r="A342">
        <v>341</v>
      </c>
      <c r="B342" s="4">
        <v>45516</v>
      </c>
      <c r="C342" t="s">
        <v>7</v>
      </c>
      <c r="D342" t="s">
        <v>8</v>
      </c>
      <c r="E342">
        <v>43281</v>
      </c>
      <c r="F342">
        <v>8942</v>
      </c>
      <c r="G342" t="s">
        <v>13</v>
      </c>
    </row>
    <row r="343" spans="1:7" x14ac:dyDescent="0.3">
      <c r="A343">
        <v>342</v>
      </c>
      <c r="B343" s="4">
        <v>45472</v>
      </c>
      <c r="C343" t="s">
        <v>10</v>
      </c>
      <c r="D343" t="s">
        <v>11</v>
      </c>
      <c r="E343">
        <v>16010</v>
      </c>
      <c r="F343">
        <v>276</v>
      </c>
      <c r="G343" t="s">
        <v>14</v>
      </c>
    </row>
    <row r="344" spans="1:7" x14ac:dyDescent="0.3">
      <c r="A344">
        <v>343</v>
      </c>
      <c r="B344" s="4">
        <v>45309</v>
      </c>
      <c r="C344" t="s">
        <v>15</v>
      </c>
      <c r="D344" t="s">
        <v>11</v>
      </c>
      <c r="E344">
        <v>9857</v>
      </c>
      <c r="F344">
        <v>4267</v>
      </c>
      <c r="G344" t="s">
        <v>14</v>
      </c>
    </row>
    <row r="345" spans="1:7" x14ac:dyDescent="0.3">
      <c r="A345">
        <v>344</v>
      </c>
      <c r="B345" s="4">
        <v>45384</v>
      </c>
      <c r="C345" t="s">
        <v>17</v>
      </c>
      <c r="D345" t="s">
        <v>8</v>
      </c>
      <c r="E345">
        <v>41330</v>
      </c>
      <c r="F345">
        <v>9146</v>
      </c>
      <c r="G345" t="s">
        <v>14</v>
      </c>
    </row>
    <row r="346" spans="1:7" x14ac:dyDescent="0.3">
      <c r="A346">
        <v>345</v>
      </c>
      <c r="B346" s="4">
        <v>45452</v>
      </c>
      <c r="C346" t="s">
        <v>10</v>
      </c>
      <c r="D346" t="s">
        <v>8</v>
      </c>
      <c r="E346">
        <v>2137</v>
      </c>
      <c r="F346">
        <v>1416</v>
      </c>
      <c r="G346" t="s">
        <v>14</v>
      </c>
    </row>
    <row r="347" spans="1:7" x14ac:dyDescent="0.3">
      <c r="A347">
        <v>346</v>
      </c>
      <c r="B347" s="4">
        <v>45570</v>
      </c>
      <c r="C347" t="s">
        <v>7</v>
      </c>
      <c r="D347" t="s">
        <v>11</v>
      </c>
      <c r="E347">
        <v>28423</v>
      </c>
      <c r="F347">
        <v>-1972</v>
      </c>
      <c r="G347" t="s">
        <v>13</v>
      </c>
    </row>
    <row r="348" spans="1:7" x14ac:dyDescent="0.3">
      <c r="A348">
        <v>347</v>
      </c>
      <c r="B348" s="4">
        <v>45488</v>
      </c>
      <c r="C348" t="s">
        <v>12</v>
      </c>
      <c r="D348" t="s">
        <v>11</v>
      </c>
      <c r="E348">
        <v>30936</v>
      </c>
      <c r="F348">
        <v>5095</v>
      </c>
      <c r="G348" t="s">
        <v>13</v>
      </c>
    </row>
    <row r="349" spans="1:7" x14ac:dyDescent="0.3">
      <c r="A349">
        <v>348</v>
      </c>
      <c r="B349" s="4">
        <v>45443</v>
      </c>
      <c r="C349" t="s">
        <v>15</v>
      </c>
      <c r="D349" t="s">
        <v>11</v>
      </c>
      <c r="E349">
        <v>8257</v>
      </c>
      <c r="F349">
        <v>793</v>
      </c>
      <c r="G349" t="s">
        <v>13</v>
      </c>
    </row>
    <row r="350" spans="1:7" x14ac:dyDescent="0.3">
      <c r="A350">
        <v>349</v>
      </c>
      <c r="B350" s="4">
        <v>45462</v>
      </c>
      <c r="C350" t="s">
        <v>17</v>
      </c>
      <c r="D350" t="s">
        <v>8</v>
      </c>
      <c r="E350">
        <v>26320</v>
      </c>
      <c r="F350">
        <v>9881</v>
      </c>
      <c r="G350" t="s">
        <v>16</v>
      </c>
    </row>
    <row r="351" spans="1:7" x14ac:dyDescent="0.3">
      <c r="A351">
        <v>350</v>
      </c>
      <c r="B351" s="4">
        <v>45378</v>
      </c>
      <c r="C351" t="s">
        <v>17</v>
      </c>
      <c r="D351" t="s">
        <v>8</v>
      </c>
      <c r="E351">
        <v>5661</v>
      </c>
      <c r="F351">
        <v>2893</v>
      </c>
      <c r="G351" t="s">
        <v>16</v>
      </c>
    </row>
    <row r="352" spans="1:7" x14ac:dyDescent="0.3">
      <c r="A352">
        <v>351</v>
      </c>
      <c r="B352" s="4">
        <v>45554</v>
      </c>
      <c r="C352" t="s">
        <v>10</v>
      </c>
      <c r="D352" t="s">
        <v>11</v>
      </c>
      <c r="E352">
        <v>45124</v>
      </c>
      <c r="F352">
        <v>7733</v>
      </c>
      <c r="G352" t="s">
        <v>9</v>
      </c>
    </row>
    <row r="353" spans="1:7" x14ac:dyDescent="0.3">
      <c r="A353">
        <v>352</v>
      </c>
      <c r="B353" s="4">
        <v>45391</v>
      </c>
      <c r="C353" t="s">
        <v>7</v>
      </c>
      <c r="D353" t="s">
        <v>11</v>
      </c>
      <c r="E353">
        <v>15555</v>
      </c>
      <c r="F353">
        <v>721</v>
      </c>
      <c r="G353" t="s">
        <v>14</v>
      </c>
    </row>
    <row r="354" spans="1:7" x14ac:dyDescent="0.3">
      <c r="A354">
        <v>353</v>
      </c>
      <c r="B354" s="4">
        <v>45657</v>
      </c>
      <c r="C354" t="s">
        <v>12</v>
      </c>
      <c r="D354" t="s">
        <v>11</v>
      </c>
      <c r="E354">
        <v>36673</v>
      </c>
      <c r="F354">
        <v>8627</v>
      </c>
      <c r="G354" t="s">
        <v>14</v>
      </c>
    </row>
    <row r="355" spans="1:7" x14ac:dyDescent="0.3">
      <c r="A355">
        <v>354</v>
      </c>
      <c r="B355" s="4">
        <v>45380</v>
      </c>
      <c r="C355" t="s">
        <v>15</v>
      </c>
      <c r="D355" t="s">
        <v>8</v>
      </c>
      <c r="E355">
        <v>41195</v>
      </c>
      <c r="F355">
        <v>3153</v>
      </c>
      <c r="G355" t="s">
        <v>14</v>
      </c>
    </row>
    <row r="356" spans="1:7" x14ac:dyDescent="0.3">
      <c r="A356">
        <v>355</v>
      </c>
      <c r="B356" s="4">
        <v>45623</v>
      </c>
      <c r="C356" t="s">
        <v>15</v>
      </c>
      <c r="D356" t="s">
        <v>11</v>
      </c>
      <c r="E356">
        <v>25585</v>
      </c>
      <c r="F356">
        <v>3167</v>
      </c>
      <c r="G356" t="s">
        <v>14</v>
      </c>
    </row>
    <row r="357" spans="1:7" x14ac:dyDescent="0.3">
      <c r="A357">
        <v>356</v>
      </c>
      <c r="B357" s="4">
        <v>45602</v>
      </c>
      <c r="C357" t="s">
        <v>7</v>
      </c>
      <c r="D357" t="s">
        <v>11</v>
      </c>
      <c r="E357">
        <v>35130</v>
      </c>
      <c r="F357">
        <v>8777</v>
      </c>
      <c r="G357" t="s">
        <v>14</v>
      </c>
    </row>
    <row r="358" spans="1:7" x14ac:dyDescent="0.3">
      <c r="A358">
        <v>357</v>
      </c>
      <c r="B358" s="4">
        <v>45453</v>
      </c>
      <c r="C358" t="s">
        <v>12</v>
      </c>
      <c r="D358" t="s">
        <v>8</v>
      </c>
      <c r="E358">
        <v>39605</v>
      </c>
      <c r="F358">
        <v>-202</v>
      </c>
      <c r="G358" t="s">
        <v>14</v>
      </c>
    </row>
    <row r="359" spans="1:7" x14ac:dyDescent="0.3">
      <c r="A359">
        <v>358</v>
      </c>
      <c r="B359" s="4">
        <v>45657</v>
      </c>
      <c r="C359" t="s">
        <v>10</v>
      </c>
      <c r="D359" t="s">
        <v>11</v>
      </c>
      <c r="E359">
        <v>49820</v>
      </c>
      <c r="F359">
        <v>2055</v>
      </c>
      <c r="G359" t="s">
        <v>14</v>
      </c>
    </row>
    <row r="360" spans="1:7" x14ac:dyDescent="0.3">
      <c r="A360">
        <v>359</v>
      </c>
      <c r="B360" s="4">
        <v>45420</v>
      </c>
      <c r="C360" t="s">
        <v>12</v>
      </c>
      <c r="D360" t="s">
        <v>8</v>
      </c>
      <c r="E360">
        <v>32710</v>
      </c>
      <c r="F360">
        <v>5889</v>
      </c>
      <c r="G360" t="s">
        <v>16</v>
      </c>
    </row>
    <row r="361" spans="1:7" x14ac:dyDescent="0.3">
      <c r="A361">
        <v>360</v>
      </c>
      <c r="B361" s="4">
        <v>45405</v>
      </c>
      <c r="C361" t="s">
        <v>7</v>
      </c>
      <c r="D361" t="s">
        <v>11</v>
      </c>
      <c r="E361">
        <v>39785</v>
      </c>
      <c r="F361">
        <v>-232</v>
      </c>
      <c r="G361" t="s">
        <v>14</v>
      </c>
    </row>
    <row r="362" spans="1:7" x14ac:dyDescent="0.3">
      <c r="A362">
        <v>361</v>
      </c>
      <c r="B362" s="4">
        <v>45511</v>
      </c>
      <c r="C362" t="s">
        <v>10</v>
      </c>
      <c r="D362" t="s">
        <v>8</v>
      </c>
      <c r="E362">
        <v>23849</v>
      </c>
      <c r="F362">
        <v>6839</v>
      </c>
      <c r="G362" t="s">
        <v>13</v>
      </c>
    </row>
    <row r="363" spans="1:7" x14ac:dyDescent="0.3">
      <c r="A363">
        <v>362</v>
      </c>
      <c r="B363" s="4">
        <v>45371</v>
      </c>
      <c r="C363" t="s">
        <v>17</v>
      </c>
      <c r="D363" t="s">
        <v>8</v>
      </c>
      <c r="E363">
        <v>48339</v>
      </c>
      <c r="F363">
        <v>6675</v>
      </c>
      <c r="G363" t="s">
        <v>16</v>
      </c>
    </row>
    <row r="364" spans="1:7" x14ac:dyDescent="0.3">
      <c r="A364">
        <v>363</v>
      </c>
      <c r="B364" s="4">
        <v>45651</v>
      </c>
      <c r="C364" t="s">
        <v>17</v>
      </c>
      <c r="D364" t="s">
        <v>8</v>
      </c>
      <c r="E364">
        <v>16306</v>
      </c>
      <c r="F364">
        <v>539</v>
      </c>
      <c r="G364" t="s">
        <v>16</v>
      </c>
    </row>
    <row r="365" spans="1:7" x14ac:dyDescent="0.3">
      <c r="A365">
        <v>364</v>
      </c>
      <c r="B365" s="4">
        <v>45427</v>
      </c>
      <c r="C365" t="s">
        <v>15</v>
      </c>
      <c r="D365" t="s">
        <v>11</v>
      </c>
      <c r="E365">
        <v>22872</v>
      </c>
      <c r="F365">
        <v>5421</v>
      </c>
      <c r="G365" t="s">
        <v>14</v>
      </c>
    </row>
    <row r="366" spans="1:7" x14ac:dyDescent="0.3">
      <c r="A366">
        <v>365</v>
      </c>
      <c r="B366" s="4">
        <v>45596</v>
      </c>
      <c r="C366" t="s">
        <v>15</v>
      </c>
      <c r="D366" t="s">
        <v>11</v>
      </c>
      <c r="E366">
        <v>11332</v>
      </c>
      <c r="F366">
        <v>7563</v>
      </c>
      <c r="G366" t="s">
        <v>16</v>
      </c>
    </row>
    <row r="367" spans="1:7" x14ac:dyDescent="0.3">
      <c r="A367">
        <v>366</v>
      </c>
      <c r="B367" s="4">
        <v>45652</v>
      </c>
      <c r="C367" t="s">
        <v>12</v>
      </c>
      <c r="D367" t="s">
        <v>11</v>
      </c>
      <c r="E367">
        <v>38580</v>
      </c>
      <c r="F367">
        <v>7797</v>
      </c>
      <c r="G367" t="s">
        <v>9</v>
      </c>
    </row>
    <row r="368" spans="1:7" x14ac:dyDescent="0.3">
      <c r="A368">
        <v>367</v>
      </c>
      <c r="B368" s="4">
        <v>45389</v>
      </c>
      <c r="C368" t="s">
        <v>10</v>
      </c>
      <c r="D368" t="s">
        <v>11</v>
      </c>
      <c r="E368">
        <v>5729</v>
      </c>
      <c r="F368">
        <v>8432</v>
      </c>
      <c r="G368" t="s">
        <v>16</v>
      </c>
    </row>
    <row r="369" spans="1:7" x14ac:dyDescent="0.3">
      <c r="A369">
        <v>368</v>
      </c>
      <c r="B369" s="4">
        <v>45640</v>
      </c>
      <c r="C369" t="s">
        <v>7</v>
      </c>
      <c r="D369" t="s">
        <v>11</v>
      </c>
      <c r="E369">
        <v>22137</v>
      </c>
      <c r="F369">
        <v>8924</v>
      </c>
      <c r="G369" t="s">
        <v>9</v>
      </c>
    </row>
    <row r="370" spans="1:7" x14ac:dyDescent="0.3">
      <c r="A370">
        <v>369</v>
      </c>
      <c r="B370" s="4">
        <v>45621</v>
      </c>
      <c r="C370" t="s">
        <v>15</v>
      </c>
      <c r="D370" t="s">
        <v>11</v>
      </c>
      <c r="E370">
        <v>32218</v>
      </c>
      <c r="F370">
        <v>9294</v>
      </c>
      <c r="G370" t="s">
        <v>14</v>
      </c>
    </row>
    <row r="371" spans="1:7" x14ac:dyDescent="0.3">
      <c r="A371">
        <v>370</v>
      </c>
      <c r="B371" s="4">
        <v>45608</v>
      </c>
      <c r="C371" t="s">
        <v>10</v>
      </c>
      <c r="D371" t="s">
        <v>8</v>
      </c>
      <c r="E371">
        <v>1167</v>
      </c>
      <c r="F371">
        <v>-929</v>
      </c>
      <c r="G371" t="s">
        <v>13</v>
      </c>
    </row>
    <row r="372" spans="1:7" x14ac:dyDescent="0.3">
      <c r="A372">
        <v>371</v>
      </c>
      <c r="B372" s="4">
        <v>45464</v>
      </c>
      <c r="C372" t="s">
        <v>15</v>
      </c>
      <c r="D372" t="s">
        <v>11</v>
      </c>
      <c r="E372">
        <v>43485</v>
      </c>
      <c r="F372">
        <v>6726</v>
      </c>
      <c r="G372" t="s">
        <v>16</v>
      </c>
    </row>
    <row r="373" spans="1:7" x14ac:dyDescent="0.3">
      <c r="A373">
        <v>372</v>
      </c>
      <c r="B373" s="4">
        <v>45317</v>
      </c>
      <c r="C373" t="s">
        <v>7</v>
      </c>
      <c r="D373" t="s">
        <v>8</v>
      </c>
      <c r="E373">
        <v>45462</v>
      </c>
      <c r="F373">
        <v>4596</v>
      </c>
      <c r="G373" t="s">
        <v>13</v>
      </c>
    </row>
    <row r="374" spans="1:7" x14ac:dyDescent="0.3">
      <c r="A374">
        <v>373</v>
      </c>
      <c r="B374" s="4">
        <v>45400</v>
      </c>
      <c r="C374" t="s">
        <v>15</v>
      </c>
      <c r="D374" t="s">
        <v>11</v>
      </c>
      <c r="E374">
        <v>45686</v>
      </c>
      <c r="F374">
        <v>6366</v>
      </c>
      <c r="G374" t="s">
        <v>14</v>
      </c>
    </row>
    <row r="375" spans="1:7" x14ac:dyDescent="0.3">
      <c r="A375">
        <v>374</v>
      </c>
      <c r="B375" s="4">
        <v>45546</v>
      </c>
      <c r="C375" t="s">
        <v>12</v>
      </c>
      <c r="D375" t="s">
        <v>8</v>
      </c>
      <c r="E375">
        <v>49979</v>
      </c>
      <c r="F375">
        <v>-502</v>
      </c>
      <c r="G375" t="s">
        <v>16</v>
      </c>
    </row>
    <row r="376" spans="1:7" x14ac:dyDescent="0.3">
      <c r="A376">
        <v>375</v>
      </c>
      <c r="B376" s="4">
        <v>45442</v>
      </c>
      <c r="C376" t="s">
        <v>7</v>
      </c>
      <c r="D376" t="s">
        <v>8</v>
      </c>
      <c r="E376">
        <v>1962</v>
      </c>
      <c r="F376">
        <v>8263</v>
      </c>
      <c r="G376" t="s">
        <v>13</v>
      </c>
    </row>
    <row r="377" spans="1:7" x14ac:dyDescent="0.3">
      <c r="A377">
        <v>376</v>
      </c>
      <c r="B377" s="4">
        <v>45588</v>
      </c>
      <c r="C377" t="s">
        <v>15</v>
      </c>
      <c r="D377" t="s">
        <v>8</v>
      </c>
      <c r="E377">
        <v>43580</v>
      </c>
      <c r="F377">
        <v>4368</v>
      </c>
      <c r="G377" t="s">
        <v>14</v>
      </c>
    </row>
    <row r="378" spans="1:7" x14ac:dyDescent="0.3">
      <c r="A378">
        <v>377</v>
      </c>
      <c r="B378" s="4">
        <v>45447</v>
      </c>
      <c r="C378" t="s">
        <v>17</v>
      </c>
      <c r="D378" t="s">
        <v>8</v>
      </c>
      <c r="E378">
        <v>14166</v>
      </c>
      <c r="F378">
        <v>1274</v>
      </c>
      <c r="G378" t="s">
        <v>9</v>
      </c>
    </row>
    <row r="379" spans="1:7" x14ac:dyDescent="0.3">
      <c r="A379">
        <v>378</v>
      </c>
      <c r="B379" s="4">
        <v>45509</v>
      </c>
      <c r="C379" t="s">
        <v>15</v>
      </c>
      <c r="D379" t="s">
        <v>8</v>
      </c>
      <c r="E379">
        <v>31191</v>
      </c>
      <c r="F379">
        <v>7843</v>
      </c>
      <c r="G379" t="s">
        <v>13</v>
      </c>
    </row>
    <row r="380" spans="1:7" x14ac:dyDescent="0.3">
      <c r="A380">
        <v>379</v>
      </c>
      <c r="B380" s="4">
        <v>45332</v>
      </c>
      <c r="C380" t="s">
        <v>12</v>
      </c>
      <c r="D380" t="s">
        <v>8</v>
      </c>
      <c r="E380">
        <v>22997</v>
      </c>
      <c r="F380">
        <v>1012</v>
      </c>
      <c r="G380" t="s">
        <v>16</v>
      </c>
    </row>
    <row r="381" spans="1:7" x14ac:dyDescent="0.3">
      <c r="A381">
        <v>380</v>
      </c>
      <c r="B381" s="4">
        <v>45505</v>
      </c>
      <c r="C381" t="s">
        <v>15</v>
      </c>
      <c r="D381" t="s">
        <v>11</v>
      </c>
      <c r="E381">
        <v>29723</v>
      </c>
      <c r="F381">
        <v>7927</v>
      </c>
      <c r="G381" t="s">
        <v>14</v>
      </c>
    </row>
    <row r="382" spans="1:7" x14ac:dyDescent="0.3">
      <c r="A382">
        <v>381</v>
      </c>
      <c r="B382" s="4">
        <v>45589</v>
      </c>
      <c r="C382" t="s">
        <v>7</v>
      </c>
      <c r="D382" t="s">
        <v>11</v>
      </c>
      <c r="E382">
        <v>46278</v>
      </c>
      <c r="F382">
        <v>4363</v>
      </c>
      <c r="G382" t="s">
        <v>16</v>
      </c>
    </row>
    <row r="383" spans="1:7" x14ac:dyDescent="0.3">
      <c r="A383">
        <v>382</v>
      </c>
      <c r="B383" s="4">
        <v>45431</v>
      </c>
      <c r="C383" t="s">
        <v>10</v>
      </c>
      <c r="D383" t="s">
        <v>8</v>
      </c>
      <c r="E383">
        <v>14060</v>
      </c>
      <c r="F383">
        <v>-514</v>
      </c>
      <c r="G383" t="s">
        <v>13</v>
      </c>
    </row>
    <row r="384" spans="1:7" x14ac:dyDescent="0.3">
      <c r="A384">
        <v>383</v>
      </c>
      <c r="B384" s="4">
        <v>45404</v>
      </c>
      <c r="C384" t="s">
        <v>17</v>
      </c>
      <c r="D384" t="s">
        <v>11</v>
      </c>
      <c r="E384">
        <v>27869</v>
      </c>
      <c r="F384">
        <v>94</v>
      </c>
      <c r="G384" t="s">
        <v>13</v>
      </c>
    </row>
    <row r="385" spans="1:7" x14ac:dyDescent="0.3">
      <c r="A385">
        <v>384</v>
      </c>
      <c r="B385" s="4">
        <v>45368</v>
      </c>
      <c r="C385" t="s">
        <v>17</v>
      </c>
      <c r="D385" t="s">
        <v>11</v>
      </c>
      <c r="E385">
        <v>24915</v>
      </c>
      <c r="F385">
        <v>5363</v>
      </c>
      <c r="G385" t="s">
        <v>13</v>
      </c>
    </row>
    <row r="386" spans="1:7" x14ac:dyDescent="0.3">
      <c r="A386">
        <v>385</v>
      </c>
      <c r="B386" s="4">
        <v>45494</v>
      </c>
      <c r="C386" t="s">
        <v>12</v>
      </c>
      <c r="D386" t="s">
        <v>11</v>
      </c>
      <c r="E386">
        <v>35352</v>
      </c>
      <c r="F386">
        <v>6781</v>
      </c>
      <c r="G386" t="s">
        <v>14</v>
      </c>
    </row>
    <row r="387" spans="1:7" x14ac:dyDescent="0.3">
      <c r="A387">
        <v>386</v>
      </c>
      <c r="B387" s="4">
        <v>45642</v>
      </c>
      <c r="C387" t="s">
        <v>15</v>
      </c>
      <c r="D387" t="s">
        <v>8</v>
      </c>
      <c r="E387">
        <v>27157</v>
      </c>
      <c r="F387">
        <v>5071</v>
      </c>
      <c r="G387" t="s">
        <v>14</v>
      </c>
    </row>
    <row r="388" spans="1:7" x14ac:dyDescent="0.3">
      <c r="A388">
        <v>387</v>
      </c>
      <c r="B388" s="4">
        <v>45294</v>
      </c>
      <c r="C388" t="s">
        <v>7</v>
      </c>
      <c r="D388" t="s">
        <v>8</v>
      </c>
      <c r="E388">
        <v>12340</v>
      </c>
      <c r="F388">
        <v>3654</v>
      </c>
      <c r="G388" t="s">
        <v>14</v>
      </c>
    </row>
    <row r="389" spans="1:7" x14ac:dyDescent="0.3">
      <c r="A389">
        <v>388</v>
      </c>
      <c r="B389" s="4">
        <v>45417</v>
      </c>
      <c r="C389" t="s">
        <v>15</v>
      </c>
      <c r="D389" t="s">
        <v>11</v>
      </c>
      <c r="E389">
        <v>28586</v>
      </c>
      <c r="F389">
        <v>2613</v>
      </c>
      <c r="G389" t="s">
        <v>16</v>
      </c>
    </row>
    <row r="390" spans="1:7" x14ac:dyDescent="0.3">
      <c r="A390">
        <v>389</v>
      </c>
      <c r="B390" s="4">
        <v>45550</v>
      </c>
      <c r="C390" t="s">
        <v>17</v>
      </c>
      <c r="D390" t="s">
        <v>8</v>
      </c>
      <c r="E390">
        <v>42904</v>
      </c>
      <c r="F390">
        <v>-1286</v>
      </c>
      <c r="G390" t="s">
        <v>14</v>
      </c>
    </row>
    <row r="391" spans="1:7" x14ac:dyDescent="0.3">
      <c r="A391">
        <v>390</v>
      </c>
      <c r="B391" s="4">
        <v>45520</v>
      </c>
      <c r="C391" t="s">
        <v>17</v>
      </c>
      <c r="D391" t="s">
        <v>11</v>
      </c>
      <c r="E391">
        <v>16599</v>
      </c>
      <c r="F391">
        <v>4085</v>
      </c>
      <c r="G391" t="s">
        <v>9</v>
      </c>
    </row>
    <row r="392" spans="1:7" x14ac:dyDescent="0.3">
      <c r="A392">
        <v>391</v>
      </c>
      <c r="B392" s="4">
        <v>45469</v>
      </c>
      <c r="C392" t="s">
        <v>15</v>
      </c>
      <c r="D392" t="s">
        <v>8</v>
      </c>
      <c r="E392">
        <v>1398</v>
      </c>
      <c r="F392">
        <v>9229</v>
      </c>
      <c r="G392" t="s">
        <v>9</v>
      </c>
    </row>
    <row r="393" spans="1:7" x14ac:dyDescent="0.3">
      <c r="A393">
        <v>392</v>
      </c>
      <c r="B393" s="4">
        <v>45562</v>
      </c>
      <c r="C393" t="s">
        <v>10</v>
      </c>
      <c r="D393" t="s">
        <v>11</v>
      </c>
      <c r="E393">
        <v>10787</v>
      </c>
      <c r="F393">
        <v>7852</v>
      </c>
      <c r="G393" t="s">
        <v>16</v>
      </c>
    </row>
    <row r="394" spans="1:7" x14ac:dyDescent="0.3">
      <c r="A394">
        <v>393</v>
      </c>
      <c r="B394" s="4">
        <v>45548</v>
      </c>
      <c r="C394" t="s">
        <v>15</v>
      </c>
      <c r="D394" t="s">
        <v>11</v>
      </c>
      <c r="E394">
        <v>46543</v>
      </c>
      <c r="F394">
        <v>7096</v>
      </c>
      <c r="G394" t="s">
        <v>13</v>
      </c>
    </row>
    <row r="395" spans="1:7" x14ac:dyDescent="0.3">
      <c r="A395">
        <v>394</v>
      </c>
      <c r="B395" s="4">
        <v>45395</v>
      </c>
      <c r="C395" t="s">
        <v>17</v>
      </c>
      <c r="D395" t="s">
        <v>11</v>
      </c>
      <c r="E395">
        <v>6916</v>
      </c>
      <c r="F395">
        <v>3092</v>
      </c>
      <c r="G395" t="s">
        <v>9</v>
      </c>
    </row>
    <row r="396" spans="1:7" x14ac:dyDescent="0.3">
      <c r="A396">
        <v>395</v>
      </c>
      <c r="B396" s="4">
        <v>45306</v>
      </c>
      <c r="C396" t="s">
        <v>17</v>
      </c>
      <c r="D396" t="s">
        <v>8</v>
      </c>
      <c r="E396">
        <v>44677</v>
      </c>
      <c r="F396">
        <v>9247</v>
      </c>
      <c r="G396" t="s">
        <v>13</v>
      </c>
    </row>
    <row r="397" spans="1:7" x14ac:dyDescent="0.3">
      <c r="A397">
        <v>396</v>
      </c>
      <c r="B397" s="4">
        <v>45648</v>
      </c>
      <c r="C397" t="s">
        <v>15</v>
      </c>
      <c r="D397" t="s">
        <v>8</v>
      </c>
      <c r="E397">
        <v>9693</v>
      </c>
      <c r="F397">
        <v>1819</v>
      </c>
      <c r="G397" t="s">
        <v>14</v>
      </c>
    </row>
    <row r="398" spans="1:7" x14ac:dyDescent="0.3">
      <c r="A398">
        <v>397</v>
      </c>
      <c r="B398" s="4">
        <v>45580</v>
      </c>
      <c r="C398" t="s">
        <v>10</v>
      </c>
      <c r="D398" t="s">
        <v>11</v>
      </c>
      <c r="E398">
        <v>48779</v>
      </c>
      <c r="F398">
        <v>8195</v>
      </c>
      <c r="G398" t="s">
        <v>9</v>
      </c>
    </row>
    <row r="399" spans="1:7" x14ac:dyDescent="0.3">
      <c r="A399">
        <v>398</v>
      </c>
      <c r="B399" s="4">
        <v>45349</v>
      </c>
      <c r="C399" t="s">
        <v>15</v>
      </c>
      <c r="D399" t="s">
        <v>11</v>
      </c>
      <c r="E399">
        <v>38403</v>
      </c>
      <c r="F399">
        <v>-738</v>
      </c>
      <c r="G399" t="s">
        <v>16</v>
      </c>
    </row>
    <row r="400" spans="1:7" x14ac:dyDescent="0.3">
      <c r="A400">
        <v>399</v>
      </c>
      <c r="B400" s="4">
        <v>45498</v>
      </c>
      <c r="C400" t="s">
        <v>17</v>
      </c>
      <c r="D400" t="s">
        <v>11</v>
      </c>
      <c r="E400">
        <v>4488</v>
      </c>
      <c r="F400">
        <v>9092</v>
      </c>
      <c r="G400" t="s">
        <v>14</v>
      </c>
    </row>
    <row r="401" spans="1:7" x14ac:dyDescent="0.3">
      <c r="A401">
        <v>400</v>
      </c>
      <c r="B401" s="4">
        <v>45459</v>
      </c>
      <c r="C401" t="s">
        <v>15</v>
      </c>
      <c r="D401" t="s">
        <v>8</v>
      </c>
      <c r="E401">
        <v>9015</v>
      </c>
      <c r="F401">
        <v>7659</v>
      </c>
      <c r="G401" t="s">
        <v>14</v>
      </c>
    </row>
    <row r="402" spans="1:7" x14ac:dyDescent="0.3">
      <c r="A402">
        <v>401</v>
      </c>
      <c r="B402" s="4">
        <v>45440</v>
      </c>
      <c r="C402" t="s">
        <v>12</v>
      </c>
      <c r="D402" t="s">
        <v>11</v>
      </c>
      <c r="E402">
        <v>26516</v>
      </c>
      <c r="F402">
        <v>8352</v>
      </c>
      <c r="G402" t="s">
        <v>9</v>
      </c>
    </row>
    <row r="403" spans="1:7" x14ac:dyDescent="0.3">
      <c r="A403">
        <v>402</v>
      </c>
      <c r="B403" s="4">
        <v>45421</v>
      </c>
      <c r="C403" t="s">
        <v>10</v>
      </c>
      <c r="D403" t="s">
        <v>8</v>
      </c>
      <c r="E403">
        <v>5386</v>
      </c>
      <c r="F403">
        <v>5014</v>
      </c>
      <c r="G403" t="s">
        <v>14</v>
      </c>
    </row>
    <row r="404" spans="1:7" x14ac:dyDescent="0.3">
      <c r="A404">
        <v>403</v>
      </c>
      <c r="B404" s="4">
        <v>45334</v>
      </c>
      <c r="C404" t="s">
        <v>12</v>
      </c>
      <c r="D404" t="s">
        <v>8</v>
      </c>
      <c r="E404">
        <v>48122</v>
      </c>
      <c r="F404">
        <v>6171</v>
      </c>
      <c r="G404" t="s">
        <v>16</v>
      </c>
    </row>
    <row r="405" spans="1:7" x14ac:dyDescent="0.3">
      <c r="A405">
        <v>404</v>
      </c>
      <c r="B405" s="4">
        <v>45346</v>
      </c>
      <c r="C405" t="s">
        <v>10</v>
      </c>
      <c r="D405" t="s">
        <v>11</v>
      </c>
      <c r="E405">
        <v>9193</v>
      </c>
      <c r="F405">
        <v>2985</v>
      </c>
      <c r="G405" t="s">
        <v>13</v>
      </c>
    </row>
    <row r="406" spans="1:7" x14ac:dyDescent="0.3">
      <c r="A406">
        <v>405</v>
      </c>
      <c r="B406" s="4">
        <v>45348</v>
      </c>
      <c r="C406" t="s">
        <v>12</v>
      </c>
      <c r="D406" t="s">
        <v>8</v>
      </c>
      <c r="E406">
        <v>23209</v>
      </c>
      <c r="F406">
        <v>6347</v>
      </c>
      <c r="G406" t="s">
        <v>9</v>
      </c>
    </row>
    <row r="407" spans="1:7" x14ac:dyDescent="0.3">
      <c r="A407">
        <v>406</v>
      </c>
      <c r="B407" s="4">
        <v>45434</v>
      </c>
      <c r="C407" t="s">
        <v>12</v>
      </c>
      <c r="D407" t="s">
        <v>11</v>
      </c>
      <c r="E407">
        <v>14061</v>
      </c>
      <c r="F407">
        <v>1987</v>
      </c>
      <c r="G407" t="s">
        <v>13</v>
      </c>
    </row>
    <row r="408" spans="1:7" x14ac:dyDescent="0.3">
      <c r="A408">
        <v>407</v>
      </c>
      <c r="B408" s="4">
        <v>45627</v>
      </c>
      <c r="C408" t="s">
        <v>17</v>
      </c>
      <c r="D408" t="s">
        <v>11</v>
      </c>
      <c r="E408">
        <v>29357</v>
      </c>
      <c r="F408">
        <v>7000</v>
      </c>
      <c r="G408" t="s">
        <v>16</v>
      </c>
    </row>
    <row r="409" spans="1:7" x14ac:dyDescent="0.3">
      <c r="A409">
        <v>408</v>
      </c>
      <c r="B409" s="4">
        <v>45301</v>
      </c>
      <c r="C409" t="s">
        <v>10</v>
      </c>
      <c r="D409" t="s">
        <v>8</v>
      </c>
      <c r="E409">
        <v>14008</v>
      </c>
      <c r="F409">
        <v>9311</v>
      </c>
      <c r="G409" t="s">
        <v>16</v>
      </c>
    </row>
    <row r="410" spans="1:7" x14ac:dyDescent="0.3">
      <c r="A410">
        <v>409</v>
      </c>
      <c r="B410" s="4">
        <v>45332</v>
      </c>
      <c r="C410" t="s">
        <v>10</v>
      </c>
      <c r="D410" t="s">
        <v>11</v>
      </c>
      <c r="E410">
        <v>37424</v>
      </c>
      <c r="F410">
        <v>8621</v>
      </c>
      <c r="G410" t="s">
        <v>16</v>
      </c>
    </row>
    <row r="411" spans="1:7" x14ac:dyDescent="0.3">
      <c r="A411">
        <v>410</v>
      </c>
      <c r="B411" s="4">
        <v>45355</v>
      </c>
      <c r="C411" t="s">
        <v>10</v>
      </c>
      <c r="D411" t="s">
        <v>8</v>
      </c>
      <c r="E411">
        <v>19585</v>
      </c>
      <c r="F411">
        <v>1696</v>
      </c>
      <c r="G411" t="s">
        <v>13</v>
      </c>
    </row>
    <row r="412" spans="1:7" x14ac:dyDescent="0.3">
      <c r="A412">
        <v>411</v>
      </c>
      <c r="B412" s="4">
        <v>45546</v>
      </c>
      <c r="C412" t="s">
        <v>12</v>
      </c>
      <c r="D412" t="s">
        <v>11</v>
      </c>
      <c r="E412">
        <v>20043</v>
      </c>
      <c r="F412">
        <v>4817</v>
      </c>
      <c r="G412" t="s">
        <v>9</v>
      </c>
    </row>
    <row r="413" spans="1:7" x14ac:dyDescent="0.3">
      <c r="A413">
        <v>412</v>
      </c>
      <c r="B413" s="4">
        <v>45648</v>
      </c>
      <c r="C413" t="s">
        <v>15</v>
      </c>
      <c r="D413" t="s">
        <v>11</v>
      </c>
      <c r="E413">
        <v>39968</v>
      </c>
      <c r="F413">
        <v>-1699</v>
      </c>
      <c r="G413" t="s">
        <v>13</v>
      </c>
    </row>
    <row r="414" spans="1:7" x14ac:dyDescent="0.3">
      <c r="A414">
        <v>413</v>
      </c>
      <c r="B414" s="4">
        <v>45346</v>
      </c>
      <c r="C414" t="s">
        <v>12</v>
      </c>
      <c r="D414" t="s">
        <v>8</v>
      </c>
      <c r="E414">
        <v>29135</v>
      </c>
      <c r="F414">
        <v>8014</v>
      </c>
      <c r="G414" t="s">
        <v>13</v>
      </c>
    </row>
    <row r="415" spans="1:7" x14ac:dyDescent="0.3">
      <c r="A415">
        <v>414</v>
      </c>
      <c r="B415" s="4">
        <v>45343</v>
      </c>
      <c r="C415" t="s">
        <v>17</v>
      </c>
      <c r="D415" t="s">
        <v>8</v>
      </c>
      <c r="E415">
        <v>2614</v>
      </c>
      <c r="F415">
        <v>8747</v>
      </c>
      <c r="G415" t="s">
        <v>13</v>
      </c>
    </row>
    <row r="416" spans="1:7" x14ac:dyDescent="0.3">
      <c r="A416">
        <v>415</v>
      </c>
      <c r="B416" s="4">
        <v>45381</v>
      </c>
      <c r="C416" t="s">
        <v>12</v>
      </c>
      <c r="D416" t="s">
        <v>11</v>
      </c>
      <c r="E416">
        <v>37372</v>
      </c>
      <c r="F416">
        <v>8536</v>
      </c>
      <c r="G416" t="s">
        <v>13</v>
      </c>
    </row>
    <row r="417" spans="1:7" x14ac:dyDescent="0.3">
      <c r="A417">
        <v>416</v>
      </c>
      <c r="B417" s="4">
        <v>45323</v>
      </c>
      <c r="C417" t="s">
        <v>12</v>
      </c>
      <c r="D417" t="s">
        <v>8</v>
      </c>
      <c r="E417">
        <v>13942</v>
      </c>
      <c r="F417">
        <v>1745</v>
      </c>
      <c r="G417" t="s">
        <v>9</v>
      </c>
    </row>
    <row r="418" spans="1:7" x14ac:dyDescent="0.3">
      <c r="A418">
        <v>417</v>
      </c>
      <c r="B418" s="4">
        <v>45651</v>
      </c>
      <c r="C418" t="s">
        <v>17</v>
      </c>
      <c r="D418" t="s">
        <v>11</v>
      </c>
      <c r="E418">
        <v>9953</v>
      </c>
      <c r="F418">
        <v>8703</v>
      </c>
      <c r="G418" t="s">
        <v>13</v>
      </c>
    </row>
    <row r="419" spans="1:7" x14ac:dyDescent="0.3">
      <c r="A419">
        <v>418</v>
      </c>
      <c r="B419" s="4">
        <v>45588</v>
      </c>
      <c r="C419" t="s">
        <v>10</v>
      </c>
      <c r="D419" t="s">
        <v>11</v>
      </c>
      <c r="E419">
        <v>49756</v>
      </c>
      <c r="F419">
        <v>-1884</v>
      </c>
      <c r="G419" t="s">
        <v>9</v>
      </c>
    </row>
    <row r="420" spans="1:7" x14ac:dyDescent="0.3">
      <c r="A420">
        <v>419</v>
      </c>
      <c r="B420" s="4">
        <v>45431</v>
      </c>
      <c r="C420" t="s">
        <v>12</v>
      </c>
      <c r="D420" t="s">
        <v>8</v>
      </c>
      <c r="E420">
        <v>15961</v>
      </c>
      <c r="F420">
        <v>8791</v>
      </c>
      <c r="G420" t="s">
        <v>9</v>
      </c>
    </row>
    <row r="421" spans="1:7" x14ac:dyDescent="0.3">
      <c r="A421">
        <v>420</v>
      </c>
      <c r="B421" s="4">
        <v>45396</v>
      </c>
      <c r="C421" t="s">
        <v>10</v>
      </c>
      <c r="D421" t="s">
        <v>11</v>
      </c>
      <c r="E421">
        <v>45451</v>
      </c>
      <c r="F421">
        <v>2653</v>
      </c>
      <c r="G421" t="s">
        <v>13</v>
      </c>
    </row>
    <row r="422" spans="1:7" x14ac:dyDescent="0.3">
      <c r="A422">
        <v>421</v>
      </c>
      <c r="B422" s="4">
        <v>45525</v>
      </c>
      <c r="C422" t="s">
        <v>17</v>
      </c>
      <c r="D422" t="s">
        <v>8</v>
      </c>
      <c r="E422">
        <v>28427</v>
      </c>
      <c r="F422">
        <v>2211</v>
      </c>
      <c r="G422" t="s">
        <v>16</v>
      </c>
    </row>
    <row r="423" spans="1:7" x14ac:dyDescent="0.3">
      <c r="A423">
        <v>422</v>
      </c>
      <c r="B423" s="4">
        <v>45438</v>
      </c>
      <c r="C423" t="s">
        <v>10</v>
      </c>
      <c r="D423" t="s">
        <v>8</v>
      </c>
      <c r="E423">
        <v>11546</v>
      </c>
      <c r="F423">
        <v>2748</v>
      </c>
      <c r="G423" t="s">
        <v>14</v>
      </c>
    </row>
    <row r="424" spans="1:7" x14ac:dyDescent="0.3">
      <c r="A424">
        <v>423</v>
      </c>
      <c r="B424" s="4">
        <v>45423</v>
      </c>
      <c r="C424" t="s">
        <v>12</v>
      </c>
      <c r="D424" t="s">
        <v>8</v>
      </c>
      <c r="E424">
        <v>3630</v>
      </c>
      <c r="F424">
        <v>6975</v>
      </c>
      <c r="G424" t="s">
        <v>14</v>
      </c>
    </row>
    <row r="425" spans="1:7" x14ac:dyDescent="0.3">
      <c r="A425">
        <v>424</v>
      </c>
      <c r="B425" s="4">
        <v>45484</v>
      </c>
      <c r="C425" t="s">
        <v>10</v>
      </c>
      <c r="D425" t="s">
        <v>11</v>
      </c>
      <c r="E425">
        <v>37321</v>
      </c>
      <c r="F425">
        <v>4240</v>
      </c>
      <c r="G425" t="s">
        <v>13</v>
      </c>
    </row>
    <row r="426" spans="1:7" x14ac:dyDescent="0.3">
      <c r="A426">
        <v>425</v>
      </c>
      <c r="B426" s="4">
        <v>45539</v>
      </c>
      <c r="C426" t="s">
        <v>15</v>
      </c>
      <c r="D426" t="s">
        <v>11</v>
      </c>
      <c r="E426">
        <v>20977</v>
      </c>
      <c r="F426">
        <v>8237</v>
      </c>
      <c r="G426" t="s">
        <v>14</v>
      </c>
    </row>
    <row r="427" spans="1:7" x14ac:dyDescent="0.3">
      <c r="A427">
        <v>426</v>
      </c>
      <c r="B427" s="4">
        <v>45341</v>
      </c>
      <c r="C427" t="s">
        <v>15</v>
      </c>
      <c r="D427" t="s">
        <v>8</v>
      </c>
      <c r="E427">
        <v>12361</v>
      </c>
      <c r="F427">
        <v>2535</v>
      </c>
      <c r="G427" t="s">
        <v>14</v>
      </c>
    </row>
    <row r="428" spans="1:7" x14ac:dyDescent="0.3">
      <c r="A428">
        <v>427</v>
      </c>
      <c r="B428" s="4">
        <v>45471</v>
      </c>
      <c r="C428" t="s">
        <v>10</v>
      </c>
      <c r="D428" t="s">
        <v>11</v>
      </c>
      <c r="E428">
        <v>4473</v>
      </c>
      <c r="F428">
        <v>3913</v>
      </c>
      <c r="G428" t="s">
        <v>16</v>
      </c>
    </row>
    <row r="429" spans="1:7" x14ac:dyDescent="0.3">
      <c r="A429">
        <v>428</v>
      </c>
      <c r="B429" s="4">
        <v>45490</v>
      </c>
      <c r="C429" t="s">
        <v>10</v>
      </c>
      <c r="D429" t="s">
        <v>8</v>
      </c>
      <c r="E429">
        <v>27926</v>
      </c>
      <c r="F429">
        <v>8253</v>
      </c>
      <c r="G429" t="s">
        <v>16</v>
      </c>
    </row>
    <row r="430" spans="1:7" x14ac:dyDescent="0.3">
      <c r="A430">
        <v>429</v>
      </c>
      <c r="B430" s="4">
        <v>45578</v>
      </c>
      <c r="C430" t="s">
        <v>12</v>
      </c>
      <c r="D430" t="s">
        <v>8</v>
      </c>
      <c r="E430">
        <v>49165</v>
      </c>
      <c r="F430">
        <v>9802</v>
      </c>
      <c r="G430" t="s">
        <v>14</v>
      </c>
    </row>
    <row r="431" spans="1:7" x14ac:dyDescent="0.3">
      <c r="A431">
        <v>430</v>
      </c>
      <c r="B431" s="4">
        <v>45516</v>
      </c>
      <c r="C431" t="s">
        <v>17</v>
      </c>
      <c r="D431" t="s">
        <v>8</v>
      </c>
      <c r="E431">
        <v>11851</v>
      </c>
      <c r="F431">
        <v>9914</v>
      </c>
      <c r="G431" t="s">
        <v>13</v>
      </c>
    </row>
    <row r="432" spans="1:7" x14ac:dyDescent="0.3">
      <c r="A432">
        <v>431</v>
      </c>
      <c r="B432" s="4">
        <v>45300</v>
      </c>
      <c r="C432" t="s">
        <v>15</v>
      </c>
      <c r="D432" t="s">
        <v>8</v>
      </c>
      <c r="E432">
        <v>43896</v>
      </c>
      <c r="F432">
        <v>9853</v>
      </c>
      <c r="G432" t="s">
        <v>9</v>
      </c>
    </row>
    <row r="433" spans="1:7" x14ac:dyDescent="0.3">
      <c r="A433">
        <v>432</v>
      </c>
      <c r="B433" s="4">
        <v>45437</v>
      </c>
      <c r="C433" t="s">
        <v>15</v>
      </c>
      <c r="D433" t="s">
        <v>11</v>
      </c>
      <c r="E433">
        <v>39994</v>
      </c>
      <c r="F433">
        <v>5179</v>
      </c>
      <c r="G433" t="s">
        <v>16</v>
      </c>
    </row>
    <row r="434" spans="1:7" x14ac:dyDescent="0.3">
      <c r="A434">
        <v>433</v>
      </c>
      <c r="B434" s="4">
        <v>45359</v>
      </c>
      <c r="C434" t="s">
        <v>7</v>
      </c>
      <c r="D434" t="s">
        <v>8</v>
      </c>
      <c r="E434">
        <v>39601</v>
      </c>
      <c r="F434">
        <v>465</v>
      </c>
      <c r="G434" t="s">
        <v>13</v>
      </c>
    </row>
    <row r="435" spans="1:7" x14ac:dyDescent="0.3">
      <c r="A435">
        <v>434</v>
      </c>
      <c r="B435" s="4">
        <v>45567</v>
      </c>
      <c r="C435" t="s">
        <v>7</v>
      </c>
      <c r="D435" t="s">
        <v>11</v>
      </c>
      <c r="E435">
        <v>22753</v>
      </c>
      <c r="F435">
        <v>2874</v>
      </c>
      <c r="G435" t="s">
        <v>13</v>
      </c>
    </row>
    <row r="436" spans="1:7" x14ac:dyDescent="0.3">
      <c r="A436">
        <v>435</v>
      </c>
      <c r="B436" s="4">
        <v>45420</v>
      </c>
      <c r="C436" t="s">
        <v>15</v>
      </c>
      <c r="D436" t="s">
        <v>11</v>
      </c>
      <c r="E436">
        <v>34027</v>
      </c>
      <c r="F436">
        <v>877</v>
      </c>
      <c r="G436" t="s">
        <v>14</v>
      </c>
    </row>
    <row r="437" spans="1:7" x14ac:dyDescent="0.3">
      <c r="A437">
        <v>436</v>
      </c>
      <c r="B437" s="4">
        <v>45569</v>
      </c>
      <c r="C437" t="s">
        <v>12</v>
      </c>
      <c r="D437" t="s">
        <v>11</v>
      </c>
      <c r="E437">
        <v>14053</v>
      </c>
      <c r="F437">
        <v>-1668</v>
      </c>
      <c r="G437" t="s">
        <v>16</v>
      </c>
    </row>
    <row r="438" spans="1:7" x14ac:dyDescent="0.3">
      <c r="A438">
        <v>437</v>
      </c>
      <c r="B438" s="4">
        <v>45624</v>
      </c>
      <c r="C438" t="s">
        <v>17</v>
      </c>
      <c r="D438" t="s">
        <v>11</v>
      </c>
      <c r="E438">
        <v>7035</v>
      </c>
      <c r="F438">
        <v>-381</v>
      </c>
      <c r="G438" t="s">
        <v>9</v>
      </c>
    </row>
    <row r="439" spans="1:7" x14ac:dyDescent="0.3">
      <c r="A439">
        <v>438</v>
      </c>
      <c r="B439" s="4">
        <v>45633</v>
      </c>
      <c r="C439" t="s">
        <v>10</v>
      </c>
      <c r="D439" t="s">
        <v>8</v>
      </c>
      <c r="E439">
        <v>47658</v>
      </c>
      <c r="F439">
        <v>7727</v>
      </c>
      <c r="G439" t="s">
        <v>16</v>
      </c>
    </row>
    <row r="440" spans="1:7" x14ac:dyDescent="0.3">
      <c r="A440">
        <v>439</v>
      </c>
      <c r="B440" s="4">
        <v>45392</v>
      </c>
      <c r="C440" t="s">
        <v>7</v>
      </c>
      <c r="D440" t="s">
        <v>11</v>
      </c>
      <c r="E440">
        <v>29972</v>
      </c>
      <c r="F440">
        <v>4033</v>
      </c>
      <c r="G440" t="s">
        <v>13</v>
      </c>
    </row>
    <row r="441" spans="1:7" x14ac:dyDescent="0.3">
      <c r="A441">
        <v>440</v>
      </c>
      <c r="B441" s="4">
        <v>45408</v>
      </c>
      <c r="C441" t="s">
        <v>10</v>
      </c>
      <c r="D441" t="s">
        <v>11</v>
      </c>
      <c r="E441">
        <v>18810</v>
      </c>
      <c r="F441">
        <v>-337</v>
      </c>
      <c r="G441" t="s">
        <v>14</v>
      </c>
    </row>
    <row r="442" spans="1:7" x14ac:dyDescent="0.3">
      <c r="A442">
        <v>441</v>
      </c>
      <c r="B442" s="4">
        <v>45401</v>
      </c>
      <c r="C442" t="s">
        <v>12</v>
      </c>
      <c r="D442" t="s">
        <v>8</v>
      </c>
      <c r="E442">
        <v>29722</v>
      </c>
      <c r="F442">
        <v>6759</v>
      </c>
      <c r="G442" t="s">
        <v>14</v>
      </c>
    </row>
    <row r="443" spans="1:7" x14ac:dyDescent="0.3">
      <c r="A443">
        <v>442</v>
      </c>
      <c r="B443" s="4">
        <v>45650</v>
      </c>
      <c r="C443" t="s">
        <v>7</v>
      </c>
      <c r="D443" t="s">
        <v>8</v>
      </c>
      <c r="E443">
        <v>28317</v>
      </c>
      <c r="F443">
        <v>-1859</v>
      </c>
      <c r="G443" t="s">
        <v>14</v>
      </c>
    </row>
    <row r="444" spans="1:7" x14ac:dyDescent="0.3">
      <c r="A444">
        <v>443</v>
      </c>
      <c r="B444" s="4">
        <v>45520</v>
      </c>
      <c r="C444" t="s">
        <v>7</v>
      </c>
      <c r="D444" t="s">
        <v>8</v>
      </c>
      <c r="E444">
        <v>8306</v>
      </c>
      <c r="F444">
        <v>1452</v>
      </c>
      <c r="G444" t="s">
        <v>16</v>
      </c>
    </row>
    <row r="445" spans="1:7" x14ac:dyDescent="0.3">
      <c r="A445">
        <v>444</v>
      </c>
      <c r="B445" s="4">
        <v>45309</v>
      </c>
      <c r="C445" t="s">
        <v>17</v>
      </c>
      <c r="D445" t="s">
        <v>8</v>
      </c>
      <c r="E445">
        <v>16840</v>
      </c>
      <c r="F445">
        <v>3523</v>
      </c>
      <c r="G445" t="s">
        <v>13</v>
      </c>
    </row>
    <row r="446" spans="1:7" x14ac:dyDescent="0.3">
      <c r="A446">
        <v>445</v>
      </c>
      <c r="B446" s="4">
        <v>45332</v>
      </c>
      <c r="C446" t="s">
        <v>7</v>
      </c>
      <c r="D446" t="s">
        <v>11</v>
      </c>
      <c r="E446">
        <v>2961</v>
      </c>
      <c r="F446">
        <v>3928</v>
      </c>
      <c r="G446" t="s">
        <v>14</v>
      </c>
    </row>
    <row r="447" spans="1:7" x14ac:dyDescent="0.3">
      <c r="A447">
        <v>446</v>
      </c>
      <c r="B447" s="4">
        <v>45607</v>
      </c>
      <c r="C447" t="s">
        <v>17</v>
      </c>
      <c r="D447" t="s">
        <v>8</v>
      </c>
      <c r="E447">
        <v>41851</v>
      </c>
      <c r="F447">
        <v>4140</v>
      </c>
      <c r="G447" t="s">
        <v>9</v>
      </c>
    </row>
    <row r="448" spans="1:7" x14ac:dyDescent="0.3">
      <c r="A448">
        <v>447</v>
      </c>
      <c r="B448" s="4">
        <v>45466</v>
      </c>
      <c r="C448" t="s">
        <v>12</v>
      </c>
      <c r="D448" t="s">
        <v>8</v>
      </c>
      <c r="E448">
        <v>49122</v>
      </c>
      <c r="F448">
        <v>9333</v>
      </c>
      <c r="G448" t="s">
        <v>14</v>
      </c>
    </row>
    <row r="449" spans="1:7" x14ac:dyDescent="0.3">
      <c r="A449">
        <v>448</v>
      </c>
      <c r="B449" s="4">
        <v>45464</v>
      </c>
      <c r="C449" t="s">
        <v>17</v>
      </c>
      <c r="D449" t="s">
        <v>8</v>
      </c>
      <c r="E449">
        <v>2825</v>
      </c>
      <c r="F449">
        <v>9946</v>
      </c>
      <c r="G449" t="s">
        <v>13</v>
      </c>
    </row>
    <row r="450" spans="1:7" x14ac:dyDescent="0.3">
      <c r="A450">
        <v>449</v>
      </c>
      <c r="B450" s="4">
        <v>45645</v>
      </c>
      <c r="C450" t="s">
        <v>7</v>
      </c>
      <c r="D450" t="s">
        <v>11</v>
      </c>
      <c r="E450">
        <v>16358</v>
      </c>
      <c r="F450">
        <v>245</v>
      </c>
      <c r="G450" t="s">
        <v>13</v>
      </c>
    </row>
    <row r="451" spans="1:7" x14ac:dyDescent="0.3">
      <c r="A451">
        <v>450</v>
      </c>
      <c r="B451" s="4">
        <v>45625</v>
      </c>
      <c r="C451" t="s">
        <v>17</v>
      </c>
      <c r="D451" t="s">
        <v>8</v>
      </c>
      <c r="E451">
        <v>22087</v>
      </c>
      <c r="F451">
        <v>-1715</v>
      </c>
      <c r="G451" t="s">
        <v>16</v>
      </c>
    </row>
    <row r="452" spans="1:7" x14ac:dyDescent="0.3">
      <c r="A452">
        <v>451</v>
      </c>
      <c r="B452" s="4">
        <v>45433</v>
      </c>
      <c r="C452" t="s">
        <v>15</v>
      </c>
      <c r="D452" t="s">
        <v>11</v>
      </c>
      <c r="E452">
        <v>5217</v>
      </c>
      <c r="F452">
        <v>1171</v>
      </c>
      <c r="G452" t="s">
        <v>14</v>
      </c>
    </row>
    <row r="453" spans="1:7" x14ac:dyDescent="0.3">
      <c r="A453">
        <v>452</v>
      </c>
      <c r="B453" s="4">
        <v>45655</v>
      </c>
      <c r="C453" t="s">
        <v>7</v>
      </c>
      <c r="D453" t="s">
        <v>8</v>
      </c>
      <c r="E453">
        <v>48468</v>
      </c>
      <c r="F453">
        <v>6688</v>
      </c>
      <c r="G453" t="s">
        <v>9</v>
      </c>
    </row>
    <row r="454" spans="1:7" x14ac:dyDescent="0.3">
      <c r="A454">
        <v>453</v>
      </c>
      <c r="B454" s="4">
        <v>45295</v>
      </c>
      <c r="C454" t="s">
        <v>12</v>
      </c>
      <c r="D454" t="s">
        <v>11</v>
      </c>
      <c r="E454">
        <v>29929</v>
      </c>
      <c r="F454">
        <v>9883</v>
      </c>
      <c r="G454" t="s">
        <v>16</v>
      </c>
    </row>
    <row r="455" spans="1:7" x14ac:dyDescent="0.3">
      <c r="A455">
        <v>454</v>
      </c>
      <c r="B455" s="4">
        <v>45317</v>
      </c>
      <c r="C455" t="s">
        <v>15</v>
      </c>
      <c r="D455" t="s">
        <v>8</v>
      </c>
      <c r="E455">
        <v>19171</v>
      </c>
      <c r="F455">
        <v>5461</v>
      </c>
      <c r="G455" t="s">
        <v>9</v>
      </c>
    </row>
    <row r="456" spans="1:7" x14ac:dyDescent="0.3">
      <c r="A456">
        <v>455</v>
      </c>
      <c r="B456" s="4">
        <v>45312</v>
      </c>
      <c r="C456" t="s">
        <v>17</v>
      </c>
      <c r="D456" t="s">
        <v>8</v>
      </c>
      <c r="E456">
        <v>15312</v>
      </c>
      <c r="F456">
        <v>4938</v>
      </c>
      <c r="G456" t="s">
        <v>13</v>
      </c>
    </row>
    <row r="457" spans="1:7" x14ac:dyDescent="0.3">
      <c r="A457">
        <v>456</v>
      </c>
      <c r="B457" s="4">
        <v>45532</v>
      </c>
      <c r="C457" t="s">
        <v>15</v>
      </c>
      <c r="D457" t="s">
        <v>8</v>
      </c>
      <c r="E457">
        <v>1896</v>
      </c>
      <c r="F457">
        <v>2530</v>
      </c>
      <c r="G457" t="s">
        <v>16</v>
      </c>
    </row>
    <row r="458" spans="1:7" x14ac:dyDescent="0.3">
      <c r="A458">
        <v>457</v>
      </c>
      <c r="B458" s="4">
        <v>45576</v>
      </c>
      <c r="C458" t="s">
        <v>7</v>
      </c>
      <c r="D458" t="s">
        <v>11</v>
      </c>
      <c r="E458">
        <v>33379</v>
      </c>
      <c r="F458">
        <v>8439</v>
      </c>
      <c r="G458" t="s">
        <v>13</v>
      </c>
    </row>
    <row r="459" spans="1:7" x14ac:dyDescent="0.3">
      <c r="A459">
        <v>458</v>
      </c>
      <c r="B459" s="4">
        <v>45436</v>
      </c>
      <c r="C459" t="s">
        <v>10</v>
      </c>
      <c r="D459" t="s">
        <v>11</v>
      </c>
      <c r="E459">
        <v>47683</v>
      </c>
      <c r="F459">
        <v>5734</v>
      </c>
      <c r="G459" t="s">
        <v>13</v>
      </c>
    </row>
    <row r="460" spans="1:7" x14ac:dyDescent="0.3">
      <c r="A460">
        <v>459</v>
      </c>
      <c r="B460" s="4">
        <v>45473</v>
      </c>
      <c r="C460" t="s">
        <v>17</v>
      </c>
      <c r="D460" t="s">
        <v>8</v>
      </c>
      <c r="E460">
        <v>20921</v>
      </c>
      <c r="F460">
        <v>847</v>
      </c>
      <c r="G460" t="s">
        <v>16</v>
      </c>
    </row>
    <row r="461" spans="1:7" x14ac:dyDescent="0.3">
      <c r="A461">
        <v>460</v>
      </c>
      <c r="B461" s="4">
        <v>45331</v>
      </c>
      <c r="C461" t="s">
        <v>12</v>
      </c>
      <c r="D461" t="s">
        <v>11</v>
      </c>
      <c r="E461">
        <v>6476</v>
      </c>
      <c r="F461">
        <v>9511</v>
      </c>
      <c r="G461" t="s">
        <v>14</v>
      </c>
    </row>
    <row r="462" spans="1:7" x14ac:dyDescent="0.3">
      <c r="A462">
        <v>461</v>
      </c>
      <c r="B462" s="4">
        <v>45595</v>
      </c>
      <c r="C462" t="s">
        <v>15</v>
      </c>
      <c r="D462" t="s">
        <v>11</v>
      </c>
      <c r="E462">
        <v>40939</v>
      </c>
      <c r="F462">
        <v>3078</v>
      </c>
      <c r="G462" t="s">
        <v>13</v>
      </c>
    </row>
    <row r="463" spans="1:7" x14ac:dyDescent="0.3">
      <c r="A463">
        <v>462</v>
      </c>
      <c r="B463" s="4">
        <v>45388</v>
      </c>
      <c r="C463" t="s">
        <v>7</v>
      </c>
      <c r="D463" t="s">
        <v>8</v>
      </c>
      <c r="E463">
        <v>35411</v>
      </c>
      <c r="F463">
        <v>-277</v>
      </c>
      <c r="G463" t="s">
        <v>9</v>
      </c>
    </row>
    <row r="464" spans="1:7" x14ac:dyDescent="0.3">
      <c r="A464">
        <v>463</v>
      </c>
      <c r="B464" s="4">
        <v>45444</v>
      </c>
      <c r="C464" t="s">
        <v>15</v>
      </c>
      <c r="D464" t="s">
        <v>11</v>
      </c>
      <c r="E464">
        <v>11600</v>
      </c>
      <c r="F464">
        <v>376</v>
      </c>
      <c r="G464" t="s">
        <v>14</v>
      </c>
    </row>
    <row r="465" spans="1:7" x14ac:dyDescent="0.3">
      <c r="A465">
        <v>464</v>
      </c>
      <c r="B465" s="4">
        <v>45312</v>
      </c>
      <c r="C465" t="s">
        <v>10</v>
      </c>
      <c r="D465" t="s">
        <v>11</v>
      </c>
      <c r="E465">
        <v>33774</v>
      </c>
      <c r="F465">
        <v>7678</v>
      </c>
      <c r="G465" t="s">
        <v>9</v>
      </c>
    </row>
    <row r="466" spans="1:7" x14ac:dyDescent="0.3">
      <c r="A466">
        <v>465</v>
      </c>
      <c r="B466" s="4">
        <v>45389</v>
      </c>
      <c r="C466" t="s">
        <v>17</v>
      </c>
      <c r="D466" t="s">
        <v>11</v>
      </c>
      <c r="E466">
        <v>9410</v>
      </c>
      <c r="F466">
        <v>2400</v>
      </c>
      <c r="G466" t="s">
        <v>13</v>
      </c>
    </row>
    <row r="467" spans="1:7" x14ac:dyDescent="0.3">
      <c r="A467">
        <v>466</v>
      </c>
      <c r="B467" s="4">
        <v>45385</v>
      </c>
      <c r="C467" t="s">
        <v>12</v>
      </c>
      <c r="D467" t="s">
        <v>11</v>
      </c>
      <c r="E467">
        <v>4866</v>
      </c>
      <c r="F467">
        <v>-1952</v>
      </c>
      <c r="G467" t="s">
        <v>9</v>
      </c>
    </row>
    <row r="468" spans="1:7" x14ac:dyDescent="0.3">
      <c r="A468">
        <v>467</v>
      </c>
      <c r="B468" s="4">
        <v>45474</v>
      </c>
      <c r="C468" t="s">
        <v>7</v>
      </c>
      <c r="D468" t="s">
        <v>8</v>
      </c>
      <c r="E468">
        <v>37409</v>
      </c>
      <c r="F468">
        <v>4469</v>
      </c>
      <c r="G468" t="s">
        <v>13</v>
      </c>
    </row>
    <row r="469" spans="1:7" x14ac:dyDescent="0.3">
      <c r="A469">
        <v>468</v>
      </c>
      <c r="B469" s="4">
        <v>45315</v>
      </c>
      <c r="C469" t="s">
        <v>10</v>
      </c>
      <c r="D469" t="s">
        <v>11</v>
      </c>
      <c r="E469">
        <v>20029</v>
      </c>
      <c r="F469">
        <v>8696</v>
      </c>
      <c r="G469" t="s">
        <v>13</v>
      </c>
    </row>
    <row r="470" spans="1:7" x14ac:dyDescent="0.3">
      <c r="A470">
        <v>469</v>
      </c>
      <c r="B470" s="4">
        <v>45403</v>
      </c>
      <c r="C470" t="s">
        <v>12</v>
      </c>
      <c r="D470" t="s">
        <v>8</v>
      </c>
      <c r="E470">
        <v>19742</v>
      </c>
      <c r="F470">
        <v>1727</v>
      </c>
      <c r="G470" t="s">
        <v>14</v>
      </c>
    </row>
    <row r="471" spans="1:7" x14ac:dyDescent="0.3">
      <c r="A471">
        <v>470</v>
      </c>
      <c r="B471" s="4">
        <v>45641</v>
      </c>
      <c r="C471" t="s">
        <v>17</v>
      </c>
      <c r="D471" t="s">
        <v>11</v>
      </c>
      <c r="E471">
        <v>29389</v>
      </c>
      <c r="F471">
        <v>3448</v>
      </c>
      <c r="G471" t="s">
        <v>13</v>
      </c>
    </row>
    <row r="472" spans="1:7" x14ac:dyDescent="0.3">
      <c r="A472">
        <v>471</v>
      </c>
      <c r="B472" s="4">
        <v>45641</v>
      </c>
      <c r="C472" t="s">
        <v>17</v>
      </c>
      <c r="D472" t="s">
        <v>8</v>
      </c>
      <c r="E472">
        <v>44912</v>
      </c>
      <c r="F472">
        <v>6283</v>
      </c>
      <c r="G472" t="s">
        <v>9</v>
      </c>
    </row>
    <row r="473" spans="1:7" x14ac:dyDescent="0.3">
      <c r="A473">
        <v>472</v>
      </c>
      <c r="B473" s="4">
        <v>45359</v>
      </c>
      <c r="C473" t="s">
        <v>7</v>
      </c>
      <c r="D473" t="s">
        <v>8</v>
      </c>
      <c r="E473">
        <v>21077</v>
      </c>
      <c r="F473">
        <v>7248</v>
      </c>
      <c r="G473" t="s">
        <v>9</v>
      </c>
    </row>
    <row r="474" spans="1:7" x14ac:dyDescent="0.3">
      <c r="A474">
        <v>473</v>
      </c>
      <c r="B474" s="4">
        <v>45543</v>
      </c>
      <c r="C474" t="s">
        <v>12</v>
      </c>
      <c r="D474" t="s">
        <v>8</v>
      </c>
      <c r="E474">
        <v>35713</v>
      </c>
      <c r="F474">
        <v>125</v>
      </c>
      <c r="G474" t="s">
        <v>16</v>
      </c>
    </row>
    <row r="475" spans="1:7" x14ac:dyDescent="0.3">
      <c r="A475">
        <v>474</v>
      </c>
      <c r="B475" s="4">
        <v>45488</v>
      </c>
      <c r="C475" t="s">
        <v>17</v>
      </c>
      <c r="D475" t="s">
        <v>8</v>
      </c>
      <c r="E475">
        <v>2117</v>
      </c>
      <c r="F475">
        <v>-524</v>
      </c>
      <c r="G475" t="s">
        <v>9</v>
      </c>
    </row>
    <row r="476" spans="1:7" x14ac:dyDescent="0.3">
      <c r="A476">
        <v>475</v>
      </c>
      <c r="B476" s="4">
        <v>45418</v>
      </c>
      <c r="C476" t="s">
        <v>7</v>
      </c>
      <c r="D476" t="s">
        <v>8</v>
      </c>
      <c r="E476">
        <v>35095</v>
      </c>
      <c r="F476">
        <v>-138</v>
      </c>
      <c r="G476" t="s">
        <v>9</v>
      </c>
    </row>
    <row r="477" spans="1:7" x14ac:dyDescent="0.3">
      <c r="A477">
        <v>476</v>
      </c>
      <c r="B477" s="4">
        <v>45598</v>
      </c>
      <c r="C477" t="s">
        <v>12</v>
      </c>
      <c r="D477" t="s">
        <v>8</v>
      </c>
      <c r="E477">
        <v>31113</v>
      </c>
      <c r="F477">
        <v>6991</v>
      </c>
      <c r="G477" t="s">
        <v>16</v>
      </c>
    </row>
    <row r="478" spans="1:7" x14ac:dyDescent="0.3">
      <c r="A478">
        <v>477</v>
      </c>
      <c r="B478" s="4">
        <v>45455</v>
      </c>
      <c r="C478" t="s">
        <v>12</v>
      </c>
      <c r="D478" t="s">
        <v>8</v>
      </c>
      <c r="E478">
        <v>33592</v>
      </c>
      <c r="F478">
        <v>7675</v>
      </c>
      <c r="G478" t="s">
        <v>13</v>
      </c>
    </row>
    <row r="479" spans="1:7" x14ac:dyDescent="0.3">
      <c r="A479">
        <v>478</v>
      </c>
      <c r="B479" s="4">
        <v>45522</v>
      </c>
      <c r="C479" t="s">
        <v>15</v>
      </c>
      <c r="D479" t="s">
        <v>8</v>
      </c>
      <c r="E479">
        <v>30209</v>
      </c>
      <c r="F479">
        <v>7794</v>
      </c>
      <c r="G479" t="s">
        <v>14</v>
      </c>
    </row>
    <row r="480" spans="1:7" x14ac:dyDescent="0.3">
      <c r="A480">
        <v>479</v>
      </c>
      <c r="B480" s="4">
        <v>45458</v>
      </c>
      <c r="C480" t="s">
        <v>7</v>
      </c>
      <c r="D480" t="s">
        <v>11</v>
      </c>
      <c r="E480">
        <v>25012</v>
      </c>
      <c r="F480">
        <v>2196</v>
      </c>
      <c r="G480" t="s">
        <v>14</v>
      </c>
    </row>
    <row r="481" spans="1:7" x14ac:dyDescent="0.3">
      <c r="A481">
        <v>480</v>
      </c>
      <c r="B481" s="4">
        <v>45440</v>
      </c>
      <c r="C481" t="s">
        <v>15</v>
      </c>
      <c r="D481" t="s">
        <v>8</v>
      </c>
      <c r="E481">
        <v>43335</v>
      </c>
      <c r="F481">
        <v>-562</v>
      </c>
      <c r="G481" t="s">
        <v>14</v>
      </c>
    </row>
    <row r="482" spans="1:7" x14ac:dyDescent="0.3">
      <c r="A482">
        <v>481</v>
      </c>
      <c r="B482" s="4">
        <v>45298</v>
      </c>
      <c r="C482" t="s">
        <v>10</v>
      </c>
      <c r="D482" t="s">
        <v>11</v>
      </c>
      <c r="E482">
        <v>26729</v>
      </c>
      <c r="F482">
        <v>6735</v>
      </c>
      <c r="G482" t="s">
        <v>16</v>
      </c>
    </row>
    <row r="483" spans="1:7" x14ac:dyDescent="0.3">
      <c r="A483">
        <v>482</v>
      </c>
      <c r="B483" s="4">
        <v>45651</v>
      </c>
      <c r="C483" t="s">
        <v>15</v>
      </c>
      <c r="D483" t="s">
        <v>8</v>
      </c>
      <c r="E483">
        <v>42489</v>
      </c>
      <c r="F483">
        <v>7913</v>
      </c>
      <c r="G483" t="s">
        <v>14</v>
      </c>
    </row>
    <row r="484" spans="1:7" x14ac:dyDescent="0.3">
      <c r="A484">
        <v>483</v>
      </c>
      <c r="B484" s="4">
        <v>45444</v>
      </c>
      <c r="C484" t="s">
        <v>17</v>
      </c>
      <c r="D484" t="s">
        <v>11</v>
      </c>
      <c r="E484">
        <v>10344</v>
      </c>
      <c r="F484">
        <v>2723</v>
      </c>
      <c r="G484" t="s">
        <v>16</v>
      </c>
    </row>
    <row r="485" spans="1:7" x14ac:dyDescent="0.3">
      <c r="A485">
        <v>484</v>
      </c>
      <c r="B485" s="4">
        <v>45555</v>
      </c>
      <c r="C485" t="s">
        <v>10</v>
      </c>
      <c r="D485" t="s">
        <v>8</v>
      </c>
      <c r="E485">
        <v>25835</v>
      </c>
      <c r="F485">
        <v>5900</v>
      </c>
      <c r="G485" t="s">
        <v>14</v>
      </c>
    </row>
    <row r="486" spans="1:7" x14ac:dyDescent="0.3">
      <c r="A486">
        <v>485</v>
      </c>
      <c r="B486" s="4">
        <v>45581</v>
      </c>
      <c r="C486" t="s">
        <v>7</v>
      </c>
      <c r="D486" t="s">
        <v>11</v>
      </c>
      <c r="E486">
        <v>2537</v>
      </c>
      <c r="F486">
        <v>7508</v>
      </c>
      <c r="G486" t="s">
        <v>16</v>
      </c>
    </row>
    <row r="487" spans="1:7" x14ac:dyDescent="0.3">
      <c r="A487">
        <v>486</v>
      </c>
      <c r="B487" s="4">
        <v>45560</v>
      </c>
      <c r="C487" t="s">
        <v>10</v>
      </c>
      <c r="D487" t="s">
        <v>8</v>
      </c>
      <c r="E487">
        <v>5587</v>
      </c>
      <c r="F487">
        <v>8852</v>
      </c>
      <c r="G487" t="s">
        <v>13</v>
      </c>
    </row>
    <row r="488" spans="1:7" x14ac:dyDescent="0.3">
      <c r="A488">
        <v>487</v>
      </c>
      <c r="B488" s="4">
        <v>45450</v>
      </c>
      <c r="C488" t="s">
        <v>17</v>
      </c>
      <c r="D488" t="s">
        <v>11</v>
      </c>
      <c r="E488">
        <v>10879</v>
      </c>
      <c r="F488">
        <v>982</v>
      </c>
      <c r="G488" t="s">
        <v>14</v>
      </c>
    </row>
    <row r="489" spans="1:7" x14ac:dyDescent="0.3">
      <c r="A489">
        <v>488</v>
      </c>
      <c r="B489" s="4">
        <v>45549</v>
      </c>
      <c r="C489" t="s">
        <v>15</v>
      </c>
      <c r="D489" t="s">
        <v>11</v>
      </c>
      <c r="E489">
        <v>5439</v>
      </c>
      <c r="F489">
        <v>2915</v>
      </c>
      <c r="G489" t="s">
        <v>16</v>
      </c>
    </row>
    <row r="490" spans="1:7" x14ac:dyDescent="0.3">
      <c r="A490">
        <v>489</v>
      </c>
      <c r="B490" s="4">
        <v>45308</v>
      </c>
      <c r="C490" t="s">
        <v>12</v>
      </c>
      <c r="D490" t="s">
        <v>11</v>
      </c>
      <c r="E490">
        <v>10891</v>
      </c>
      <c r="F490">
        <v>7407</v>
      </c>
      <c r="G490" t="s">
        <v>13</v>
      </c>
    </row>
    <row r="491" spans="1:7" x14ac:dyDescent="0.3">
      <c r="A491">
        <v>490</v>
      </c>
      <c r="B491" s="4">
        <v>45305</v>
      </c>
      <c r="C491" t="s">
        <v>17</v>
      </c>
      <c r="D491" t="s">
        <v>11</v>
      </c>
      <c r="E491">
        <v>28459</v>
      </c>
      <c r="F491">
        <v>8391</v>
      </c>
      <c r="G491" t="s">
        <v>9</v>
      </c>
    </row>
    <row r="492" spans="1:7" x14ac:dyDescent="0.3">
      <c r="A492">
        <v>491</v>
      </c>
      <c r="B492" s="4">
        <v>45524</v>
      </c>
      <c r="C492" t="s">
        <v>17</v>
      </c>
      <c r="D492" t="s">
        <v>8</v>
      </c>
      <c r="E492">
        <v>18124</v>
      </c>
      <c r="F492">
        <v>9566</v>
      </c>
      <c r="G492" t="s">
        <v>14</v>
      </c>
    </row>
    <row r="493" spans="1:7" x14ac:dyDescent="0.3">
      <c r="A493">
        <v>492</v>
      </c>
      <c r="B493" s="4">
        <v>45359</v>
      </c>
      <c r="C493" t="s">
        <v>10</v>
      </c>
      <c r="D493" t="s">
        <v>8</v>
      </c>
      <c r="E493">
        <v>19270</v>
      </c>
      <c r="F493">
        <v>5147</v>
      </c>
      <c r="G493" t="s">
        <v>16</v>
      </c>
    </row>
    <row r="494" spans="1:7" x14ac:dyDescent="0.3">
      <c r="A494">
        <v>493</v>
      </c>
      <c r="B494" s="4">
        <v>45578</v>
      </c>
      <c r="C494" t="s">
        <v>7</v>
      </c>
      <c r="D494" t="s">
        <v>11</v>
      </c>
      <c r="E494">
        <v>39913</v>
      </c>
      <c r="F494">
        <v>8688</v>
      </c>
      <c r="G494" t="s">
        <v>14</v>
      </c>
    </row>
    <row r="495" spans="1:7" x14ac:dyDescent="0.3">
      <c r="A495">
        <v>494</v>
      </c>
      <c r="B495" s="4">
        <v>45539</v>
      </c>
      <c r="C495" t="s">
        <v>7</v>
      </c>
      <c r="D495" t="s">
        <v>8</v>
      </c>
      <c r="E495">
        <v>40420</v>
      </c>
      <c r="F495">
        <v>1015</v>
      </c>
      <c r="G495" t="s">
        <v>9</v>
      </c>
    </row>
    <row r="496" spans="1:7" x14ac:dyDescent="0.3">
      <c r="A496">
        <v>495</v>
      </c>
      <c r="B496" s="4">
        <v>45373</v>
      </c>
      <c r="C496" t="s">
        <v>7</v>
      </c>
      <c r="D496" t="s">
        <v>8</v>
      </c>
      <c r="E496">
        <v>15734</v>
      </c>
      <c r="F496">
        <v>-342</v>
      </c>
      <c r="G496" t="s">
        <v>16</v>
      </c>
    </row>
    <row r="497" spans="1:7" x14ac:dyDescent="0.3">
      <c r="A497">
        <v>496</v>
      </c>
      <c r="B497" s="4">
        <v>45544</v>
      </c>
      <c r="C497" t="s">
        <v>15</v>
      </c>
      <c r="D497" t="s">
        <v>11</v>
      </c>
      <c r="E497">
        <v>20471</v>
      </c>
      <c r="F497">
        <v>-729</v>
      </c>
      <c r="G497" t="s">
        <v>13</v>
      </c>
    </row>
    <row r="498" spans="1:7" x14ac:dyDescent="0.3">
      <c r="A498">
        <v>497</v>
      </c>
      <c r="B498" s="4">
        <v>45515</v>
      </c>
      <c r="C498" t="s">
        <v>12</v>
      </c>
      <c r="D498" t="s">
        <v>8</v>
      </c>
      <c r="E498">
        <v>24061</v>
      </c>
      <c r="F498">
        <v>3617</v>
      </c>
      <c r="G498" t="s">
        <v>13</v>
      </c>
    </row>
    <row r="499" spans="1:7" x14ac:dyDescent="0.3">
      <c r="A499">
        <v>498</v>
      </c>
      <c r="B499" s="4">
        <v>45502</v>
      </c>
      <c r="C499" t="s">
        <v>15</v>
      </c>
      <c r="D499" t="s">
        <v>8</v>
      </c>
      <c r="E499">
        <v>13668</v>
      </c>
      <c r="F499">
        <v>3295</v>
      </c>
      <c r="G499" t="s">
        <v>13</v>
      </c>
    </row>
    <row r="500" spans="1:7" x14ac:dyDescent="0.3">
      <c r="A500">
        <v>499</v>
      </c>
      <c r="B500" s="4">
        <v>45376</v>
      </c>
      <c r="C500" t="s">
        <v>7</v>
      </c>
      <c r="D500" t="s">
        <v>8</v>
      </c>
      <c r="E500">
        <v>7546</v>
      </c>
      <c r="F500">
        <v>3418</v>
      </c>
      <c r="G500" t="s">
        <v>14</v>
      </c>
    </row>
    <row r="501" spans="1:7" x14ac:dyDescent="0.3">
      <c r="A501">
        <v>500</v>
      </c>
      <c r="B501" s="4">
        <v>45418</v>
      </c>
      <c r="C501" t="s">
        <v>7</v>
      </c>
      <c r="D501" t="s">
        <v>11</v>
      </c>
      <c r="E501">
        <v>8674</v>
      </c>
      <c r="F501">
        <v>-1323</v>
      </c>
      <c r="G501" t="s">
        <v>16</v>
      </c>
    </row>
    <row r="502" spans="1:7" x14ac:dyDescent="0.3">
      <c r="A502">
        <v>501</v>
      </c>
      <c r="B502" s="4">
        <v>45365</v>
      </c>
      <c r="C502" t="s">
        <v>12</v>
      </c>
      <c r="D502" t="s">
        <v>11</v>
      </c>
      <c r="E502">
        <v>9768</v>
      </c>
      <c r="F502">
        <v>3146</v>
      </c>
      <c r="G502" t="s">
        <v>9</v>
      </c>
    </row>
    <row r="503" spans="1:7" x14ac:dyDescent="0.3">
      <c r="A503">
        <v>502</v>
      </c>
      <c r="B503" s="4">
        <v>45469</v>
      </c>
      <c r="C503" t="s">
        <v>17</v>
      </c>
      <c r="D503" t="s">
        <v>11</v>
      </c>
      <c r="E503">
        <v>36705</v>
      </c>
      <c r="F503">
        <v>6998</v>
      </c>
      <c r="G503" t="s">
        <v>14</v>
      </c>
    </row>
    <row r="504" spans="1:7" x14ac:dyDescent="0.3">
      <c r="A504">
        <v>503</v>
      </c>
      <c r="B504" s="4">
        <v>45602</v>
      </c>
      <c r="C504" t="s">
        <v>10</v>
      </c>
      <c r="D504" t="s">
        <v>8</v>
      </c>
      <c r="E504">
        <v>13347</v>
      </c>
      <c r="F504">
        <v>8670</v>
      </c>
      <c r="G504" t="s">
        <v>9</v>
      </c>
    </row>
    <row r="505" spans="1:7" x14ac:dyDescent="0.3">
      <c r="A505">
        <v>504</v>
      </c>
      <c r="B505" s="4">
        <v>45532</v>
      </c>
      <c r="C505" t="s">
        <v>7</v>
      </c>
      <c r="D505" t="s">
        <v>8</v>
      </c>
      <c r="E505">
        <v>1355</v>
      </c>
      <c r="F505">
        <v>9469</v>
      </c>
      <c r="G505" t="s">
        <v>13</v>
      </c>
    </row>
    <row r="506" spans="1:7" x14ac:dyDescent="0.3">
      <c r="A506">
        <v>505</v>
      </c>
      <c r="B506" s="4">
        <v>45589</v>
      </c>
      <c r="C506" t="s">
        <v>12</v>
      </c>
      <c r="D506" t="s">
        <v>11</v>
      </c>
      <c r="E506">
        <v>47104</v>
      </c>
      <c r="F506">
        <v>7548</v>
      </c>
      <c r="G506" t="s">
        <v>9</v>
      </c>
    </row>
    <row r="507" spans="1:7" x14ac:dyDescent="0.3">
      <c r="A507">
        <v>506</v>
      </c>
      <c r="B507" s="4">
        <v>45630</v>
      </c>
      <c r="C507" t="s">
        <v>12</v>
      </c>
      <c r="D507" t="s">
        <v>11</v>
      </c>
      <c r="E507">
        <v>43917</v>
      </c>
      <c r="F507">
        <v>9914</v>
      </c>
      <c r="G507" t="s">
        <v>14</v>
      </c>
    </row>
    <row r="508" spans="1:7" x14ac:dyDescent="0.3">
      <c r="A508">
        <v>507</v>
      </c>
      <c r="B508" s="4">
        <v>45575</v>
      </c>
      <c r="C508" t="s">
        <v>15</v>
      </c>
      <c r="D508" t="s">
        <v>8</v>
      </c>
      <c r="E508">
        <v>31044</v>
      </c>
      <c r="F508">
        <v>7192</v>
      </c>
      <c r="G508" t="s">
        <v>13</v>
      </c>
    </row>
    <row r="509" spans="1:7" x14ac:dyDescent="0.3">
      <c r="A509">
        <v>508</v>
      </c>
      <c r="B509" s="4">
        <v>45492</v>
      </c>
      <c r="C509" t="s">
        <v>15</v>
      </c>
      <c r="D509" t="s">
        <v>11</v>
      </c>
      <c r="E509">
        <v>1782</v>
      </c>
      <c r="F509">
        <v>4995</v>
      </c>
      <c r="G509" t="s">
        <v>9</v>
      </c>
    </row>
    <row r="510" spans="1:7" x14ac:dyDescent="0.3">
      <c r="A510">
        <v>509</v>
      </c>
      <c r="B510" s="4">
        <v>45294</v>
      </c>
      <c r="C510" t="s">
        <v>17</v>
      </c>
      <c r="D510" t="s">
        <v>11</v>
      </c>
      <c r="E510">
        <v>17218</v>
      </c>
      <c r="F510">
        <v>3827</v>
      </c>
      <c r="G510" t="s">
        <v>9</v>
      </c>
    </row>
    <row r="511" spans="1:7" x14ac:dyDescent="0.3">
      <c r="A511">
        <v>510</v>
      </c>
      <c r="B511" s="4">
        <v>45549</v>
      </c>
      <c r="C511" t="s">
        <v>10</v>
      </c>
      <c r="D511" t="s">
        <v>8</v>
      </c>
      <c r="E511">
        <v>5366</v>
      </c>
      <c r="F511">
        <v>3551</v>
      </c>
      <c r="G511" t="s">
        <v>16</v>
      </c>
    </row>
    <row r="512" spans="1:7" x14ac:dyDescent="0.3">
      <c r="A512">
        <v>511</v>
      </c>
      <c r="B512" s="4">
        <v>45499</v>
      </c>
      <c r="C512" t="s">
        <v>7</v>
      </c>
      <c r="D512" t="s">
        <v>11</v>
      </c>
      <c r="E512">
        <v>27035</v>
      </c>
      <c r="F512">
        <v>176</v>
      </c>
      <c r="G512" t="s">
        <v>9</v>
      </c>
    </row>
    <row r="513" spans="1:7" x14ac:dyDescent="0.3">
      <c r="A513">
        <v>512</v>
      </c>
      <c r="B513" s="4">
        <v>45555</v>
      </c>
      <c r="C513" t="s">
        <v>12</v>
      </c>
      <c r="D513" t="s">
        <v>8</v>
      </c>
      <c r="E513">
        <v>10373</v>
      </c>
      <c r="F513">
        <v>9164</v>
      </c>
      <c r="G513" t="s">
        <v>14</v>
      </c>
    </row>
    <row r="514" spans="1:7" x14ac:dyDescent="0.3">
      <c r="A514">
        <v>513</v>
      </c>
      <c r="B514" s="4">
        <v>45650</v>
      </c>
      <c r="C514" t="s">
        <v>15</v>
      </c>
      <c r="D514" t="s">
        <v>8</v>
      </c>
      <c r="E514">
        <v>26178</v>
      </c>
      <c r="F514">
        <v>-401</v>
      </c>
      <c r="G514" t="s">
        <v>14</v>
      </c>
    </row>
    <row r="515" spans="1:7" x14ac:dyDescent="0.3">
      <c r="A515">
        <v>514</v>
      </c>
      <c r="B515" s="4">
        <v>45410</v>
      </c>
      <c r="C515" t="s">
        <v>15</v>
      </c>
      <c r="D515" t="s">
        <v>11</v>
      </c>
      <c r="E515">
        <v>20757</v>
      </c>
      <c r="F515">
        <v>4935</v>
      </c>
      <c r="G515" t="s">
        <v>13</v>
      </c>
    </row>
    <row r="516" spans="1:7" x14ac:dyDescent="0.3">
      <c r="A516">
        <v>515</v>
      </c>
      <c r="B516" s="4">
        <v>45572</v>
      </c>
      <c r="C516" t="s">
        <v>12</v>
      </c>
      <c r="D516" t="s">
        <v>11</v>
      </c>
      <c r="E516">
        <v>11264</v>
      </c>
      <c r="F516">
        <v>2304</v>
      </c>
      <c r="G516" t="s">
        <v>13</v>
      </c>
    </row>
    <row r="517" spans="1:7" x14ac:dyDescent="0.3">
      <c r="A517">
        <v>516</v>
      </c>
      <c r="B517" s="4">
        <v>45458</v>
      </c>
      <c r="C517" t="s">
        <v>7</v>
      </c>
      <c r="D517" t="s">
        <v>11</v>
      </c>
      <c r="E517">
        <v>14657</v>
      </c>
      <c r="F517">
        <v>555</v>
      </c>
      <c r="G517" t="s">
        <v>14</v>
      </c>
    </row>
    <row r="518" spans="1:7" x14ac:dyDescent="0.3">
      <c r="A518">
        <v>517</v>
      </c>
      <c r="B518" s="4">
        <v>45588</v>
      </c>
      <c r="C518" t="s">
        <v>12</v>
      </c>
      <c r="D518" t="s">
        <v>11</v>
      </c>
      <c r="E518">
        <v>18073</v>
      </c>
      <c r="F518">
        <v>8431</v>
      </c>
      <c r="G518" t="s">
        <v>9</v>
      </c>
    </row>
    <row r="519" spans="1:7" x14ac:dyDescent="0.3">
      <c r="A519">
        <v>518</v>
      </c>
      <c r="B519" s="4">
        <v>45363</v>
      </c>
      <c r="C519" t="s">
        <v>7</v>
      </c>
      <c r="D519" t="s">
        <v>11</v>
      </c>
      <c r="E519">
        <v>48196</v>
      </c>
      <c r="F519">
        <v>4381</v>
      </c>
      <c r="G519" t="s">
        <v>14</v>
      </c>
    </row>
    <row r="520" spans="1:7" x14ac:dyDescent="0.3">
      <c r="A520">
        <v>519</v>
      </c>
      <c r="B520" s="4">
        <v>45629</v>
      </c>
      <c r="C520" t="s">
        <v>17</v>
      </c>
      <c r="D520" t="s">
        <v>11</v>
      </c>
      <c r="E520">
        <v>36760</v>
      </c>
      <c r="F520">
        <v>4217</v>
      </c>
      <c r="G520" t="s">
        <v>9</v>
      </c>
    </row>
    <row r="521" spans="1:7" x14ac:dyDescent="0.3">
      <c r="A521">
        <v>520</v>
      </c>
      <c r="B521" s="4">
        <v>45641</v>
      </c>
      <c r="C521" t="s">
        <v>15</v>
      </c>
      <c r="D521" t="s">
        <v>8</v>
      </c>
      <c r="E521">
        <v>47974</v>
      </c>
      <c r="F521">
        <v>-1420</v>
      </c>
      <c r="G521" t="s">
        <v>9</v>
      </c>
    </row>
    <row r="522" spans="1:7" x14ac:dyDescent="0.3">
      <c r="A522">
        <v>521</v>
      </c>
      <c r="B522" s="4">
        <v>45459</v>
      </c>
      <c r="C522" t="s">
        <v>10</v>
      </c>
      <c r="D522" t="s">
        <v>11</v>
      </c>
      <c r="E522">
        <v>33163</v>
      </c>
      <c r="F522">
        <v>9453</v>
      </c>
      <c r="G522" t="s">
        <v>9</v>
      </c>
    </row>
    <row r="523" spans="1:7" x14ac:dyDescent="0.3">
      <c r="A523">
        <v>522</v>
      </c>
      <c r="B523" s="4">
        <v>45428</v>
      </c>
      <c r="C523" t="s">
        <v>10</v>
      </c>
      <c r="D523" t="s">
        <v>11</v>
      </c>
      <c r="E523">
        <v>46155</v>
      </c>
      <c r="F523">
        <v>2066</v>
      </c>
      <c r="G523" t="s">
        <v>13</v>
      </c>
    </row>
    <row r="524" spans="1:7" x14ac:dyDescent="0.3">
      <c r="A524">
        <v>523</v>
      </c>
      <c r="B524" s="4">
        <v>45468</v>
      </c>
      <c r="C524" t="s">
        <v>10</v>
      </c>
      <c r="D524" t="s">
        <v>8</v>
      </c>
      <c r="E524">
        <v>32254</v>
      </c>
      <c r="F524">
        <v>3141</v>
      </c>
      <c r="G524" t="s">
        <v>9</v>
      </c>
    </row>
    <row r="525" spans="1:7" x14ac:dyDescent="0.3">
      <c r="A525">
        <v>524</v>
      </c>
      <c r="B525" s="4">
        <v>45580</v>
      </c>
      <c r="C525" t="s">
        <v>7</v>
      </c>
      <c r="D525" t="s">
        <v>11</v>
      </c>
      <c r="E525">
        <v>2371</v>
      </c>
      <c r="F525">
        <v>-4</v>
      </c>
      <c r="G525" t="s">
        <v>16</v>
      </c>
    </row>
    <row r="526" spans="1:7" x14ac:dyDescent="0.3">
      <c r="A526">
        <v>525</v>
      </c>
      <c r="B526" s="4">
        <v>45297</v>
      </c>
      <c r="C526" t="s">
        <v>10</v>
      </c>
      <c r="D526" t="s">
        <v>8</v>
      </c>
      <c r="E526">
        <v>41490</v>
      </c>
      <c r="F526">
        <v>8048</v>
      </c>
      <c r="G526" t="s">
        <v>13</v>
      </c>
    </row>
    <row r="527" spans="1:7" x14ac:dyDescent="0.3">
      <c r="A527">
        <v>526</v>
      </c>
      <c r="B527" s="4">
        <v>45647</v>
      </c>
      <c r="C527" t="s">
        <v>17</v>
      </c>
      <c r="D527" t="s">
        <v>8</v>
      </c>
      <c r="E527">
        <v>33810</v>
      </c>
      <c r="F527">
        <v>3763</v>
      </c>
      <c r="G527" t="s">
        <v>14</v>
      </c>
    </row>
    <row r="528" spans="1:7" x14ac:dyDescent="0.3">
      <c r="A528">
        <v>527</v>
      </c>
      <c r="B528" s="4">
        <v>45434</v>
      </c>
      <c r="C528" t="s">
        <v>10</v>
      </c>
      <c r="D528" t="s">
        <v>8</v>
      </c>
      <c r="E528">
        <v>14169</v>
      </c>
      <c r="F528">
        <v>6253</v>
      </c>
      <c r="G528" t="s">
        <v>14</v>
      </c>
    </row>
    <row r="529" spans="1:7" x14ac:dyDescent="0.3">
      <c r="A529">
        <v>528</v>
      </c>
      <c r="B529" s="4">
        <v>45482</v>
      </c>
      <c r="C529" t="s">
        <v>12</v>
      </c>
      <c r="D529" t="s">
        <v>11</v>
      </c>
      <c r="E529">
        <v>11536</v>
      </c>
      <c r="F529">
        <v>2696</v>
      </c>
      <c r="G529" t="s">
        <v>9</v>
      </c>
    </row>
    <row r="530" spans="1:7" x14ac:dyDescent="0.3">
      <c r="A530">
        <v>529</v>
      </c>
      <c r="B530" s="4">
        <v>45636</v>
      </c>
      <c r="C530" t="s">
        <v>15</v>
      </c>
      <c r="D530" t="s">
        <v>11</v>
      </c>
      <c r="E530">
        <v>43504</v>
      </c>
      <c r="F530">
        <v>4016</v>
      </c>
      <c r="G530" t="s">
        <v>14</v>
      </c>
    </row>
    <row r="531" spans="1:7" x14ac:dyDescent="0.3">
      <c r="A531">
        <v>530</v>
      </c>
      <c r="B531" s="4">
        <v>45404</v>
      </c>
      <c r="C531" t="s">
        <v>7</v>
      </c>
      <c r="D531" t="s">
        <v>8</v>
      </c>
      <c r="E531">
        <v>2448</v>
      </c>
      <c r="F531">
        <v>8277</v>
      </c>
      <c r="G531" t="s">
        <v>16</v>
      </c>
    </row>
    <row r="532" spans="1:7" x14ac:dyDescent="0.3">
      <c r="A532">
        <v>531</v>
      </c>
      <c r="B532" s="4">
        <v>45429</v>
      </c>
      <c r="C532" t="s">
        <v>12</v>
      </c>
      <c r="D532" t="s">
        <v>11</v>
      </c>
      <c r="E532">
        <v>27451</v>
      </c>
      <c r="F532">
        <v>6750</v>
      </c>
      <c r="G532" t="s">
        <v>13</v>
      </c>
    </row>
    <row r="533" spans="1:7" x14ac:dyDescent="0.3">
      <c r="A533">
        <v>532</v>
      </c>
      <c r="B533" s="4">
        <v>45601</v>
      </c>
      <c r="C533" t="s">
        <v>15</v>
      </c>
      <c r="D533" t="s">
        <v>8</v>
      </c>
      <c r="E533">
        <v>3791</v>
      </c>
      <c r="F533">
        <v>7695</v>
      </c>
      <c r="G533" t="s">
        <v>9</v>
      </c>
    </row>
    <row r="534" spans="1:7" x14ac:dyDescent="0.3">
      <c r="A534">
        <v>533</v>
      </c>
      <c r="B534" s="4">
        <v>45342</v>
      </c>
      <c r="C534" t="s">
        <v>15</v>
      </c>
      <c r="D534" t="s">
        <v>8</v>
      </c>
      <c r="E534">
        <v>14209</v>
      </c>
      <c r="F534">
        <v>5787</v>
      </c>
      <c r="G534" t="s">
        <v>13</v>
      </c>
    </row>
    <row r="535" spans="1:7" x14ac:dyDescent="0.3">
      <c r="A535">
        <v>534</v>
      </c>
      <c r="B535" s="4">
        <v>45521</v>
      </c>
      <c r="C535" t="s">
        <v>7</v>
      </c>
      <c r="D535" t="s">
        <v>11</v>
      </c>
      <c r="E535">
        <v>18929</v>
      </c>
      <c r="F535">
        <v>61</v>
      </c>
      <c r="G535" t="s">
        <v>14</v>
      </c>
    </row>
    <row r="536" spans="1:7" x14ac:dyDescent="0.3">
      <c r="A536">
        <v>535</v>
      </c>
      <c r="B536" s="4">
        <v>45604</v>
      </c>
      <c r="C536" t="s">
        <v>7</v>
      </c>
      <c r="D536" t="s">
        <v>8</v>
      </c>
      <c r="E536">
        <v>20590</v>
      </c>
      <c r="F536">
        <v>2631</v>
      </c>
      <c r="G536" t="s">
        <v>9</v>
      </c>
    </row>
    <row r="537" spans="1:7" x14ac:dyDescent="0.3">
      <c r="A537">
        <v>536</v>
      </c>
      <c r="B537" s="4">
        <v>45351</v>
      </c>
      <c r="C537" t="s">
        <v>7</v>
      </c>
      <c r="D537" t="s">
        <v>11</v>
      </c>
      <c r="E537">
        <v>6503</v>
      </c>
      <c r="F537">
        <v>4828</v>
      </c>
      <c r="G537" t="s">
        <v>13</v>
      </c>
    </row>
    <row r="538" spans="1:7" x14ac:dyDescent="0.3">
      <c r="A538">
        <v>537</v>
      </c>
      <c r="B538" s="4">
        <v>45539</v>
      </c>
      <c r="C538" t="s">
        <v>17</v>
      </c>
      <c r="D538" t="s">
        <v>8</v>
      </c>
      <c r="E538">
        <v>46662</v>
      </c>
      <c r="F538">
        <v>3854</v>
      </c>
      <c r="G538" t="s">
        <v>14</v>
      </c>
    </row>
    <row r="539" spans="1:7" x14ac:dyDescent="0.3">
      <c r="A539">
        <v>538</v>
      </c>
      <c r="B539" s="4">
        <v>45489</v>
      </c>
      <c r="C539" t="s">
        <v>10</v>
      </c>
      <c r="D539" t="s">
        <v>11</v>
      </c>
      <c r="E539">
        <v>11730</v>
      </c>
      <c r="F539">
        <v>8383</v>
      </c>
      <c r="G539" t="s">
        <v>16</v>
      </c>
    </row>
    <row r="540" spans="1:7" x14ac:dyDescent="0.3">
      <c r="A540">
        <v>539</v>
      </c>
      <c r="B540" s="4">
        <v>45429</v>
      </c>
      <c r="C540" t="s">
        <v>12</v>
      </c>
      <c r="D540" t="s">
        <v>8</v>
      </c>
      <c r="E540">
        <v>6920</v>
      </c>
      <c r="F540">
        <v>5837</v>
      </c>
      <c r="G540" t="s">
        <v>14</v>
      </c>
    </row>
    <row r="541" spans="1:7" x14ac:dyDescent="0.3">
      <c r="A541">
        <v>540</v>
      </c>
      <c r="B541" s="4">
        <v>45362</v>
      </c>
      <c r="C541" t="s">
        <v>7</v>
      </c>
      <c r="D541" t="s">
        <v>11</v>
      </c>
      <c r="E541">
        <v>2403</v>
      </c>
      <c r="F541">
        <v>-1367</v>
      </c>
      <c r="G541" t="s">
        <v>13</v>
      </c>
    </row>
    <row r="542" spans="1:7" x14ac:dyDescent="0.3">
      <c r="A542">
        <v>541</v>
      </c>
      <c r="B542" s="4">
        <v>45521</v>
      </c>
      <c r="C542" t="s">
        <v>10</v>
      </c>
      <c r="D542" t="s">
        <v>11</v>
      </c>
      <c r="E542">
        <v>9342</v>
      </c>
      <c r="F542">
        <v>428</v>
      </c>
      <c r="G542" t="s">
        <v>13</v>
      </c>
    </row>
    <row r="543" spans="1:7" x14ac:dyDescent="0.3">
      <c r="A543">
        <v>542</v>
      </c>
      <c r="B543" s="4">
        <v>45537</v>
      </c>
      <c r="C543" t="s">
        <v>17</v>
      </c>
      <c r="D543" t="s">
        <v>8</v>
      </c>
      <c r="E543">
        <v>14701</v>
      </c>
      <c r="F543">
        <v>3735</v>
      </c>
      <c r="G543" t="s">
        <v>16</v>
      </c>
    </row>
    <row r="544" spans="1:7" x14ac:dyDescent="0.3">
      <c r="A544">
        <v>543</v>
      </c>
      <c r="B544" s="4">
        <v>45495</v>
      </c>
      <c r="C544" t="s">
        <v>12</v>
      </c>
      <c r="D544" t="s">
        <v>8</v>
      </c>
      <c r="E544">
        <v>21910</v>
      </c>
      <c r="F544">
        <v>1808</v>
      </c>
      <c r="G544" t="s">
        <v>16</v>
      </c>
    </row>
    <row r="545" spans="1:7" x14ac:dyDescent="0.3">
      <c r="A545">
        <v>544</v>
      </c>
      <c r="B545" s="4">
        <v>45511</v>
      </c>
      <c r="C545" t="s">
        <v>17</v>
      </c>
      <c r="D545" t="s">
        <v>8</v>
      </c>
      <c r="E545">
        <v>42988</v>
      </c>
      <c r="F545">
        <v>2853</v>
      </c>
      <c r="G545" t="s">
        <v>9</v>
      </c>
    </row>
    <row r="546" spans="1:7" x14ac:dyDescent="0.3">
      <c r="A546">
        <v>545</v>
      </c>
      <c r="B546" s="4">
        <v>45648</v>
      </c>
      <c r="C546" t="s">
        <v>17</v>
      </c>
      <c r="D546" t="s">
        <v>11</v>
      </c>
      <c r="E546">
        <v>2642</v>
      </c>
      <c r="F546">
        <v>7357</v>
      </c>
      <c r="G546" t="s">
        <v>14</v>
      </c>
    </row>
    <row r="547" spans="1:7" x14ac:dyDescent="0.3">
      <c r="A547">
        <v>546</v>
      </c>
      <c r="B547" s="4">
        <v>45476</v>
      </c>
      <c r="C547" t="s">
        <v>15</v>
      </c>
      <c r="D547" t="s">
        <v>11</v>
      </c>
      <c r="E547">
        <v>8660</v>
      </c>
      <c r="F547">
        <v>9333</v>
      </c>
      <c r="G547" t="s">
        <v>9</v>
      </c>
    </row>
    <row r="548" spans="1:7" x14ac:dyDescent="0.3">
      <c r="A548">
        <v>547</v>
      </c>
      <c r="B548" s="4">
        <v>45319</v>
      </c>
      <c r="C548" t="s">
        <v>15</v>
      </c>
      <c r="D548" t="s">
        <v>8</v>
      </c>
      <c r="E548">
        <v>780</v>
      </c>
      <c r="F548">
        <v>6308</v>
      </c>
      <c r="G548" t="s">
        <v>9</v>
      </c>
    </row>
    <row r="549" spans="1:7" x14ac:dyDescent="0.3">
      <c r="A549">
        <v>548</v>
      </c>
      <c r="B549" s="4">
        <v>45536</v>
      </c>
      <c r="C549" t="s">
        <v>15</v>
      </c>
      <c r="D549" t="s">
        <v>8</v>
      </c>
      <c r="E549">
        <v>43842</v>
      </c>
      <c r="F549">
        <v>686</v>
      </c>
      <c r="G549" t="s">
        <v>14</v>
      </c>
    </row>
    <row r="550" spans="1:7" x14ac:dyDescent="0.3">
      <c r="A550">
        <v>549</v>
      </c>
      <c r="B550" s="4">
        <v>45600</v>
      </c>
      <c r="C550" t="s">
        <v>10</v>
      </c>
      <c r="D550" t="s">
        <v>8</v>
      </c>
      <c r="E550">
        <v>4440</v>
      </c>
      <c r="F550">
        <v>-1551</v>
      </c>
      <c r="G550" t="s">
        <v>14</v>
      </c>
    </row>
    <row r="551" spans="1:7" x14ac:dyDescent="0.3">
      <c r="A551">
        <v>550</v>
      </c>
      <c r="B551" s="4">
        <v>45584</v>
      </c>
      <c r="C551" t="s">
        <v>15</v>
      </c>
      <c r="D551" t="s">
        <v>11</v>
      </c>
      <c r="E551">
        <v>2098</v>
      </c>
      <c r="F551">
        <v>5569</v>
      </c>
      <c r="G551" t="s">
        <v>13</v>
      </c>
    </row>
    <row r="552" spans="1:7" x14ac:dyDescent="0.3">
      <c r="A552">
        <v>551</v>
      </c>
      <c r="B552" s="4">
        <v>45501</v>
      </c>
      <c r="C552" t="s">
        <v>17</v>
      </c>
      <c r="D552" t="s">
        <v>8</v>
      </c>
      <c r="E552">
        <v>45551</v>
      </c>
      <c r="F552">
        <v>5088</v>
      </c>
      <c r="G552" t="s">
        <v>16</v>
      </c>
    </row>
    <row r="553" spans="1:7" x14ac:dyDescent="0.3">
      <c r="A553">
        <v>552</v>
      </c>
      <c r="B553" s="4">
        <v>45596</v>
      </c>
      <c r="C553" t="s">
        <v>7</v>
      </c>
      <c r="D553" t="s">
        <v>11</v>
      </c>
      <c r="E553">
        <v>19203</v>
      </c>
      <c r="F553">
        <v>8276</v>
      </c>
      <c r="G553" t="s">
        <v>9</v>
      </c>
    </row>
    <row r="554" spans="1:7" x14ac:dyDescent="0.3">
      <c r="A554">
        <v>553</v>
      </c>
      <c r="B554" s="4">
        <v>45477</v>
      </c>
      <c r="C554" t="s">
        <v>7</v>
      </c>
      <c r="D554" t="s">
        <v>8</v>
      </c>
      <c r="E554">
        <v>786</v>
      </c>
      <c r="F554">
        <v>5525</v>
      </c>
      <c r="G554" t="s">
        <v>9</v>
      </c>
    </row>
    <row r="555" spans="1:7" x14ac:dyDescent="0.3">
      <c r="A555">
        <v>554</v>
      </c>
      <c r="B555" s="4">
        <v>45488</v>
      </c>
      <c r="C555" t="s">
        <v>12</v>
      </c>
      <c r="D555" t="s">
        <v>11</v>
      </c>
      <c r="E555">
        <v>31300</v>
      </c>
      <c r="F555">
        <v>-1728</v>
      </c>
      <c r="G555" t="s">
        <v>9</v>
      </c>
    </row>
    <row r="556" spans="1:7" x14ac:dyDescent="0.3">
      <c r="A556">
        <v>555</v>
      </c>
      <c r="B556" s="4">
        <v>45392</v>
      </c>
      <c r="C556" t="s">
        <v>15</v>
      </c>
      <c r="D556" t="s">
        <v>11</v>
      </c>
      <c r="E556">
        <v>27673</v>
      </c>
      <c r="F556">
        <v>3529</v>
      </c>
      <c r="G556" t="s">
        <v>13</v>
      </c>
    </row>
    <row r="557" spans="1:7" x14ac:dyDescent="0.3">
      <c r="A557">
        <v>556</v>
      </c>
      <c r="B557" s="4">
        <v>45306</v>
      </c>
      <c r="C557" t="s">
        <v>15</v>
      </c>
      <c r="D557" t="s">
        <v>8</v>
      </c>
      <c r="E557">
        <v>1456</v>
      </c>
      <c r="F557">
        <v>2653</v>
      </c>
      <c r="G557" t="s">
        <v>16</v>
      </c>
    </row>
    <row r="558" spans="1:7" x14ac:dyDescent="0.3">
      <c r="A558">
        <v>557</v>
      </c>
      <c r="B558" s="4">
        <v>45363</v>
      </c>
      <c r="C558" t="s">
        <v>12</v>
      </c>
      <c r="D558" t="s">
        <v>8</v>
      </c>
      <c r="E558">
        <v>2299</v>
      </c>
      <c r="F558">
        <v>8435</v>
      </c>
      <c r="G558" t="s">
        <v>16</v>
      </c>
    </row>
    <row r="559" spans="1:7" x14ac:dyDescent="0.3">
      <c r="A559">
        <v>558</v>
      </c>
      <c r="B559" s="4">
        <v>45305</v>
      </c>
      <c r="C559" t="s">
        <v>12</v>
      </c>
      <c r="D559" t="s">
        <v>8</v>
      </c>
      <c r="E559">
        <v>7369</v>
      </c>
      <c r="F559">
        <v>5174</v>
      </c>
      <c r="G559" t="s">
        <v>14</v>
      </c>
    </row>
    <row r="560" spans="1:7" x14ac:dyDescent="0.3">
      <c r="A560">
        <v>559</v>
      </c>
      <c r="B560" s="4">
        <v>45503</v>
      </c>
      <c r="C560" t="s">
        <v>12</v>
      </c>
      <c r="D560" t="s">
        <v>11</v>
      </c>
      <c r="E560">
        <v>10683</v>
      </c>
      <c r="F560">
        <v>-1711</v>
      </c>
      <c r="G560" t="s">
        <v>9</v>
      </c>
    </row>
    <row r="561" spans="1:7" x14ac:dyDescent="0.3">
      <c r="A561">
        <v>560</v>
      </c>
      <c r="B561" s="4">
        <v>45594</v>
      </c>
      <c r="C561" t="s">
        <v>10</v>
      </c>
      <c r="D561" t="s">
        <v>11</v>
      </c>
      <c r="E561">
        <v>44343</v>
      </c>
      <c r="F561">
        <v>993</v>
      </c>
      <c r="G561" t="s">
        <v>16</v>
      </c>
    </row>
    <row r="562" spans="1:7" x14ac:dyDescent="0.3">
      <c r="A562">
        <v>561</v>
      </c>
      <c r="B562" s="4">
        <v>45654</v>
      </c>
      <c r="C562" t="s">
        <v>12</v>
      </c>
      <c r="D562" t="s">
        <v>8</v>
      </c>
      <c r="E562">
        <v>39137</v>
      </c>
      <c r="F562">
        <v>-15</v>
      </c>
      <c r="G562" t="s">
        <v>16</v>
      </c>
    </row>
    <row r="563" spans="1:7" x14ac:dyDescent="0.3">
      <c r="A563">
        <v>562</v>
      </c>
      <c r="B563" s="4">
        <v>45359</v>
      </c>
      <c r="C563" t="s">
        <v>17</v>
      </c>
      <c r="D563" t="s">
        <v>8</v>
      </c>
      <c r="E563">
        <v>31558</v>
      </c>
      <c r="F563">
        <v>2598</v>
      </c>
      <c r="G563" t="s">
        <v>13</v>
      </c>
    </row>
    <row r="564" spans="1:7" x14ac:dyDescent="0.3">
      <c r="A564">
        <v>563</v>
      </c>
      <c r="B564" s="4">
        <v>45346</v>
      </c>
      <c r="C564" t="s">
        <v>12</v>
      </c>
      <c r="D564" t="s">
        <v>8</v>
      </c>
      <c r="E564">
        <v>36268</v>
      </c>
      <c r="F564">
        <v>2566</v>
      </c>
      <c r="G564" t="s">
        <v>13</v>
      </c>
    </row>
    <row r="565" spans="1:7" x14ac:dyDescent="0.3">
      <c r="A565">
        <v>564</v>
      </c>
      <c r="B565" s="4">
        <v>45303</v>
      </c>
      <c r="C565" t="s">
        <v>15</v>
      </c>
      <c r="D565" t="s">
        <v>8</v>
      </c>
      <c r="E565">
        <v>21490</v>
      </c>
      <c r="F565">
        <v>1955</v>
      </c>
      <c r="G565" t="s">
        <v>13</v>
      </c>
    </row>
    <row r="566" spans="1:7" x14ac:dyDescent="0.3">
      <c r="A566">
        <v>565</v>
      </c>
      <c r="B566" s="4">
        <v>45485</v>
      </c>
      <c r="C566" t="s">
        <v>7</v>
      </c>
      <c r="D566" t="s">
        <v>8</v>
      </c>
      <c r="E566">
        <v>24811</v>
      </c>
      <c r="F566">
        <v>1913</v>
      </c>
      <c r="G566" t="s">
        <v>16</v>
      </c>
    </row>
    <row r="567" spans="1:7" x14ac:dyDescent="0.3">
      <c r="A567">
        <v>566</v>
      </c>
      <c r="B567" s="4">
        <v>45368</v>
      </c>
      <c r="C567" t="s">
        <v>10</v>
      </c>
      <c r="D567" t="s">
        <v>8</v>
      </c>
      <c r="E567">
        <v>17086</v>
      </c>
      <c r="F567">
        <v>1759</v>
      </c>
      <c r="G567" t="s">
        <v>16</v>
      </c>
    </row>
    <row r="568" spans="1:7" x14ac:dyDescent="0.3">
      <c r="A568">
        <v>567</v>
      </c>
      <c r="B568" s="4">
        <v>45401</v>
      </c>
      <c r="C568" t="s">
        <v>7</v>
      </c>
      <c r="D568" t="s">
        <v>11</v>
      </c>
      <c r="E568">
        <v>13712</v>
      </c>
      <c r="F568">
        <v>7765</v>
      </c>
      <c r="G568" t="s">
        <v>13</v>
      </c>
    </row>
    <row r="569" spans="1:7" x14ac:dyDescent="0.3">
      <c r="A569">
        <v>568</v>
      </c>
      <c r="B569" s="4">
        <v>45471</v>
      </c>
      <c r="C569" t="s">
        <v>15</v>
      </c>
      <c r="D569" t="s">
        <v>8</v>
      </c>
      <c r="E569">
        <v>48612</v>
      </c>
      <c r="F569">
        <v>2953</v>
      </c>
      <c r="G569" t="s">
        <v>9</v>
      </c>
    </row>
    <row r="570" spans="1:7" x14ac:dyDescent="0.3">
      <c r="A570">
        <v>569</v>
      </c>
      <c r="B570" s="4">
        <v>45573</v>
      </c>
      <c r="C570" t="s">
        <v>15</v>
      </c>
      <c r="D570" t="s">
        <v>8</v>
      </c>
      <c r="E570">
        <v>1589</v>
      </c>
      <c r="F570">
        <v>-1362</v>
      </c>
      <c r="G570" t="s">
        <v>14</v>
      </c>
    </row>
    <row r="571" spans="1:7" x14ac:dyDescent="0.3">
      <c r="A571">
        <v>570</v>
      </c>
      <c r="B571" s="4">
        <v>45549</v>
      </c>
      <c r="C571" t="s">
        <v>7</v>
      </c>
      <c r="D571" t="s">
        <v>11</v>
      </c>
      <c r="E571">
        <v>27849</v>
      </c>
      <c r="F571">
        <v>4728</v>
      </c>
      <c r="G571" t="s">
        <v>16</v>
      </c>
    </row>
    <row r="572" spans="1:7" x14ac:dyDescent="0.3">
      <c r="A572">
        <v>571</v>
      </c>
      <c r="B572" s="4">
        <v>45449</v>
      </c>
      <c r="C572" t="s">
        <v>10</v>
      </c>
      <c r="D572" t="s">
        <v>11</v>
      </c>
      <c r="E572">
        <v>3483</v>
      </c>
      <c r="F572">
        <v>8030</v>
      </c>
      <c r="G572" t="s">
        <v>13</v>
      </c>
    </row>
    <row r="573" spans="1:7" x14ac:dyDescent="0.3">
      <c r="A573">
        <v>572</v>
      </c>
      <c r="B573" s="4">
        <v>45387</v>
      </c>
      <c r="C573" t="s">
        <v>17</v>
      </c>
      <c r="D573" t="s">
        <v>11</v>
      </c>
      <c r="E573">
        <v>3521</v>
      </c>
      <c r="F573">
        <v>-1159</v>
      </c>
      <c r="G573" t="s">
        <v>13</v>
      </c>
    </row>
    <row r="574" spans="1:7" x14ac:dyDescent="0.3">
      <c r="A574">
        <v>573</v>
      </c>
      <c r="B574" s="4">
        <v>45507</v>
      </c>
      <c r="C574" t="s">
        <v>15</v>
      </c>
      <c r="D574" t="s">
        <v>8</v>
      </c>
      <c r="E574">
        <v>48733</v>
      </c>
      <c r="F574">
        <v>7724</v>
      </c>
      <c r="G574" t="s">
        <v>16</v>
      </c>
    </row>
    <row r="575" spans="1:7" x14ac:dyDescent="0.3">
      <c r="A575">
        <v>574</v>
      </c>
      <c r="B575" s="4">
        <v>45650</v>
      </c>
      <c r="C575" t="s">
        <v>7</v>
      </c>
      <c r="D575" t="s">
        <v>8</v>
      </c>
      <c r="E575">
        <v>41305</v>
      </c>
      <c r="F575">
        <v>-1817</v>
      </c>
      <c r="G575" t="s">
        <v>16</v>
      </c>
    </row>
    <row r="576" spans="1:7" x14ac:dyDescent="0.3">
      <c r="A576">
        <v>575</v>
      </c>
      <c r="B576" s="4">
        <v>45606</v>
      </c>
      <c r="C576" t="s">
        <v>7</v>
      </c>
      <c r="D576" t="s">
        <v>8</v>
      </c>
      <c r="E576">
        <v>38052</v>
      </c>
      <c r="F576">
        <v>-1283</v>
      </c>
      <c r="G576" t="s">
        <v>9</v>
      </c>
    </row>
    <row r="577" spans="1:7" x14ac:dyDescent="0.3">
      <c r="A577">
        <v>576</v>
      </c>
      <c r="B577" s="4">
        <v>45438</v>
      </c>
      <c r="C577" t="s">
        <v>7</v>
      </c>
      <c r="D577" t="s">
        <v>11</v>
      </c>
      <c r="E577">
        <v>19998</v>
      </c>
      <c r="F577">
        <v>-502</v>
      </c>
      <c r="G577" t="s">
        <v>9</v>
      </c>
    </row>
    <row r="578" spans="1:7" x14ac:dyDescent="0.3">
      <c r="A578">
        <v>577</v>
      </c>
      <c r="B578" s="4">
        <v>45487</v>
      </c>
      <c r="C578" t="s">
        <v>15</v>
      </c>
      <c r="D578" t="s">
        <v>8</v>
      </c>
      <c r="E578">
        <v>35658</v>
      </c>
      <c r="F578">
        <v>7575</v>
      </c>
      <c r="G578" t="s">
        <v>9</v>
      </c>
    </row>
    <row r="579" spans="1:7" x14ac:dyDescent="0.3">
      <c r="A579">
        <v>578</v>
      </c>
      <c r="B579" s="4">
        <v>45324</v>
      </c>
      <c r="C579" t="s">
        <v>7</v>
      </c>
      <c r="D579" t="s">
        <v>11</v>
      </c>
      <c r="E579">
        <v>17032</v>
      </c>
      <c r="F579">
        <v>6281</v>
      </c>
      <c r="G579" t="s">
        <v>9</v>
      </c>
    </row>
    <row r="580" spans="1:7" x14ac:dyDescent="0.3">
      <c r="A580">
        <v>579</v>
      </c>
      <c r="B580" s="4">
        <v>45529</v>
      </c>
      <c r="C580" t="s">
        <v>12</v>
      </c>
      <c r="D580" t="s">
        <v>11</v>
      </c>
      <c r="E580">
        <v>41570</v>
      </c>
      <c r="F580">
        <v>9742</v>
      </c>
      <c r="G580" t="s">
        <v>13</v>
      </c>
    </row>
    <row r="581" spans="1:7" x14ac:dyDescent="0.3">
      <c r="A581">
        <v>580</v>
      </c>
      <c r="B581" s="4">
        <v>45456</v>
      </c>
      <c r="C581" t="s">
        <v>17</v>
      </c>
      <c r="D581" t="s">
        <v>8</v>
      </c>
      <c r="E581">
        <v>15582</v>
      </c>
      <c r="F581">
        <v>3104</v>
      </c>
      <c r="G581" t="s">
        <v>16</v>
      </c>
    </row>
    <row r="582" spans="1:7" x14ac:dyDescent="0.3">
      <c r="A582">
        <v>581</v>
      </c>
      <c r="B582" s="4">
        <v>45308</v>
      </c>
      <c r="C582" t="s">
        <v>15</v>
      </c>
      <c r="D582" t="s">
        <v>11</v>
      </c>
      <c r="E582">
        <v>16797</v>
      </c>
      <c r="F582">
        <v>-1518</v>
      </c>
      <c r="G582" t="s">
        <v>9</v>
      </c>
    </row>
    <row r="583" spans="1:7" x14ac:dyDescent="0.3">
      <c r="A583">
        <v>582</v>
      </c>
      <c r="B583" s="4">
        <v>45316</v>
      </c>
      <c r="C583" t="s">
        <v>10</v>
      </c>
      <c r="D583" t="s">
        <v>8</v>
      </c>
      <c r="E583">
        <v>38397</v>
      </c>
      <c r="F583">
        <v>-863</v>
      </c>
      <c r="G583" t="s">
        <v>16</v>
      </c>
    </row>
    <row r="584" spans="1:7" x14ac:dyDescent="0.3">
      <c r="A584">
        <v>583</v>
      </c>
      <c r="B584" s="4">
        <v>45355</v>
      </c>
      <c r="C584" t="s">
        <v>10</v>
      </c>
      <c r="D584" t="s">
        <v>8</v>
      </c>
      <c r="E584">
        <v>27774</v>
      </c>
      <c r="F584">
        <v>4226</v>
      </c>
      <c r="G584" t="s">
        <v>14</v>
      </c>
    </row>
    <row r="585" spans="1:7" x14ac:dyDescent="0.3">
      <c r="A585">
        <v>584</v>
      </c>
      <c r="B585" s="4">
        <v>45418</v>
      </c>
      <c r="C585" t="s">
        <v>17</v>
      </c>
      <c r="D585" t="s">
        <v>11</v>
      </c>
      <c r="E585">
        <v>42636</v>
      </c>
      <c r="F585">
        <v>1815</v>
      </c>
      <c r="G585" t="s">
        <v>16</v>
      </c>
    </row>
    <row r="586" spans="1:7" x14ac:dyDescent="0.3">
      <c r="A586">
        <v>585</v>
      </c>
      <c r="B586" s="4">
        <v>45604</v>
      </c>
      <c r="C586" t="s">
        <v>10</v>
      </c>
      <c r="D586" t="s">
        <v>8</v>
      </c>
      <c r="E586">
        <v>31491</v>
      </c>
      <c r="F586">
        <v>7931</v>
      </c>
      <c r="G586" t="s">
        <v>9</v>
      </c>
    </row>
    <row r="587" spans="1:7" x14ac:dyDescent="0.3">
      <c r="A587">
        <v>586</v>
      </c>
      <c r="B587" s="4">
        <v>45552</v>
      </c>
      <c r="C587" t="s">
        <v>7</v>
      </c>
      <c r="D587" t="s">
        <v>11</v>
      </c>
      <c r="E587">
        <v>36711</v>
      </c>
      <c r="F587">
        <v>2877</v>
      </c>
      <c r="G587" t="s">
        <v>16</v>
      </c>
    </row>
    <row r="588" spans="1:7" x14ac:dyDescent="0.3">
      <c r="A588">
        <v>587</v>
      </c>
      <c r="B588" s="4">
        <v>45432</v>
      </c>
      <c r="C588" t="s">
        <v>15</v>
      </c>
      <c r="D588" t="s">
        <v>11</v>
      </c>
      <c r="E588">
        <v>30327</v>
      </c>
      <c r="F588">
        <v>1706</v>
      </c>
      <c r="G588" t="s">
        <v>14</v>
      </c>
    </row>
    <row r="589" spans="1:7" x14ac:dyDescent="0.3">
      <c r="A589">
        <v>588</v>
      </c>
      <c r="B589" s="4">
        <v>45556</v>
      </c>
      <c r="C589" t="s">
        <v>17</v>
      </c>
      <c r="D589" t="s">
        <v>8</v>
      </c>
      <c r="E589">
        <v>31658</v>
      </c>
      <c r="F589">
        <v>5084</v>
      </c>
      <c r="G589" t="s">
        <v>16</v>
      </c>
    </row>
    <row r="590" spans="1:7" x14ac:dyDescent="0.3">
      <c r="A590">
        <v>589</v>
      </c>
      <c r="B590" s="4">
        <v>45364</v>
      </c>
      <c r="C590" t="s">
        <v>15</v>
      </c>
      <c r="D590" t="s">
        <v>11</v>
      </c>
      <c r="E590">
        <v>44009</v>
      </c>
      <c r="F590">
        <v>1517</v>
      </c>
      <c r="G590" t="s">
        <v>13</v>
      </c>
    </row>
    <row r="591" spans="1:7" x14ac:dyDescent="0.3">
      <c r="A591">
        <v>590</v>
      </c>
      <c r="B591" s="4">
        <v>45534</v>
      </c>
      <c r="C591" t="s">
        <v>10</v>
      </c>
      <c r="D591" t="s">
        <v>11</v>
      </c>
      <c r="E591">
        <v>4989</v>
      </c>
      <c r="F591">
        <v>6299</v>
      </c>
      <c r="G591" t="s">
        <v>13</v>
      </c>
    </row>
    <row r="592" spans="1:7" x14ac:dyDescent="0.3">
      <c r="A592">
        <v>591</v>
      </c>
      <c r="B592" s="4">
        <v>45304</v>
      </c>
      <c r="C592" t="s">
        <v>10</v>
      </c>
      <c r="D592" t="s">
        <v>11</v>
      </c>
      <c r="E592">
        <v>9834</v>
      </c>
      <c r="F592">
        <v>2071</v>
      </c>
      <c r="G592" t="s">
        <v>9</v>
      </c>
    </row>
    <row r="593" spans="1:7" x14ac:dyDescent="0.3">
      <c r="A593">
        <v>592</v>
      </c>
      <c r="B593" s="4">
        <v>45400</v>
      </c>
      <c r="C593" t="s">
        <v>15</v>
      </c>
      <c r="D593" t="s">
        <v>8</v>
      </c>
      <c r="E593">
        <v>30764</v>
      </c>
      <c r="F593">
        <v>-1691</v>
      </c>
      <c r="G593" t="s">
        <v>16</v>
      </c>
    </row>
    <row r="594" spans="1:7" x14ac:dyDescent="0.3">
      <c r="A594">
        <v>593</v>
      </c>
      <c r="B594" s="4">
        <v>45557</v>
      </c>
      <c r="C594" t="s">
        <v>17</v>
      </c>
      <c r="D594" t="s">
        <v>11</v>
      </c>
      <c r="E594">
        <v>46952</v>
      </c>
      <c r="F594">
        <v>9557</v>
      </c>
      <c r="G594" t="s">
        <v>16</v>
      </c>
    </row>
    <row r="595" spans="1:7" x14ac:dyDescent="0.3">
      <c r="A595">
        <v>594</v>
      </c>
      <c r="B595" s="4">
        <v>45440</v>
      </c>
      <c r="C595" t="s">
        <v>10</v>
      </c>
      <c r="D595" t="s">
        <v>8</v>
      </c>
      <c r="E595">
        <v>12112</v>
      </c>
      <c r="F595">
        <v>1379</v>
      </c>
      <c r="G595" t="s">
        <v>13</v>
      </c>
    </row>
    <row r="596" spans="1:7" x14ac:dyDescent="0.3">
      <c r="A596">
        <v>595</v>
      </c>
      <c r="B596" s="4">
        <v>45642</v>
      </c>
      <c r="C596" t="s">
        <v>15</v>
      </c>
      <c r="D596" t="s">
        <v>11</v>
      </c>
      <c r="E596">
        <v>19050</v>
      </c>
      <c r="F596">
        <v>5154</v>
      </c>
      <c r="G596" t="s">
        <v>13</v>
      </c>
    </row>
    <row r="597" spans="1:7" x14ac:dyDescent="0.3">
      <c r="A597">
        <v>596</v>
      </c>
      <c r="B597" s="4">
        <v>45514</v>
      </c>
      <c r="C597" t="s">
        <v>15</v>
      </c>
      <c r="D597" t="s">
        <v>8</v>
      </c>
      <c r="E597">
        <v>41075</v>
      </c>
      <c r="F597">
        <v>4088</v>
      </c>
      <c r="G597" t="s">
        <v>13</v>
      </c>
    </row>
    <row r="598" spans="1:7" x14ac:dyDescent="0.3">
      <c r="A598">
        <v>597</v>
      </c>
      <c r="B598" s="4">
        <v>45482</v>
      </c>
      <c r="C598" t="s">
        <v>15</v>
      </c>
      <c r="D598" t="s">
        <v>11</v>
      </c>
      <c r="E598">
        <v>17402</v>
      </c>
      <c r="F598">
        <v>-1061</v>
      </c>
      <c r="G598" t="s">
        <v>9</v>
      </c>
    </row>
    <row r="599" spans="1:7" x14ac:dyDescent="0.3">
      <c r="A599">
        <v>598</v>
      </c>
      <c r="B599" s="4">
        <v>45533</v>
      </c>
      <c r="C599" t="s">
        <v>17</v>
      </c>
      <c r="D599" t="s">
        <v>8</v>
      </c>
      <c r="E599">
        <v>11134</v>
      </c>
      <c r="F599">
        <v>-1015</v>
      </c>
      <c r="G599" t="s">
        <v>16</v>
      </c>
    </row>
    <row r="600" spans="1:7" x14ac:dyDescent="0.3">
      <c r="A600">
        <v>599</v>
      </c>
      <c r="B600" s="4">
        <v>45494</v>
      </c>
      <c r="C600" t="s">
        <v>12</v>
      </c>
      <c r="D600" t="s">
        <v>8</v>
      </c>
      <c r="E600">
        <v>48288</v>
      </c>
      <c r="F600">
        <v>7277</v>
      </c>
      <c r="G600" t="s">
        <v>16</v>
      </c>
    </row>
    <row r="601" spans="1:7" x14ac:dyDescent="0.3">
      <c r="A601">
        <v>600</v>
      </c>
      <c r="B601" s="4">
        <v>45608</v>
      </c>
      <c r="C601" t="s">
        <v>12</v>
      </c>
      <c r="D601" t="s">
        <v>8</v>
      </c>
      <c r="E601">
        <v>28997</v>
      </c>
      <c r="F601">
        <v>5023</v>
      </c>
      <c r="G601" t="s">
        <v>14</v>
      </c>
    </row>
    <row r="602" spans="1:7" x14ac:dyDescent="0.3">
      <c r="A602">
        <v>601</v>
      </c>
      <c r="B602" s="4">
        <v>45404</v>
      </c>
      <c r="C602" t="s">
        <v>15</v>
      </c>
      <c r="D602" t="s">
        <v>8</v>
      </c>
      <c r="E602">
        <v>572</v>
      </c>
      <c r="F602">
        <v>6168</v>
      </c>
      <c r="G602" t="s">
        <v>16</v>
      </c>
    </row>
    <row r="603" spans="1:7" x14ac:dyDescent="0.3">
      <c r="A603">
        <v>602</v>
      </c>
      <c r="B603" s="4">
        <v>45623</v>
      </c>
      <c r="C603" t="s">
        <v>17</v>
      </c>
      <c r="D603" t="s">
        <v>11</v>
      </c>
      <c r="E603">
        <v>26498</v>
      </c>
      <c r="F603">
        <v>9071</v>
      </c>
      <c r="G603" t="s">
        <v>9</v>
      </c>
    </row>
    <row r="604" spans="1:7" x14ac:dyDescent="0.3">
      <c r="A604">
        <v>603</v>
      </c>
      <c r="B604" s="4">
        <v>45414</v>
      </c>
      <c r="C604" t="s">
        <v>15</v>
      </c>
      <c r="D604" t="s">
        <v>8</v>
      </c>
      <c r="E604">
        <v>44335</v>
      </c>
      <c r="F604">
        <v>4948</v>
      </c>
      <c r="G604" t="s">
        <v>16</v>
      </c>
    </row>
    <row r="605" spans="1:7" x14ac:dyDescent="0.3">
      <c r="A605">
        <v>604</v>
      </c>
      <c r="B605" s="4">
        <v>45398</v>
      </c>
      <c r="C605" t="s">
        <v>7</v>
      </c>
      <c r="D605" t="s">
        <v>11</v>
      </c>
      <c r="E605">
        <v>38552</v>
      </c>
      <c r="F605">
        <v>516</v>
      </c>
      <c r="G605" t="s">
        <v>9</v>
      </c>
    </row>
    <row r="606" spans="1:7" x14ac:dyDescent="0.3">
      <c r="A606">
        <v>605</v>
      </c>
      <c r="B606" s="4">
        <v>45449</v>
      </c>
      <c r="C606" t="s">
        <v>12</v>
      </c>
      <c r="D606" t="s">
        <v>11</v>
      </c>
      <c r="E606">
        <v>23614</v>
      </c>
      <c r="F606">
        <v>-1209</v>
      </c>
      <c r="G606" t="s">
        <v>14</v>
      </c>
    </row>
    <row r="607" spans="1:7" x14ac:dyDescent="0.3">
      <c r="A607">
        <v>606</v>
      </c>
      <c r="B607" s="4">
        <v>45376</v>
      </c>
      <c r="C607" t="s">
        <v>17</v>
      </c>
      <c r="D607" t="s">
        <v>8</v>
      </c>
      <c r="E607">
        <v>40734</v>
      </c>
      <c r="F607">
        <v>5165</v>
      </c>
      <c r="G607" t="s">
        <v>14</v>
      </c>
    </row>
    <row r="608" spans="1:7" x14ac:dyDescent="0.3">
      <c r="A608">
        <v>607</v>
      </c>
      <c r="B608" s="4">
        <v>45311</v>
      </c>
      <c r="C608" t="s">
        <v>10</v>
      </c>
      <c r="D608" t="s">
        <v>11</v>
      </c>
      <c r="E608">
        <v>10417</v>
      </c>
      <c r="F608">
        <v>9736</v>
      </c>
      <c r="G608" t="s">
        <v>9</v>
      </c>
    </row>
    <row r="609" spans="1:7" x14ac:dyDescent="0.3">
      <c r="A609">
        <v>608</v>
      </c>
      <c r="B609" s="4">
        <v>45415</v>
      </c>
      <c r="C609" t="s">
        <v>7</v>
      </c>
      <c r="D609" t="s">
        <v>11</v>
      </c>
      <c r="E609">
        <v>34732</v>
      </c>
      <c r="F609">
        <v>8550</v>
      </c>
      <c r="G609" t="s">
        <v>16</v>
      </c>
    </row>
    <row r="610" spans="1:7" x14ac:dyDescent="0.3">
      <c r="A610">
        <v>609</v>
      </c>
      <c r="B610" s="4">
        <v>45450</v>
      </c>
      <c r="C610" t="s">
        <v>15</v>
      </c>
      <c r="D610" t="s">
        <v>8</v>
      </c>
      <c r="E610">
        <v>28989</v>
      </c>
      <c r="F610">
        <v>26</v>
      </c>
      <c r="G610" t="s">
        <v>13</v>
      </c>
    </row>
    <row r="611" spans="1:7" x14ac:dyDescent="0.3">
      <c r="A611">
        <v>610</v>
      </c>
      <c r="B611" s="4">
        <v>45620</v>
      </c>
      <c r="C611" t="s">
        <v>15</v>
      </c>
      <c r="D611" t="s">
        <v>11</v>
      </c>
      <c r="E611">
        <v>19107</v>
      </c>
      <c r="F611">
        <v>7209</v>
      </c>
      <c r="G611" t="s">
        <v>14</v>
      </c>
    </row>
    <row r="612" spans="1:7" x14ac:dyDescent="0.3">
      <c r="A612">
        <v>611</v>
      </c>
      <c r="B612" s="4">
        <v>45311</v>
      </c>
      <c r="C612" t="s">
        <v>7</v>
      </c>
      <c r="D612" t="s">
        <v>11</v>
      </c>
      <c r="E612">
        <v>41774</v>
      </c>
      <c r="F612">
        <v>7397</v>
      </c>
      <c r="G612" t="s">
        <v>13</v>
      </c>
    </row>
    <row r="613" spans="1:7" x14ac:dyDescent="0.3">
      <c r="A613">
        <v>612</v>
      </c>
      <c r="B613" s="4">
        <v>45308</v>
      </c>
      <c r="C613" t="s">
        <v>15</v>
      </c>
      <c r="D613" t="s">
        <v>8</v>
      </c>
      <c r="E613">
        <v>17706</v>
      </c>
      <c r="F613">
        <v>4763</v>
      </c>
      <c r="G613" t="s">
        <v>9</v>
      </c>
    </row>
    <row r="614" spans="1:7" x14ac:dyDescent="0.3">
      <c r="A614">
        <v>613</v>
      </c>
      <c r="B614" s="4">
        <v>45371</v>
      </c>
      <c r="C614" t="s">
        <v>17</v>
      </c>
      <c r="D614" t="s">
        <v>8</v>
      </c>
      <c r="E614">
        <v>44014</v>
      </c>
      <c r="F614">
        <v>9581</v>
      </c>
      <c r="G614" t="s">
        <v>14</v>
      </c>
    </row>
    <row r="615" spans="1:7" x14ac:dyDescent="0.3">
      <c r="A615">
        <v>614</v>
      </c>
      <c r="B615" s="4">
        <v>45394</v>
      </c>
      <c r="C615" t="s">
        <v>10</v>
      </c>
      <c r="D615" t="s">
        <v>8</v>
      </c>
      <c r="E615">
        <v>38620</v>
      </c>
      <c r="F615">
        <v>812</v>
      </c>
      <c r="G615" t="s">
        <v>9</v>
      </c>
    </row>
    <row r="616" spans="1:7" x14ac:dyDescent="0.3">
      <c r="A616">
        <v>615</v>
      </c>
      <c r="B616" s="4">
        <v>45373</v>
      </c>
      <c r="C616" t="s">
        <v>10</v>
      </c>
      <c r="D616" t="s">
        <v>8</v>
      </c>
      <c r="E616">
        <v>10385</v>
      </c>
      <c r="F616">
        <v>5301</v>
      </c>
      <c r="G616" t="s">
        <v>16</v>
      </c>
    </row>
    <row r="617" spans="1:7" x14ac:dyDescent="0.3">
      <c r="A617">
        <v>616</v>
      </c>
      <c r="B617" s="4">
        <v>45313</v>
      </c>
      <c r="C617" t="s">
        <v>12</v>
      </c>
      <c r="D617" t="s">
        <v>8</v>
      </c>
      <c r="E617">
        <v>25368</v>
      </c>
      <c r="F617">
        <v>4232</v>
      </c>
      <c r="G617" t="s">
        <v>13</v>
      </c>
    </row>
    <row r="618" spans="1:7" x14ac:dyDescent="0.3">
      <c r="A618">
        <v>617</v>
      </c>
      <c r="B618" s="4">
        <v>45637</v>
      </c>
      <c r="C618" t="s">
        <v>10</v>
      </c>
      <c r="D618" t="s">
        <v>11</v>
      </c>
      <c r="E618">
        <v>3029</v>
      </c>
      <c r="F618">
        <v>8915</v>
      </c>
      <c r="G618" t="s">
        <v>13</v>
      </c>
    </row>
    <row r="619" spans="1:7" x14ac:dyDescent="0.3">
      <c r="A619">
        <v>618</v>
      </c>
      <c r="B619" s="4">
        <v>45441</v>
      </c>
      <c r="C619" t="s">
        <v>17</v>
      </c>
      <c r="D619" t="s">
        <v>11</v>
      </c>
      <c r="E619">
        <v>11860</v>
      </c>
      <c r="F619">
        <v>1977</v>
      </c>
      <c r="G619" t="s">
        <v>16</v>
      </c>
    </row>
    <row r="620" spans="1:7" x14ac:dyDescent="0.3">
      <c r="A620">
        <v>619</v>
      </c>
      <c r="B620" s="4">
        <v>45413</v>
      </c>
      <c r="C620" t="s">
        <v>12</v>
      </c>
      <c r="D620" t="s">
        <v>8</v>
      </c>
      <c r="E620">
        <v>25479</v>
      </c>
      <c r="F620">
        <v>8052</v>
      </c>
      <c r="G620" t="s">
        <v>13</v>
      </c>
    </row>
    <row r="621" spans="1:7" x14ac:dyDescent="0.3">
      <c r="A621">
        <v>620</v>
      </c>
      <c r="B621" s="4">
        <v>45614</v>
      </c>
      <c r="C621" t="s">
        <v>15</v>
      </c>
      <c r="D621" t="s">
        <v>11</v>
      </c>
      <c r="E621">
        <v>11799</v>
      </c>
      <c r="F621">
        <v>9278</v>
      </c>
      <c r="G621" t="s">
        <v>14</v>
      </c>
    </row>
    <row r="622" spans="1:7" x14ac:dyDescent="0.3">
      <c r="A622">
        <v>621</v>
      </c>
      <c r="B622" s="4">
        <v>45606</v>
      </c>
      <c r="C622" t="s">
        <v>12</v>
      </c>
      <c r="D622" t="s">
        <v>8</v>
      </c>
      <c r="E622">
        <v>13351</v>
      </c>
      <c r="F622">
        <v>8274</v>
      </c>
      <c r="G622" t="s">
        <v>14</v>
      </c>
    </row>
    <row r="623" spans="1:7" x14ac:dyDescent="0.3">
      <c r="A623">
        <v>622</v>
      </c>
      <c r="B623" s="4">
        <v>45643</v>
      </c>
      <c r="C623" t="s">
        <v>10</v>
      </c>
      <c r="D623" t="s">
        <v>11</v>
      </c>
      <c r="E623">
        <v>1342</v>
      </c>
      <c r="F623">
        <v>5457</v>
      </c>
      <c r="G623" t="s">
        <v>16</v>
      </c>
    </row>
    <row r="624" spans="1:7" x14ac:dyDescent="0.3">
      <c r="A624">
        <v>623</v>
      </c>
      <c r="B624" s="4">
        <v>45448</v>
      </c>
      <c r="C624" t="s">
        <v>15</v>
      </c>
      <c r="D624" t="s">
        <v>8</v>
      </c>
      <c r="E624">
        <v>23620</v>
      </c>
      <c r="F624">
        <v>5669</v>
      </c>
      <c r="G624" t="s">
        <v>9</v>
      </c>
    </row>
    <row r="625" spans="1:7" x14ac:dyDescent="0.3">
      <c r="A625">
        <v>624</v>
      </c>
      <c r="B625" s="4">
        <v>45566</v>
      </c>
      <c r="C625" t="s">
        <v>10</v>
      </c>
      <c r="D625" t="s">
        <v>11</v>
      </c>
      <c r="E625">
        <v>9836</v>
      </c>
      <c r="F625">
        <v>9217</v>
      </c>
      <c r="G625" t="s">
        <v>13</v>
      </c>
    </row>
    <row r="626" spans="1:7" x14ac:dyDescent="0.3">
      <c r="A626">
        <v>625</v>
      </c>
      <c r="B626" s="4">
        <v>45391</v>
      </c>
      <c r="C626" t="s">
        <v>10</v>
      </c>
      <c r="D626" t="s">
        <v>11</v>
      </c>
      <c r="E626">
        <v>23652</v>
      </c>
      <c r="F626">
        <v>6651</v>
      </c>
      <c r="G626" t="s">
        <v>16</v>
      </c>
    </row>
    <row r="627" spans="1:7" x14ac:dyDescent="0.3">
      <c r="A627">
        <v>626</v>
      </c>
      <c r="B627" s="4">
        <v>45331</v>
      </c>
      <c r="C627" t="s">
        <v>17</v>
      </c>
      <c r="D627" t="s">
        <v>11</v>
      </c>
      <c r="E627">
        <v>49466</v>
      </c>
      <c r="F627">
        <v>4877</v>
      </c>
      <c r="G627" t="s">
        <v>13</v>
      </c>
    </row>
    <row r="628" spans="1:7" x14ac:dyDescent="0.3">
      <c r="A628">
        <v>627</v>
      </c>
      <c r="B628" s="4">
        <v>45337</v>
      </c>
      <c r="C628" t="s">
        <v>10</v>
      </c>
      <c r="D628" t="s">
        <v>11</v>
      </c>
      <c r="E628">
        <v>15793</v>
      </c>
      <c r="F628">
        <v>474</v>
      </c>
      <c r="G628" t="s">
        <v>13</v>
      </c>
    </row>
    <row r="629" spans="1:7" x14ac:dyDescent="0.3">
      <c r="A629">
        <v>628</v>
      </c>
      <c r="B629" s="4">
        <v>45435</v>
      </c>
      <c r="C629" t="s">
        <v>17</v>
      </c>
      <c r="D629" t="s">
        <v>8</v>
      </c>
      <c r="E629">
        <v>14139</v>
      </c>
      <c r="F629">
        <v>6850</v>
      </c>
      <c r="G629" t="s">
        <v>13</v>
      </c>
    </row>
    <row r="630" spans="1:7" x14ac:dyDescent="0.3">
      <c r="A630">
        <v>629</v>
      </c>
      <c r="B630" s="4">
        <v>45468</v>
      </c>
      <c r="C630" t="s">
        <v>15</v>
      </c>
      <c r="D630" t="s">
        <v>8</v>
      </c>
      <c r="E630">
        <v>9307</v>
      </c>
      <c r="F630">
        <v>3383</v>
      </c>
      <c r="G630" t="s">
        <v>16</v>
      </c>
    </row>
    <row r="631" spans="1:7" x14ac:dyDescent="0.3">
      <c r="A631">
        <v>630</v>
      </c>
      <c r="B631" s="4">
        <v>45368</v>
      </c>
      <c r="C631" t="s">
        <v>15</v>
      </c>
      <c r="D631" t="s">
        <v>8</v>
      </c>
      <c r="E631">
        <v>2549</v>
      </c>
      <c r="F631">
        <v>-120</v>
      </c>
      <c r="G631" t="s">
        <v>14</v>
      </c>
    </row>
    <row r="632" spans="1:7" x14ac:dyDescent="0.3">
      <c r="A632">
        <v>631</v>
      </c>
      <c r="B632" s="4">
        <v>45319</v>
      </c>
      <c r="C632" t="s">
        <v>10</v>
      </c>
      <c r="D632" t="s">
        <v>8</v>
      </c>
      <c r="E632">
        <v>17576</v>
      </c>
      <c r="F632">
        <v>5362</v>
      </c>
      <c r="G632" t="s">
        <v>14</v>
      </c>
    </row>
    <row r="633" spans="1:7" x14ac:dyDescent="0.3">
      <c r="A633">
        <v>632</v>
      </c>
      <c r="B633" s="4">
        <v>45359</v>
      </c>
      <c r="C633" t="s">
        <v>15</v>
      </c>
      <c r="D633" t="s">
        <v>8</v>
      </c>
      <c r="E633">
        <v>22977</v>
      </c>
      <c r="F633">
        <v>-1987</v>
      </c>
      <c r="G633" t="s">
        <v>16</v>
      </c>
    </row>
    <row r="634" spans="1:7" x14ac:dyDescent="0.3">
      <c r="A634">
        <v>633</v>
      </c>
      <c r="B634" s="4">
        <v>45323</v>
      </c>
      <c r="C634" t="s">
        <v>15</v>
      </c>
      <c r="D634" t="s">
        <v>11</v>
      </c>
      <c r="E634">
        <v>11071</v>
      </c>
      <c r="F634">
        <v>-990</v>
      </c>
      <c r="G634" t="s">
        <v>16</v>
      </c>
    </row>
    <row r="635" spans="1:7" x14ac:dyDescent="0.3">
      <c r="A635">
        <v>634</v>
      </c>
      <c r="B635" s="4">
        <v>45645</v>
      </c>
      <c r="C635" t="s">
        <v>17</v>
      </c>
      <c r="D635" t="s">
        <v>11</v>
      </c>
      <c r="E635">
        <v>16965</v>
      </c>
      <c r="F635">
        <v>5579</v>
      </c>
      <c r="G635" t="s">
        <v>16</v>
      </c>
    </row>
    <row r="636" spans="1:7" x14ac:dyDescent="0.3">
      <c r="A636">
        <v>635</v>
      </c>
      <c r="B636" s="4">
        <v>45597</v>
      </c>
      <c r="C636" t="s">
        <v>7</v>
      </c>
      <c r="D636" t="s">
        <v>11</v>
      </c>
      <c r="E636">
        <v>4146</v>
      </c>
      <c r="F636">
        <v>-1389</v>
      </c>
      <c r="G636" t="s">
        <v>13</v>
      </c>
    </row>
    <row r="637" spans="1:7" x14ac:dyDescent="0.3">
      <c r="A637">
        <v>636</v>
      </c>
      <c r="B637" s="4">
        <v>45624</v>
      </c>
      <c r="C637" t="s">
        <v>17</v>
      </c>
      <c r="D637" t="s">
        <v>11</v>
      </c>
      <c r="E637">
        <v>49560</v>
      </c>
      <c r="F637">
        <v>2523</v>
      </c>
      <c r="G637" t="s">
        <v>13</v>
      </c>
    </row>
    <row r="638" spans="1:7" x14ac:dyDescent="0.3">
      <c r="A638">
        <v>637</v>
      </c>
      <c r="B638" s="4">
        <v>45535</v>
      </c>
      <c r="C638" t="s">
        <v>12</v>
      </c>
      <c r="D638" t="s">
        <v>8</v>
      </c>
      <c r="E638">
        <v>20515</v>
      </c>
      <c r="F638">
        <v>-1140</v>
      </c>
      <c r="G638" t="s">
        <v>14</v>
      </c>
    </row>
    <row r="639" spans="1:7" x14ac:dyDescent="0.3">
      <c r="A639">
        <v>638</v>
      </c>
      <c r="B639" s="4">
        <v>45568</v>
      </c>
      <c r="C639" t="s">
        <v>7</v>
      </c>
      <c r="D639" t="s">
        <v>11</v>
      </c>
      <c r="E639">
        <v>45326</v>
      </c>
      <c r="F639">
        <v>-1960</v>
      </c>
      <c r="G639" t="s">
        <v>13</v>
      </c>
    </row>
    <row r="640" spans="1:7" x14ac:dyDescent="0.3">
      <c r="A640">
        <v>639</v>
      </c>
      <c r="B640" s="4">
        <v>45656</v>
      </c>
      <c r="C640" t="s">
        <v>12</v>
      </c>
      <c r="D640" t="s">
        <v>11</v>
      </c>
      <c r="E640">
        <v>44161</v>
      </c>
      <c r="F640">
        <v>3768</v>
      </c>
      <c r="G640" t="s">
        <v>14</v>
      </c>
    </row>
    <row r="641" spans="1:7" x14ac:dyDescent="0.3">
      <c r="A641">
        <v>640</v>
      </c>
      <c r="B641" s="4">
        <v>45391</v>
      </c>
      <c r="C641" t="s">
        <v>15</v>
      </c>
      <c r="D641" t="s">
        <v>8</v>
      </c>
      <c r="E641">
        <v>12252</v>
      </c>
      <c r="F641">
        <v>-223</v>
      </c>
      <c r="G641" t="s">
        <v>9</v>
      </c>
    </row>
    <row r="642" spans="1:7" x14ac:dyDescent="0.3">
      <c r="A642">
        <v>641</v>
      </c>
      <c r="B642" s="4">
        <v>45538</v>
      </c>
      <c r="C642" t="s">
        <v>15</v>
      </c>
      <c r="D642" t="s">
        <v>11</v>
      </c>
      <c r="E642">
        <v>12627</v>
      </c>
      <c r="F642">
        <v>-863</v>
      </c>
      <c r="G642" t="s">
        <v>13</v>
      </c>
    </row>
    <row r="643" spans="1:7" x14ac:dyDescent="0.3">
      <c r="A643">
        <v>642</v>
      </c>
      <c r="B643" s="4">
        <v>45435</v>
      </c>
      <c r="C643" t="s">
        <v>10</v>
      </c>
      <c r="D643" t="s">
        <v>11</v>
      </c>
      <c r="E643">
        <v>14284</v>
      </c>
      <c r="F643">
        <v>5362</v>
      </c>
      <c r="G643" t="s">
        <v>14</v>
      </c>
    </row>
    <row r="644" spans="1:7" x14ac:dyDescent="0.3">
      <c r="A644">
        <v>643</v>
      </c>
      <c r="B644" s="4">
        <v>45342</v>
      </c>
      <c r="C644" t="s">
        <v>12</v>
      </c>
      <c r="D644" t="s">
        <v>8</v>
      </c>
      <c r="E644">
        <v>39405</v>
      </c>
      <c r="F644">
        <v>2851</v>
      </c>
      <c r="G644" t="s">
        <v>14</v>
      </c>
    </row>
    <row r="645" spans="1:7" x14ac:dyDescent="0.3">
      <c r="A645">
        <v>644</v>
      </c>
      <c r="B645" s="4">
        <v>45389</v>
      </c>
      <c r="C645" t="s">
        <v>15</v>
      </c>
      <c r="D645" t="s">
        <v>8</v>
      </c>
      <c r="E645">
        <v>39113</v>
      </c>
      <c r="F645">
        <v>8362</v>
      </c>
      <c r="G645" t="s">
        <v>9</v>
      </c>
    </row>
    <row r="646" spans="1:7" x14ac:dyDescent="0.3">
      <c r="A646">
        <v>645</v>
      </c>
      <c r="B646" s="4">
        <v>45468</v>
      </c>
      <c r="C646" t="s">
        <v>15</v>
      </c>
      <c r="D646" t="s">
        <v>8</v>
      </c>
      <c r="E646">
        <v>40190</v>
      </c>
      <c r="F646">
        <v>8304</v>
      </c>
      <c r="G646" t="s">
        <v>9</v>
      </c>
    </row>
    <row r="647" spans="1:7" x14ac:dyDescent="0.3">
      <c r="A647">
        <v>646</v>
      </c>
      <c r="B647" s="4">
        <v>45366</v>
      </c>
      <c r="C647" t="s">
        <v>12</v>
      </c>
      <c r="D647" t="s">
        <v>11</v>
      </c>
      <c r="E647">
        <v>5330</v>
      </c>
      <c r="F647">
        <v>-1975</v>
      </c>
      <c r="G647" t="s">
        <v>13</v>
      </c>
    </row>
    <row r="648" spans="1:7" x14ac:dyDescent="0.3">
      <c r="A648">
        <v>647</v>
      </c>
      <c r="B648" s="4">
        <v>45588</v>
      </c>
      <c r="C648" t="s">
        <v>10</v>
      </c>
      <c r="D648" t="s">
        <v>8</v>
      </c>
      <c r="E648">
        <v>19616</v>
      </c>
      <c r="F648">
        <v>4680</v>
      </c>
      <c r="G648" t="s">
        <v>16</v>
      </c>
    </row>
    <row r="649" spans="1:7" x14ac:dyDescent="0.3">
      <c r="A649">
        <v>648</v>
      </c>
      <c r="B649" s="4">
        <v>45330</v>
      </c>
      <c r="C649" t="s">
        <v>15</v>
      </c>
      <c r="D649" t="s">
        <v>8</v>
      </c>
      <c r="E649">
        <v>34493</v>
      </c>
      <c r="F649">
        <v>2356</v>
      </c>
      <c r="G649" t="s">
        <v>13</v>
      </c>
    </row>
    <row r="650" spans="1:7" x14ac:dyDescent="0.3">
      <c r="A650">
        <v>649</v>
      </c>
      <c r="B650" s="4">
        <v>45548</v>
      </c>
      <c r="C650" t="s">
        <v>15</v>
      </c>
      <c r="D650" t="s">
        <v>8</v>
      </c>
      <c r="E650">
        <v>42734</v>
      </c>
      <c r="F650">
        <v>2316</v>
      </c>
      <c r="G650" t="s">
        <v>9</v>
      </c>
    </row>
    <row r="651" spans="1:7" x14ac:dyDescent="0.3">
      <c r="A651">
        <v>650</v>
      </c>
      <c r="B651" s="4">
        <v>45402</v>
      </c>
      <c r="C651" t="s">
        <v>10</v>
      </c>
      <c r="D651" t="s">
        <v>8</v>
      </c>
      <c r="E651">
        <v>4969</v>
      </c>
      <c r="F651">
        <v>-73</v>
      </c>
      <c r="G651" t="s">
        <v>16</v>
      </c>
    </row>
    <row r="652" spans="1:7" x14ac:dyDescent="0.3">
      <c r="A652">
        <v>651</v>
      </c>
      <c r="B652" s="4">
        <v>45339</v>
      </c>
      <c r="C652" t="s">
        <v>17</v>
      </c>
      <c r="D652" t="s">
        <v>11</v>
      </c>
      <c r="E652">
        <v>37451</v>
      </c>
      <c r="F652">
        <v>6136</v>
      </c>
      <c r="G652" t="s">
        <v>14</v>
      </c>
    </row>
    <row r="653" spans="1:7" x14ac:dyDescent="0.3">
      <c r="A653">
        <v>652</v>
      </c>
      <c r="B653" s="4">
        <v>45313</v>
      </c>
      <c r="C653" t="s">
        <v>7</v>
      </c>
      <c r="D653" t="s">
        <v>11</v>
      </c>
      <c r="E653">
        <v>17545</v>
      </c>
      <c r="F653">
        <v>9363</v>
      </c>
      <c r="G653" t="s">
        <v>13</v>
      </c>
    </row>
    <row r="654" spans="1:7" x14ac:dyDescent="0.3">
      <c r="A654">
        <v>653</v>
      </c>
      <c r="B654" s="4">
        <v>45650</v>
      </c>
      <c r="C654" t="s">
        <v>10</v>
      </c>
      <c r="D654" t="s">
        <v>8</v>
      </c>
      <c r="E654">
        <v>15929</v>
      </c>
      <c r="F654">
        <v>1480</v>
      </c>
      <c r="G654" t="s">
        <v>13</v>
      </c>
    </row>
    <row r="655" spans="1:7" x14ac:dyDescent="0.3">
      <c r="A655">
        <v>654</v>
      </c>
      <c r="B655" s="4">
        <v>45593</v>
      </c>
      <c r="C655" t="s">
        <v>10</v>
      </c>
      <c r="D655" t="s">
        <v>8</v>
      </c>
      <c r="E655">
        <v>18746</v>
      </c>
      <c r="F655">
        <v>6930</v>
      </c>
      <c r="G655" t="s">
        <v>13</v>
      </c>
    </row>
    <row r="656" spans="1:7" x14ac:dyDescent="0.3">
      <c r="A656">
        <v>655</v>
      </c>
      <c r="B656" s="4">
        <v>45417</v>
      </c>
      <c r="C656" t="s">
        <v>17</v>
      </c>
      <c r="D656" t="s">
        <v>11</v>
      </c>
      <c r="E656">
        <v>18544</v>
      </c>
      <c r="F656">
        <v>8468</v>
      </c>
      <c r="G656" t="s">
        <v>9</v>
      </c>
    </row>
    <row r="657" spans="1:7" x14ac:dyDescent="0.3">
      <c r="A657">
        <v>656</v>
      </c>
      <c r="B657" s="4">
        <v>45495</v>
      </c>
      <c r="C657" t="s">
        <v>10</v>
      </c>
      <c r="D657" t="s">
        <v>11</v>
      </c>
      <c r="E657">
        <v>512</v>
      </c>
      <c r="F657">
        <v>5601</v>
      </c>
      <c r="G657" t="s">
        <v>13</v>
      </c>
    </row>
    <row r="658" spans="1:7" x14ac:dyDescent="0.3">
      <c r="A658">
        <v>657</v>
      </c>
      <c r="B658" s="4">
        <v>45604</v>
      </c>
      <c r="C658" t="s">
        <v>10</v>
      </c>
      <c r="D658" t="s">
        <v>11</v>
      </c>
      <c r="E658">
        <v>18161</v>
      </c>
      <c r="F658">
        <v>5502</v>
      </c>
      <c r="G658" t="s">
        <v>16</v>
      </c>
    </row>
    <row r="659" spans="1:7" x14ac:dyDescent="0.3">
      <c r="A659">
        <v>658</v>
      </c>
      <c r="B659" s="4">
        <v>45634</v>
      </c>
      <c r="C659" t="s">
        <v>7</v>
      </c>
      <c r="D659" t="s">
        <v>11</v>
      </c>
      <c r="E659">
        <v>38083</v>
      </c>
      <c r="F659">
        <v>881</v>
      </c>
      <c r="G659" t="s">
        <v>16</v>
      </c>
    </row>
    <row r="660" spans="1:7" x14ac:dyDescent="0.3">
      <c r="A660">
        <v>659</v>
      </c>
      <c r="B660" s="4">
        <v>45619</v>
      </c>
      <c r="C660" t="s">
        <v>17</v>
      </c>
      <c r="D660" t="s">
        <v>11</v>
      </c>
      <c r="E660">
        <v>44916</v>
      </c>
      <c r="F660">
        <v>6229</v>
      </c>
      <c r="G660" t="s">
        <v>9</v>
      </c>
    </row>
    <row r="661" spans="1:7" x14ac:dyDescent="0.3">
      <c r="A661">
        <v>660</v>
      </c>
      <c r="B661" s="4">
        <v>45657</v>
      </c>
      <c r="C661" t="s">
        <v>7</v>
      </c>
      <c r="D661" t="s">
        <v>11</v>
      </c>
      <c r="E661">
        <v>48854</v>
      </c>
      <c r="F661">
        <v>143</v>
      </c>
      <c r="G661" t="s">
        <v>9</v>
      </c>
    </row>
    <row r="662" spans="1:7" x14ac:dyDescent="0.3">
      <c r="A662">
        <v>661</v>
      </c>
      <c r="B662" s="4">
        <v>45419</v>
      </c>
      <c r="C662" t="s">
        <v>12</v>
      </c>
      <c r="D662" t="s">
        <v>8</v>
      </c>
      <c r="E662">
        <v>24019</v>
      </c>
      <c r="F662">
        <v>-1880</v>
      </c>
      <c r="G662" t="s">
        <v>14</v>
      </c>
    </row>
    <row r="663" spans="1:7" x14ac:dyDescent="0.3">
      <c r="A663">
        <v>662</v>
      </c>
      <c r="B663" s="4">
        <v>45368</v>
      </c>
      <c r="C663" t="s">
        <v>15</v>
      </c>
      <c r="D663" t="s">
        <v>11</v>
      </c>
      <c r="E663">
        <v>10032</v>
      </c>
      <c r="F663">
        <v>9830</v>
      </c>
      <c r="G663" t="s">
        <v>16</v>
      </c>
    </row>
    <row r="664" spans="1:7" x14ac:dyDescent="0.3">
      <c r="A664">
        <v>663</v>
      </c>
      <c r="B664" s="4">
        <v>45632</v>
      </c>
      <c r="C664" t="s">
        <v>12</v>
      </c>
      <c r="D664" t="s">
        <v>11</v>
      </c>
      <c r="E664">
        <v>37864</v>
      </c>
      <c r="F664">
        <v>5946</v>
      </c>
      <c r="G664" t="s">
        <v>9</v>
      </c>
    </row>
    <row r="665" spans="1:7" x14ac:dyDescent="0.3">
      <c r="A665">
        <v>664</v>
      </c>
      <c r="B665" s="4">
        <v>45379</v>
      </c>
      <c r="C665" t="s">
        <v>17</v>
      </c>
      <c r="D665" t="s">
        <v>11</v>
      </c>
      <c r="E665">
        <v>9519</v>
      </c>
      <c r="F665">
        <v>6411</v>
      </c>
      <c r="G665" t="s">
        <v>16</v>
      </c>
    </row>
    <row r="666" spans="1:7" x14ac:dyDescent="0.3">
      <c r="A666">
        <v>665</v>
      </c>
      <c r="B666" s="4">
        <v>45367</v>
      </c>
      <c r="C666" t="s">
        <v>17</v>
      </c>
      <c r="D666" t="s">
        <v>11</v>
      </c>
      <c r="E666">
        <v>36763</v>
      </c>
      <c r="F666">
        <v>6778</v>
      </c>
      <c r="G666" t="s">
        <v>16</v>
      </c>
    </row>
    <row r="667" spans="1:7" x14ac:dyDescent="0.3">
      <c r="A667">
        <v>666</v>
      </c>
      <c r="B667" s="4">
        <v>45476</v>
      </c>
      <c r="C667" t="s">
        <v>7</v>
      </c>
      <c r="D667" t="s">
        <v>8</v>
      </c>
      <c r="E667">
        <v>3686</v>
      </c>
      <c r="F667">
        <v>9442</v>
      </c>
      <c r="G667" t="s">
        <v>13</v>
      </c>
    </row>
    <row r="668" spans="1:7" x14ac:dyDescent="0.3">
      <c r="A668">
        <v>667</v>
      </c>
      <c r="B668" s="4">
        <v>45511</v>
      </c>
      <c r="C668" t="s">
        <v>7</v>
      </c>
      <c r="D668" t="s">
        <v>8</v>
      </c>
      <c r="E668">
        <v>28921</v>
      </c>
      <c r="F668">
        <v>-1241</v>
      </c>
      <c r="G668" t="s">
        <v>14</v>
      </c>
    </row>
    <row r="669" spans="1:7" x14ac:dyDescent="0.3">
      <c r="A669">
        <v>668</v>
      </c>
      <c r="B669" s="4">
        <v>45577</v>
      </c>
      <c r="C669" t="s">
        <v>10</v>
      </c>
      <c r="D669" t="s">
        <v>8</v>
      </c>
      <c r="E669">
        <v>32948</v>
      </c>
      <c r="F669">
        <v>-880</v>
      </c>
      <c r="G669" t="s">
        <v>14</v>
      </c>
    </row>
    <row r="670" spans="1:7" x14ac:dyDescent="0.3">
      <c r="A670">
        <v>669</v>
      </c>
      <c r="B670" s="4">
        <v>45391</v>
      </c>
      <c r="C670" t="s">
        <v>7</v>
      </c>
      <c r="D670" t="s">
        <v>8</v>
      </c>
      <c r="E670">
        <v>23191</v>
      </c>
      <c r="F670">
        <v>8843</v>
      </c>
      <c r="G670" t="s">
        <v>13</v>
      </c>
    </row>
    <row r="671" spans="1:7" x14ac:dyDescent="0.3">
      <c r="A671">
        <v>670</v>
      </c>
      <c r="B671" s="4">
        <v>45569</v>
      </c>
      <c r="C671" t="s">
        <v>7</v>
      </c>
      <c r="D671" t="s">
        <v>8</v>
      </c>
      <c r="E671">
        <v>14742</v>
      </c>
      <c r="F671">
        <v>1751</v>
      </c>
      <c r="G671" t="s">
        <v>9</v>
      </c>
    </row>
    <row r="672" spans="1:7" x14ac:dyDescent="0.3">
      <c r="A672">
        <v>671</v>
      </c>
      <c r="B672" s="4">
        <v>45483</v>
      </c>
      <c r="C672" t="s">
        <v>15</v>
      </c>
      <c r="D672" t="s">
        <v>8</v>
      </c>
      <c r="E672">
        <v>13845</v>
      </c>
      <c r="F672">
        <v>1569</v>
      </c>
      <c r="G672" t="s">
        <v>16</v>
      </c>
    </row>
    <row r="673" spans="1:7" x14ac:dyDescent="0.3">
      <c r="A673">
        <v>672</v>
      </c>
      <c r="B673" s="4">
        <v>45325</v>
      </c>
      <c r="C673" t="s">
        <v>7</v>
      </c>
      <c r="D673" t="s">
        <v>11</v>
      </c>
      <c r="E673">
        <v>46430</v>
      </c>
      <c r="F673">
        <v>4572</v>
      </c>
      <c r="G673" t="s">
        <v>16</v>
      </c>
    </row>
    <row r="674" spans="1:7" x14ac:dyDescent="0.3">
      <c r="A674">
        <v>673</v>
      </c>
      <c r="B674" s="4">
        <v>45543</v>
      </c>
      <c r="C674" t="s">
        <v>7</v>
      </c>
      <c r="D674" t="s">
        <v>8</v>
      </c>
      <c r="E674">
        <v>1288</v>
      </c>
      <c r="F674">
        <v>-1562</v>
      </c>
      <c r="G674" t="s">
        <v>14</v>
      </c>
    </row>
    <row r="675" spans="1:7" x14ac:dyDescent="0.3">
      <c r="A675">
        <v>674</v>
      </c>
      <c r="B675" s="4">
        <v>45596</v>
      </c>
      <c r="C675" t="s">
        <v>17</v>
      </c>
      <c r="D675" t="s">
        <v>8</v>
      </c>
      <c r="E675">
        <v>20394</v>
      </c>
      <c r="F675">
        <v>391</v>
      </c>
      <c r="G675" t="s">
        <v>13</v>
      </c>
    </row>
    <row r="676" spans="1:7" x14ac:dyDescent="0.3">
      <c r="A676">
        <v>675</v>
      </c>
      <c r="B676" s="4">
        <v>45481</v>
      </c>
      <c r="C676" t="s">
        <v>10</v>
      </c>
      <c r="D676" t="s">
        <v>11</v>
      </c>
      <c r="E676">
        <v>37482</v>
      </c>
      <c r="F676">
        <v>3561</v>
      </c>
      <c r="G676" t="s">
        <v>14</v>
      </c>
    </row>
    <row r="677" spans="1:7" x14ac:dyDescent="0.3">
      <c r="A677">
        <v>676</v>
      </c>
      <c r="B677" s="4">
        <v>45504</v>
      </c>
      <c r="C677" t="s">
        <v>12</v>
      </c>
      <c r="D677" t="s">
        <v>11</v>
      </c>
      <c r="E677">
        <v>14588</v>
      </c>
      <c r="F677">
        <v>3729</v>
      </c>
      <c r="G677" t="s">
        <v>13</v>
      </c>
    </row>
    <row r="678" spans="1:7" x14ac:dyDescent="0.3">
      <c r="A678">
        <v>677</v>
      </c>
      <c r="B678" s="4">
        <v>45516</v>
      </c>
      <c r="C678" t="s">
        <v>10</v>
      </c>
      <c r="D678" t="s">
        <v>11</v>
      </c>
      <c r="E678">
        <v>42553</v>
      </c>
      <c r="F678">
        <v>9861</v>
      </c>
      <c r="G678" t="s">
        <v>16</v>
      </c>
    </row>
    <row r="679" spans="1:7" x14ac:dyDescent="0.3">
      <c r="A679">
        <v>678</v>
      </c>
      <c r="B679" s="4">
        <v>45610</v>
      </c>
      <c r="C679" t="s">
        <v>12</v>
      </c>
      <c r="D679" t="s">
        <v>11</v>
      </c>
      <c r="E679">
        <v>48921</v>
      </c>
      <c r="F679">
        <v>6082</v>
      </c>
      <c r="G679" t="s">
        <v>9</v>
      </c>
    </row>
    <row r="680" spans="1:7" x14ac:dyDescent="0.3">
      <c r="A680">
        <v>679</v>
      </c>
      <c r="B680" s="4">
        <v>45657</v>
      </c>
      <c r="C680" t="s">
        <v>7</v>
      </c>
      <c r="D680" t="s">
        <v>11</v>
      </c>
      <c r="E680">
        <v>35982</v>
      </c>
      <c r="F680">
        <v>547</v>
      </c>
      <c r="G680" t="s">
        <v>16</v>
      </c>
    </row>
    <row r="681" spans="1:7" x14ac:dyDescent="0.3">
      <c r="A681">
        <v>680</v>
      </c>
      <c r="B681" s="4">
        <v>45586</v>
      </c>
      <c r="C681" t="s">
        <v>7</v>
      </c>
      <c r="D681" t="s">
        <v>8</v>
      </c>
      <c r="E681">
        <v>26477</v>
      </c>
      <c r="F681">
        <v>-780</v>
      </c>
      <c r="G681" t="s">
        <v>16</v>
      </c>
    </row>
    <row r="682" spans="1:7" x14ac:dyDescent="0.3">
      <c r="A682">
        <v>681</v>
      </c>
      <c r="B682" s="4">
        <v>45635</v>
      </c>
      <c r="C682" t="s">
        <v>17</v>
      </c>
      <c r="D682" t="s">
        <v>8</v>
      </c>
      <c r="E682">
        <v>1536</v>
      </c>
      <c r="F682">
        <v>2432</v>
      </c>
      <c r="G682" t="s">
        <v>16</v>
      </c>
    </row>
    <row r="683" spans="1:7" x14ac:dyDescent="0.3">
      <c r="A683">
        <v>682</v>
      </c>
      <c r="B683" s="4">
        <v>45634</v>
      </c>
      <c r="C683" t="s">
        <v>17</v>
      </c>
      <c r="D683" t="s">
        <v>11</v>
      </c>
      <c r="E683">
        <v>16000</v>
      </c>
      <c r="F683">
        <v>4769</v>
      </c>
      <c r="G683" t="s">
        <v>14</v>
      </c>
    </row>
    <row r="684" spans="1:7" x14ac:dyDescent="0.3">
      <c r="A684">
        <v>683</v>
      </c>
      <c r="B684" s="4">
        <v>45319</v>
      </c>
      <c r="C684" t="s">
        <v>7</v>
      </c>
      <c r="D684" t="s">
        <v>8</v>
      </c>
      <c r="E684">
        <v>43588</v>
      </c>
      <c r="F684">
        <v>-1784</v>
      </c>
      <c r="G684" t="s">
        <v>13</v>
      </c>
    </row>
    <row r="685" spans="1:7" x14ac:dyDescent="0.3">
      <c r="A685">
        <v>684</v>
      </c>
      <c r="B685" s="4">
        <v>45492</v>
      </c>
      <c r="C685" t="s">
        <v>7</v>
      </c>
      <c r="D685" t="s">
        <v>11</v>
      </c>
      <c r="E685">
        <v>40782</v>
      </c>
      <c r="F685">
        <v>7734</v>
      </c>
      <c r="G685" t="s">
        <v>13</v>
      </c>
    </row>
    <row r="686" spans="1:7" x14ac:dyDescent="0.3">
      <c r="A686">
        <v>685</v>
      </c>
      <c r="B686" s="4">
        <v>45606</v>
      </c>
      <c r="C686" t="s">
        <v>15</v>
      </c>
      <c r="D686" t="s">
        <v>8</v>
      </c>
      <c r="E686">
        <v>11316</v>
      </c>
      <c r="F686">
        <v>2047</v>
      </c>
      <c r="G686" t="s">
        <v>14</v>
      </c>
    </row>
    <row r="687" spans="1:7" x14ac:dyDescent="0.3">
      <c r="A687">
        <v>686</v>
      </c>
      <c r="B687" s="4">
        <v>45422</v>
      </c>
      <c r="C687" t="s">
        <v>7</v>
      </c>
      <c r="D687" t="s">
        <v>8</v>
      </c>
      <c r="E687">
        <v>48891</v>
      </c>
      <c r="F687">
        <v>5055</v>
      </c>
      <c r="G687" t="s">
        <v>13</v>
      </c>
    </row>
    <row r="688" spans="1:7" x14ac:dyDescent="0.3">
      <c r="A688">
        <v>687</v>
      </c>
      <c r="B688" s="4">
        <v>45649</v>
      </c>
      <c r="C688" t="s">
        <v>7</v>
      </c>
      <c r="D688" t="s">
        <v>8</v>
      </c>
      <c r="E688">
        <v>33023</v>
      </c>
      <c r="F688">
        <v>3083</v>
      </c>
      <c r="G688" t="s">
        <v>14</v>
      </c>
    </row>
    <row r="689" spans="1:7" x14ac:dyDescent="0.3">
      <c r="A689">
        <v>688</v>
      </c>
      <c r="B689" s="4">
        <v>45366</v>
      </c>
      <c r="C689" t="s">
        <v>15</v>
      </c>
      <c r="D689" t="s">
        <v>8</v>
      </c>
      <c r="E689">
        <v>22616</v>
      </c>
      <c r="F689">
        <v>6304</v>
      </c>
      <c r="G689" t="s">
        <v>13</v>
      </c>
    </row>
    <row r="690" spans="1:7" x14ac:dyDescent="0.3">
      <c r="A690">
        <v>689</v>
      </c>
      <c r="B690" s="4">
        <v>45445</v>
      </c>
      <c r="C690" t="s">
        <v>7</v>
      </c>
      <c r="D690" t="s">
        <v>11</v>
      </c>
      <c r="E690">
        <v>30936</v>
      </c>
      <c r="F690">
        <v>7699</v>
      </c>
      <c r="G690" t="s">
        <v>9</v>
      </c>
    </row>
    <row r="691" spans="1:7" x14ac:dyDescent="0.3">
      <c r="A691">
        <v>690</v>
      </c>
      <c r="B691" s="4">
        <v>45428</v>
      </c>
      <c r="C691" t="s">
        <v>15</v>
      </c>
      <c r="D691" t="s">
        <v>8</v>
      </c>
      <c r="E691">
        <v>22222</v>
      </c>
      <c r="F691">
        <v>1881</v>
      </c>
      <c r="G691" t="s">
        <v>16</v>
      </c>
    </row>
    <row r="692" spans="1:7" x14ac:dyDescent="0.3">
      <c r="A692">
        <v>691</v>
      </c>
      <c r="B692" s="4">
        <v>45590</v>
      </c>
      <c r="C692" t="s">
        <v>12</v>
      </c>
      <c r="D692" t="s">
        <v>11</v>
      </c>
      <c r="E692">
        <v>24932</v>
      </c>
      <c r="F692">
        <v>4196</v>
      </c>
      <c r="G692" t="s">
        <v>9</v>
      </c>
    </row>
    <row r="693" spans="1:7" x14ac:dyDescent="0.3">
      <c r="A693">
        <v>692</v>
      </c>
      <c r="B693" s="4">
        <v>45491</v>
      </c>
      <c r="C693" t="s">
        <v>15</v>
      </c>
      <c r="D693" t="s">
        <v>11</v>
      </c>
      <c r="E693">
        <v>30231</v>
      </c>
      <c r="F693">
        <v>6361</v>
      </c>
      <c r="G693" t="s">
        <v>14</v>
      </c>
    </row>
    <row r="694" spans="1:7" x14ac:dyDescent="0.3">
      <c r="A694">
        <v>693</v>
      </c>
      <c r="B694" s="4">
        <v>45363</v>
      </c>
      <c r="C694" t="s">
        <v>12</v>
      </c>
      <c r="D694" t="s">
        <v>11</v>
      </c>
      <c r="E694">
        <v>33375</v>
      </c>
      <c r="F694">
        <v>7276</v>
      </c>
      <c r="G694" t="s">
        <v>9</v>
      </c>
    </row>
    <row r="695" spans="1:7" x14ac:dyDescent="0.3">
      <c r="A695">
        <v>694</v>
      </c>
      <c r="B695" s="4">
        <v>45564</v>
      </c>
      <c r="C695" t="s">
        <v>7</v>
      </c>
      <c r="D695" t="s">
        <v>8</v>
      </c>
      <c r="E695">
        <v>16031</v>
      </c>
      <c r="F695">
        <v>8469</v>
      </c>
      <c r="G695" t="s">
        <v>13</v>
      </c>
    </row>
    <row r="696" spans="1:7" x14ac:dyDescent="0.3">
      <c r="A696">
        <v>695</v>
      </c>
      <c r="B696" s="4">
        <v>45411</v>
      </c>
      <c r="C696" t="s">
        <v>15</v>
      </c>
      <c r="D696" t="s">
        <v>8</v>
      </c>
      <c r="E696">
        <v>38987</v>
      </c>
      <c r="F696">
        <v>9594</v>
      </c>
      <c r="G696" t="s">
        <v>16</v>
      </c>
    </row>
    <row r="697" spans="1:7" x14ac:dyDescent="0.3">
      <c r="A697">
        <v>696</v>
      </c>
      <c r="B697" s="4">
        <v>45539</v>
      </c>
      <c r="C697" t="s">
        <v>10</v>
      </c>
      <c r="D697" t="s">
        <v>11</v>
      </c>
      <c r="E697">
        <v>21809</v>
      </c>
      <c r="F697">
        <v>5537</v>
      </c>
      <c r="G697" t="s">
        <v>14</v>
      </c>
    </row>
    <row r="698" spans="1:7" x14ac:dyDescent="0.3">
      <c r="A698">
        <v>697</v>
      </c>
      <c r="B698" s="4">
        <v>45623</v>
      </c>
      <c r="C698" t="s">
        <v>17</v>
      </c>
      <c r="D698" t="s">
        <v>8</v>
      </c>
      <c r="E698">
        <v>10606</v>
      </c>
      <c r="F698">
        <v>5515</v>
      </c>
      <c r="G698" t="s">
        <v>9</v>
      </c>
    </row>
    <row r="699" spans="1:7" x14ac:dyDescent="0.3">
      <c r="A699">
        <v>698</v>
      </c>
      <c r="B699" s="4">
        <v>45427</v>
      </c>
      <c r="C699" t="s">
        <v>12</v>
      </c>
      <c r="D699" t="s">
        <v>8</v>
      </c>
      <c r="E699">
        <v>36115</v>
      </c>
      <c r="F699">
        <v>3378</v>
      </c>
      <c r="G699" t="s">
        <v>9</v>
      </c>
    </row>
    <row r="700" spans="1:7" x14ac:dyDescent="0.3">
      <c r="A700">
        <v>699</v>
      </c>
      <c r="B700" s="4">
        <v>45588</v>
      </c>
      <c r="C700" t="s">
        <v>15</v>
      </c>
      <c r="D700" t="s">
        <v>8</v>
      </c>
      <c r="E700">
        <v>49012</v>
      </c>
      <c r="F700">
        <v>2869</v>
      </c>
      <c r="G700" t="s">
        <v>9</v>
      </c>
    </row>
    <row r="701" spans="1:7" x14ac:dyDescent="0.3">
      <c r="A701">
        <v>700</v>
      </c>
      <c r="B701" s="4">
        <v>45363</v>
      </c>
      <c r="C701" t="s">
        <v>17</v>
      </c>
      <c r="D701" t="s">
        <v>11</v>
      </c>
      <c r="E701">
        <v>31195</v>
      </c>
      <c r="F701">
        <v>4018</v>
      </c>
      <c r="G701" t="s">
        <v>9</v>
      </c>
    </row>
    <row r="702" spans="1:7" x14ac:dyDescent="0.3">
      <c r="A702">
        <v>701</v>
      </c>
      <c r="B702" s="4">
        <v>45575</v>
      </c>
      <c r="C702" t="s">
        <v>15</v>
      </c>
      <c r="D702" t="s">
        <v>11</v>
      </c>
      <c r="E702">
        <v>6377</v>
      </c>
      <c r="F702">
        <v>1370</v>
      </c>
      <c r="G702" t="s">
        <v>9</v>
      </c>
    </row>
    <row r="703" spans="1:7" x14ac:dyDescent="0.3">
      <c r="A703">
        <v>702</v>
      </c>
      <c r="B703" s="4">
        <v>45434</v>
      </c>
      <c r="C703" t="s">
        <v>17</v>
      </c>
      <c r="D703" t="s">
        <v>11</v>
      </c>
      <c r="E703">
        <v>25533</v>
      </c>
      <c r="F703">
        <v>-265</v>
      </c>
      <c r="G703" t="s">
        <v>9</v>
      </c>
    </row>
    <row r="704" spans="1:7" x14ac:dyDescent="0.3">
      <c r="A704">
        <v>703</v>
      </c>
      <c r="B704" s="4">
        <v>45349</v>
      </c>
      <c r="C704" t="s">
        <v>15</v>
      </c>
      <c r="D704" t="s">
        <v>8</v>
      </c>
      <c r="E704">
        <v>46656</v>
      </c>
      <c r="F704">
        <v>5558</v>
      </c>
      <c r="G704" t="s">
        <v>14</v>
      </c>
    </row>
    <row r="705" spans="1:7" x14ac:dyDescent="0.3">
      <c r="A705">
        <v>704</v>
      </c>
      <c r="B705" s="4">
        <v>45398</v>
      </c>
      <c r="C705" t="s">
        <v>12</v>
      </c>
      <c r="D705" t="s">
        <v>11</v>
      </c>
      <c r="E705">
        <v>24311</v>
      </c>
      <c r="F705">
        <v>3804</v>
      </c>
      <c r="G705" t="s">
        <v>9</v>
      </c>
    </row>
    <row r="706" spans="1:7" x14ac:dyDescent="0.3">
      <c r="A706">
        <v>705</v>
      </c>
      <c r="B706" s="4">
        <v>45364</v>
      </c>
      <c r="C706" t="s">
        <v>10</v>
      </c>
      <c r="D706" t="s">
        <v>11</v>
      </c>
      <c r="E706">
        <v>41091</v>
      </c>
      <c r="F706">
        <v>1572</v>
      </c>
      <c r="G706" t="s">
        <v>13</v>
      </c>
    </row>
    <row r="707" spans="1:7" x14ac:dyDescent="0.3">
      <c r="A707">
        <v>706</v>
      </c>
      <c r="B707" s="4">
        <v>45297</v>
      </c>
      <c r="C707" t="s">
        <v>15</v>
      </c>
      <c r="D707" t="s">
        <v>11</v>
      </c>
      <c r="E707">
        <v>29057</v>
      </c>
      <c r="F707">
        <v>7319</v>
      </c>
      <c r="G707" t="s">
        <v>16</v>
      </c>
    </row>
    <row r="708" spans="1:7" x14ac:dyDescent="0.3">
      <c r="A708">
        <v>707</v>
      </c>
      <c r="B708" s="4">
        <v>45562</v>
      </c>
      <c r="C708" t="s">
        <v>7</v>
      </c>
      <c r="D708" t="s">
        <v>11</v>
      </c>
      <c r="E708">
        <v>7545</v>
      </c>
      <c r="F708">
        <v>1755</v>
      </c>
      <c r="G708" t="s">
        <v>14</v>
      </c>
    </row>
    <row r="709" spans="1:7" x14ac:dyDescent="0.3">
      <c r="A709">
        <v>708</v>
      </c>
      <c r="B709" s="4">
        <v>45424</v>
      </c>
      <c r="C709" t="s">
        <v>15</v>
      </c>
      <c r="D709" t="s">
        <v>8</v>
      </c>
      <c r="E709">
        <v>48124</v>
      </c>
      <c r="F709">
        <v>5205</v>
      </c>
      <c r="G709" t="s">
        <v>9</v>
      </c>
    </row>
    <row r="710" spans="1:7" x14ac:dyDescent="0.3">
      <c r="A710">
        <v>709</v>
      </c>
      <c r="B710" s="4">
        <v>45586</v>
      </c>
      <c r="C710" t="s">
        <v>15</v>
      </c>
      <c r="D710" t="s">
        <v>11</v>
      </c>
      <c r="E710">
        <v>21666</v>
      </c>
      <c r="F710">
        <v>6817</v>
      </c>
      <c r="G710" t="s">
        <v>16</v>
      </c>
    </row>
    <row r="711" spans="1:7" x14ac:dyDescent="0.3">
      <c r="A711">
        <v>710</v>
      </c>
      <c r="B711" s="4">
        <v>45324</v>
      </c>
      <c r="C711" t="s">
        <v>15</v>
      </c>
      <c r="D711" t="s">
        <v>8</v>
      </c>
      <c r="E711">
        <v>31944</v>
      </c>
      <c r="F711">
        <v>-1936</v>
      </c>
      <c r="G711" t="s">
        <v>9</v>
      </c>
    </row>
    <row r="712" spans="1:7" x14ac:dyDescent="0.3">
      <c r="A712">
        <v>711</v>
      </c>
      <c r="B712" s="4">
        <v>45488</v>
      </c>
      <c r="C712" t="s">
        <v>10</v>
      </c>
      <c r="D712" t="s">
        <v>11</v>
      </c>
      <c r="E712">
        <v>47309</v>
      </c>
      <c r="F712">
        <v>7095</v>
      </c>
      <c r="G712" t="s">
        <v>9</v>
      </c>
    </row>
    <row r="713" spans="1:7" x14ac:dyDescent="0.3">
      <c r="A713">
        <v>712</v>
      </c>
      <c r="B713" s="4">
        <v>45488</v>
      </c>
      <c r="C713" t="s">
        <v>17</v>
      </c>
      <c r="D713" t="s">
        <v>8</v>
      </c>
      <c r="E713">
        <v>9779</v>
      </c>
      <c r="F713">
        <v>3849</v>
      </c>
      <c r="G713" t="s">
        <v>9</v>
      </c>
    </row>
    <row r="714" spans="1:7" x14ac:dyDescent="0.3">
      <c r="A714">
        <v>713</v>
      </c>
      <c r="B714" s="4">
        <v>45611</v>
      </c>
      <c r="C714" t="s">
        <v>17</v>
      </c>
      <c r="D714" t="s">
        <v>11</v>
      </c>
      <c r="E714">
        <v>32975</v>
      </c>
      <c r="F714">
        <v>7801</v>
      </c>
      <c r="G714" t="s">
        <v>14</v>
      </c>
    </row>
    <row r="715" spans="1:7" x14ac:dyDescent="0.3">
      <c r="A715">
        <v>714</v>
      </c>
      <c r="B715" s="4">
        <v>45575</v>
      </c>
      <c r="C715" t="s">
        <v>17</v>
      </c>
      <c r="D715" t="s">
        <v>11</v>
      </c>
      <c r="E715">
        <v>20312</v>
      </c>
      <c r="F715">
        <v>2093</v>
      </c>
      <c r="G715" t="s">
        <v>9</v>
      </c>
    </row>
    <row r="716" spans="1:7" x14ac:dyDescent="0.3">
      <c r="A716">
        <v>715</v>
      </c>
      <c r="B716" s="4">
        <v>45321</v>
      </c>
      <c r="C716" t="s">
        <v>10</v>
      </c>
      <c r="D716" t="s">
        <v>11</v>
      </c>
      <c r="E716">
        <v>5648</v>
      </c>
      <c r="F716">
        <v>9497</v>
      </c>
      <c r="G716" t="s">
        <v>9</v>
      </c>
    </row>
    <row r="717" spans="1:7" x14ac:dyDescent="0.3">
      <c r="A717">
        <v>716</v>
      </c>
      <c r="B717" s="4">
        <v>45424</v>
      </c>
      <c r="C717" t="s">
        <v>12</v>
      </c>
      <c r="D717" t="s">
        <v>8</v>
      </c>
      <c r="E717">
        <v>13767</v>
      </c>
      <c r="F717">
        <v>4858</v>
      </c>
      <c r="G717" t="s">
        <v>14</v>
      </c>
    </row>
    <row r="718" spans="1:7" x14ac:dyDescent="0.3">
      <c r="A718">
        <v>717</v>
      </c>
      <c r="B718" s="4">
        <v>45636</v>
      </c>
      <c r="C718" t="s">
        <v>15</v>
      </c>
      <c r="D718" t="s">
        <v>8</v>
      </c>
      <c r="E718">
        <v>12635</v>
      </c>
      <c r="F718">
        <v>-658</v>
      </c>
      <c r="G718" t="s">
        <v>16</v>
      </c>
    </row>
    <row r="719" spans="1:7" x14ac:dyDescent="0.3">
      <c r="A719">
        <v>718</v>
      </c>
      <c r="B719" s="4">
        <v>45516</v>
      </c>
      <c r="C719" t="s">
        <v>7</v>
      </c>
      <c r="D719" t="s">
        <v>8</v>
      </c>
      <c r="E719">
        <v>10196</v>
      </c>
      <c r="F719">
        <v>-1415</v>
      </c>
      <c r="G719" t="s">
        <v>16</v>
      </c>
    </row>
    <row r="720" spans="1:7" x14ac:dyDescent="0.3">
      <c r="A720">
        <v>719</v>
      </c>
      <c r="B720" s="4">
        <v>45418</v>
      </c>
      <c r="C720" t="s">
        <v>7</v>
      </c>
      <c r="D720" t="s">
        <v>11</v>
      </c>
      <c r="E720">
        <v>49153</v>
      </c>
      <c r="F720">
        <v>6327</v>
      </c>
      <c r="G720" t="s">
        <v>13</v>
      </c>
    </row>
    <row r="721" spans="1:7" x14ac:dyDescent="0.3">
      <c r="A721">
        <v>720</v>
      </c>
      <c r="B721" s="4">
        <v>45504</v>
      </c>
      <c r="C721" t="s">
        <v>15</v>
      </c>
      <c r="D721" t="s">
        <v>8</v>
      </c>
      <c r="E721">
        <v>14428</v>
      </c>
      <c r="F721">
        <v>3570</v>
      </c>
      <c r="G721" t="s">
        <v>13</v>
      </c>
    </row>
    <row r="722" spans="1:7" x14ac:dyDescent="0.3">
      <c r="A722">
        <v>721</v>
      </c>
      <c r="B722" s="4">
        <v>45393</v>
      </c>
      <c r="C722" t="s">
        <v>12</v>
      </c>
      <c r="D722" t="s">
        <v>11</v>
      </c>
      <c r="E722">
        <v>16883</v>
      </c>
      <c r="F722">
        <v>1599</v>
      </c>
      <c r="G722" t="s">
        <v>9</v>
      </c>
    </row>
    <row r="723" spans="1:7" x14ac:dyDescent="0.3">
      <c r="A723">
        <v>722</v>
      </c>
      <c r="B723" s="4">
        <v>45350</v>
      </c>
      <c r="C723" t="s">
        <v>12</v>
      </c>
      <c r="D723" t="s">
        <v>8</v>
      </c>
      <c r="E723">
        <v>30835</v>
      </c>
      <c r="F723">
        <v>-949</v>
      </c>
      <c r="G723" t="s">
        <v>16</v>
      </c>
    </row>
    <row r="724" spans="1:7" x14ac:dyDescent="0.3">
      <c r="A724">
        <v>723</v>
      </c>
      <c r="B724" s="4">
        <v>45527</v>
      </c>
      <c r="C724" t="s">
        <v>15</v>
      </c>
      <c r="D724" t="s">
        <v>8</v>
      </c>
      <c r="E724">
        <v>13836</v>
      </c>
      <c r="F724">
        <v>-1148</v>
      </c>
      <c r="G724" t="s">
        <v>16</v>
      </c>
    </row>
    <row r="725" spans="1:7" x14ac:dyDescent="0.3">
      <c r="A725">
        <v>724</v>
      </c>
      <c r="B725" s="4">
        <v>45609</v>
      </c>
      <c r="C725" t="s">
        <v>12</v>
      </c>
      <c r="D725" t="s">
        <v>11</v>
      </c>
      <c r="E725">
        <v>24858</v>
      </c>
      <c r="F725">
        <v>7562</v>
      </c>
      <c r="G725" t="s">
        <v>16</v>
      </c>
    </row>
    <row r="726" spans="1:7" x14ac:dyDescent="0.3">
      <c r="A726">
        <v>725</v>
      </c>
      <c r="B726" s="4">
        <v>45486</v>
      </c>
      <c r="C726" t="s">
        <v>10</v>
      </c>
      <c r="D726" t="s">
        <v>11</v>
      </c>
      <c r="E726">
        <v>30816</v>
      </c>
      <c r="F726">
        <v>-1578</v>
      </c>
      <c r="G726" t="s">
        <v>13</v>
      </c>
    </row>
    <row r="727" spans="1:7" x14ac:dyDescent="0.3">
      <c r="A727">
        <v>726</v>
      </c>
      <c r="B727" s="4">
        <v>45628</v>
      </c>
      <c r="C727" t="s">
        <v>12</v>
      </c>
      <c r="D727" t="s">
        <v>8</v>
      </c>
      <c r="E727">
        <v>12041</v>
      </c>
      <c r="F727">
        <v>2162</v>
      </c>
      <c r="G727" t="s">
        <v>13</v>
      </c>
    </row>
    <row r="728" spans="1:7" x14ac:dyDescent="0.3">
      <c r="A728">
        <v>727</v>
      </c>
      <c r="B728" s="4">
        <v>45495</v>
      </c>
      <c r="C728" t="s">
        <v>15</v>
      </c>
      <c r="D728" t="s">
        <v>11</v>
      </c>
      <c r="E728">
        <v>1532</v>
      </c>
      <c r="F728">
        <v>3146</v>
      </c>
      <c r="G728" t="s">
        <v>9</v>
      </c>
    </row>
    <row r="729" spans="1:7" x14ac:dyDescent="0.3">
      <c r="A729">
        <v>728</v>
      </c>
      <c r="B729" s="4">
        <v>45628</v>
      </c>
      <c r="C729" t="s">
        <v>10</v>
      </c>
      <c r="D729" t="s">
        <v>11</v>
      </c>
      <c r="E729">
        <v>42425</v>
      </c>
      <c r="F729">
        <v>-1300</v>
      </c>
      <c r="G729" t="s">
        <v>9</v>
      </c>
    </row>
    <row r="730" spans="1:7" x14ac:dyDescent="0.3">
      <c r="A730">
        <v>729</v>
      </c>
      <c r="B730" s="4">
        <v>45406</v>
      </c>
      <c r="C730" t="s">
        <v>12</v>
      </c>
      <c r="D730" t="s">
        <v>11</v>
      </c>
      <c r="E730">
        <v>13079</v>
      </c>
      <c r="F730">
        <v>4560</v>
      </c>
      <c r="G730" t="s">
        <v>14</v>
      </c>
    </row>
    <row r="731" spans="1:7" x14ac:dyDescent="0.3">
      <c r="A731">
        <v>730</v>
      </c>
      <c r="B731" s="4">
        <v>45336</v>
      </c>
      <c r="C731" t="s">
        <v>17</v>
      </c>
      <c r="D731" t="s">
        <v>8</v>
      </c>
      <c r="E731">
        <v>40218</v>
      </c>
      <c r="F731">
        <v>6978</v>
      </c>
      <c r="G731" t="s">
        <v>9</v>
      </c>
    </row>
    <row r="732" spans="1:7" x14ac:dyDescent="0.3">
      <c r="A732">
        <v>731</v>
      </c>
      <c r="B732" s="4">
        <v>45383</v>
      </c>
      <c r="C732" t="s">
        <v>10</v>
      </c>
      <c r="D732" t="s">
        <v>8</v>
      </c>
      <c r="E732">
        <v>11602</v>
      </c>
      <c r="F732">
        <v>2994</v>
      </c>
      <c r="G732" t="s">
        <v>9</v>
      </c>
    </row>
    <row r="733" spans="1:7" x14ac:dyDescent="0.3">
      <c r="A733">
        <v>732</v>
      </c>
      <c r="B733" s="4">
        <v>45516</v>
      </c>
      <c r="C733" t="s">
        <v>7</v>
      </c>
      <c r="D733" t="s">
        <v>8</v>
      </c>
      <c r="E733">
        <v>5897</v>
      </c>
      <c r="F733">
        <v>-1552</v>
      </c>
      <c r="G733" t="s">
        <v>13</v>
      </c>
    </row>
    <row r="734" spans="1:7" x14ac:dyDescent="0.3">
      <c r="A734">
        <v>733</v>
      </c>
      <c r="B734" s="4">
        <v>45467</v>
      </c>
      <c r="C734" t="s">
        <v>17</v>
      </c>
      <c r="D734" t="s">
        <v>11</v>
      </c>
      <c r="E734">
        <v>10103</v>
      </c>
      <c r="F734">
        <v>-1661</v>
      </c>
      <c r="G734" t="s">
        <v>16</v>
      </c>
    </row>
    <row r="735" spans="1:7" x14ac:dyDescent="0.3">
      <c r="A735">
        <v>734</v>
      </c>
      <c r="B735" s="4">
        <v>45405</v>
      </c>
      <c r="C735" t="s">
        <v>10</v>
      </c>
      <c r="D735" t="s">
        <v>11</v>
      </c>
      <c r="E735">
        <v>17531</v>
      </c>
      <c r="F735">
        <v>4558</v>
      </c>
      <c r="G735" t="s">
        <v>9</v>
      </c>
    </row>
    <row r="736" spans="1:7" x14ac:dyDescent="0.3">
      <c r="A736">
        <v>735</v>
      </c>
      <c r="B736" s="4">
        <v>45389</v>
      </c>
      <c r="C736" t="s">
        <v>12</v>
      </c>
      <c r="D736" t="s">
        <v>11</v>
      </c>
      <c r="E736">
        <v>16832</v>
      </c>
      <c r="F736">
        <v>147</v>
      </c>
      <c r="G736" t="s">
        <v>16</v>
      </c>
    </row>
    <row r="737" spans="1:7" x14ac:dyDescent="0.3">
      <c r="A737">
        <v>736</v>
      </c>
      <c r="B737" s="4">
        <v>45597</v>
      </c>
      <c r="C737" t="s">
        <v>12</v>
      </c>
      <c r="D737" t="s">
        <v>11</v>
      </c>
      <c r="E737">
        <v>49905</v>
      </c>
      <c r="F737">
        <v>7080</v>
      </c>
      <c r="G737" t="s">
        <v>16</v>
      </c>
    </row>
    <row r="738" spans="1:7" x14ac:dyDescent="0.3">
      <c r="A738">
        <v>737</v>
      </c>
      <c r="B738" s="4">
        <v>45607</v>
      </c>
      <c r="C738" t="s">
        <v>10</v>
      </c>
      <c r="D738" t="s">
        <v>11</v>
      </c>
      <c r="E738">
        <v>20785</v>
      </c>
      <c r="F738">
        <v>9694</v>
      </c>
      <c r="G738" t="s">
        <v>16</v>
      </c>
    </row>
    <row r="739" spans="1:7" x14ac:dyDescent="0.3">
      <c r="A739">
        <v>738</v>
      </c>
      <c r="B739" s="4">
        <v>45527</v>
      </c>
      <c r="C739" t="s">
        <v>10</v>
      </c>
      <c r="D739" t="s">
        <v>11</v>
      </c>
      <c r="E739">
        <v>41659</v>
      </c>
      <c r="F739">
        <v>2779</v>
      </c>
      <c r="G739" t="s">
        <v>16</v>
      </c>
    </row>
    <row r="740" spans="1:7" x14ac:dyDescent="0.3">
      <c r="A740">
        <v>739</v>
      </c>
      <c r="B740" s="4">
        <v>45428</v>
      </c>
      <c r="C740" t="s">
        <v>12</v>
      </c>
      <c r="D740" t="s">
        <v>11</v>
      </c>
      <c r="E740">
        <v>38557</v>
      </c>
      <c r="F740">
        <v>9038</v>
      </c>
      <c r="G740" t="s">
        <v>13</v>
      </c>
    </row>
    <row r="741" spans="1:7" x14ac:dyDescent="0.3">
      <c r="A741">
        <v>740</v>
      </c>
      <c r="B741" s="4">
        <v>45646</v>
      </c>
      <c r="C741" t="s">
        <v>7</v>
      </c>
      <c r="D741" t="s">
        <v>11</v>
      </c>
      <c r="E741">
        <v>33303</v>
      </c>
      <c r="F741">
        <v>4391</v>
      </c>
      <c r="G741" t="s">
        <v>9</v>
      </c>
    </row>
    <row r="742" spans="1:7" x14ac:dyDescent="0.3">
      <c r="A742">
        <v>741</v>
      </c>
      <c r="B742" s="4">
        <v>45390</v>
      </c>
      <c r="C742" t="s">
        <v>10</v>
      </c>
      <c r="D742" t="s">
        <v>8</v>
      </c>
      <c r="E742">
        <v>6692</v>
      </c>
      <c r="F742">
        <v>9329</v>
      </c>
      <c r="G742" t="s">
        <v>16</v>
      </c>
    </row>
    <row r="743" spans="1:7" x14ac:dyDescent="0.3">
      <c r="A743">
        <v>742</v>
      </c>
      <c r="B743" s="4">
        <v>45403</v>
      </c>
      <c r="C743" t="s">
        <v>7</v>
      </c>
      <c r="D743" t="s">
        <v>8</v>
      </c>
      <c r="E743">
        <v>10396</v>
      </c>
      <c r="F743">
        <v>4494</v>
      </c>
      <c r="G743" t="s">
        <v>16</v>
      </c>
    </row>
    <row r="744" spans="1:7" x14ac:dyDescent="0.3">
      <c r="A744">
        <v>743</v>
      </c>
      <c r="B744" s="4">
        <v>45430</v>
      </c>
      <c r="C744" t="s">
        <v>15</v>
      </c>
      <c r="D744" t="s">
        <v>8</v>
      </c>
      <c r="E744">
        <v>32153</v>
      </c>
      <c r="F744">
        <v>5692</v>
      </c>
      <c r="G744" t="s">
        <v>9</v>
      </c>
    </row>
    <row r="745" spans="1:7" x14ac:dyDescent="0.3">
      <c r="A745">
        <v>744</v>
      </c>
      <c r="B745" s="4">
        <v>45530</v>
      </c>
      <c r="C745" t="s">
        <v>7</v>
      </c>
      <c r="D745" t="s">
        <v>8</v>
      </c>
      <c r="E745">
        <v>11160</v>
      </c>
      <c r="F745">
        <v>-1774</v>
      </c>
      <c r="G745" t="s">
        <v>14</v>
      </c>
    </row>
    <row r="746" spans="1:7" x14ac:dyDescent="0.3">
      <c r="A746">
        <v>745</v>
      </c>
      <c r="B746" s="4">
        <v>45507</v>
      </c>
      <c r="C746" t="s">
        <v>7</v>
      </c>
      <c r="D746" t="s">
        <v>11</v>
      </c>
      <c r="E746">
        <v>33104</v>
      </c>
      <c r="F746">
        <v>3784</v>
      </c>
      <c r="G746" t="s">
        <v>16</v>
      </c>
    </row>
    <row r="747" spans="1:7" x14ac:dyDescent="0.3">
      <c r="A747">
        <v>746</v>
      </c>
      <c r="B747" s="4">
        <v>45349</v>
      </c>
      <c r="C747" t="s">
        <v>17</v>
      </c>
      <c r="D747" t="s">
        <v>8</v>
      </c>
      <c r="E747">
        <v>3157</v>
      </c>
      <c r="F747">
        <v>4002</v>
      </c>
      <c r="G747" t="s">
        <v>14</v>
      </c>
    </row>
    <row r="748" spans="1:7" x14ac:dyDescent="0.3">
      <c r="A748">
        <v>747</v>
      </c>
      <c r="B748" s="4">
        <v>45617</v>
      </c>
      <c r="C748" t="s">
        <v>15</v>
      </c>
      <c r="D748" t="s">
        <v>8</v>
      </c>
      <c r="E748">
        <v>551</v>
      </c>
      <c r="F748">
        <v>1827</v>
      </c>
      <c r="G748" t="s">
        <v>9</v>
      </c>
    </row>
    <row r="749" spans="1:7" x14ac:dyDescent="0.3">
      <c r="A749">
        <v>748</v>
      </c>
      <c r="B749" s="4">
        <v>45651</v>
      </c>
      <c r="C749" t="s">
        <v>12</v>
      </c>
      <c r="D749" t="s">
        <v>11</v>
      </c>
      <c r="E749">
        <v>9730</v>
      </c>
      <c r="F749">
        <v>-348</v>
      </c>
      <c r="G749" t="s">
        <v>9</v>
      </c>
    </row>
    <row r="750" spans="1:7" x14ac:dyDescent="0.3">
      <c r="A750">
        <v>749</v>
      </c>
      <c r="B750" s="4">
        <v>45641</v>
      </c>
      <c r="C750" t="s">
        <v>10</v>
      </c>
      <c r="D750" t="s">
        <v>11</v>
      </c>
      <c r="E750">
        <v>18130</v>
      </c>
      <c r="F750">
        <v>3070</v>
      </c>
      <c r="G750" t="s">
        <v>16</v>
      </c>
    </row>
    <row r="751" spans="1:7" x14ac:dyDescent="0.3">
      <c r="A751">
        <v>750</v>
      </c>
      <c r="B751" s="4">
        <v>45595</v>
      </c>
      <c r="C751" t="s">
        <v>12</v>
      </c>
      <c r="D751" t="s">
        <v>11</v>
      </c>
      <c r="E751">
        <v>5151</v>
      </c>
      <c r="F751">
        <v>-1841</v>
      </c>
      <c r="G751" t="s">
        <v>16</v>
      </c>
    </row>
    <row r="752" spans="1:7" x14ac:dyDescent="0.3">
      <c r="A752">
        <v>751</v>
      </c>
      <c r="B752" s="4">
        <v>45409</v>
      </c>
      <c r="C752" t="s">
        <v>17</v>
      </c>
      <c r="D752" t="s">
        <v>11</v>
      </c>
      <c r="E752">
        <v>12617</v>
      </c>
      <c r="F752">
        <v>3404</v>
      </c>
      <c r="G752" t="s">
        <v>9</v>
      </c>
    </row>
    <row r="753" spans="1:7" x14ac:dyDescent="0.3">
      <c r="A753">
        <v>752</v>
      </c>
      <c r="B753" s="4">
        <v>45609</v>
      </c>
      <c r="C753" t="s">
        <v>12</v>
      </c>
      <c r="D753" t="s">
        <v>8</v>
      </c>
      <c r="E753">
        <v>14310</v>
      </c>
      <c r="F753">
        <v>1621</v>
      </c>
      <c r="G753" t="s">
        <v>13</v>
      </c>
    </row>
    <row r="754" spans="1:7" x14ac:dyDescent="0.3">
      <c r="A754">
        <v>753</v>
      </c>
      <c r="B754" s="4">
        <v>45619</v>
      </c>
      <c r="C754" t="s">
        <v>10</v>
      </c>
      <c r="D754" t="s">
        <v>11</v>
      </c>
      <c r="E754">
        <v>33197</v>
      </c>
      <c r="F754">
        <v>3598</v>
      </c>
      <c r="G754" t="s">
        <v>16</v>
      </c>
    </row>
    <row r="755" spans="1:7" x14ac:dyDescent="0.3">
      <c r="A755">
        <v>754</v>
      </c>
      <c r="B755" s="4">
        <v>45587</v>
      </c>
      <c r="C755" t="s">
        <v>7</v>
      </c>
      <c r="D755" t="s">
        <v>11</v>
      </c>
      <c r="E755">
        <v>47653</v>
      </c>
      <c r="F755">
        <v>3720</v>
      </c>
      <c r="G755" t="s">
        <v>13</v>
      </c>
    </row>
    <row r="756" spans="1:7" x14ac:dyDescent="0.3">
      <c r="A756">
        <v>755</v>
      </c>
      <c r="B756" s="4">
        <v>45555</v>
      </c>
      <c r="C756" t="s">
        <v>7</v>
      </c>
      <c r="D756" t="s">
        <v>8</v>
      </c>
      <c r="E756">
        <v>27638</v>
      </c>
      <c r="F756">
        <v>9354</v>
      </c>
      <c r="G756" t="s">
        <v>14</v>
      </c>
    </row>
    <row r="757" spans="1:7" x14ac:dyDescent="0.3">
      <c r="A757">
        <v>756</v>
      </c>
      <c r="B757" s="4">
        <v>45362</v>
      </c>
      <c r="C757" t="s">
        <v>12</v>
      </c>
      <c r="D757" t="s">
        <v>11</v>
      </c>
      <c r="E757">
        <v>23573</v>
      </c>
      <c r="F757">
        <v>5774</v>
      </c>
      <c r="G757" t="s">
        <v>14</v>
      </c>
    </row>
    <row r="758" spans="1:7" x14ac:dyDescent="0.3">
      <c r="A758">
        <v>757</v>
      </c>
      <c r="B758" s="4">
        <v>45574</v>
      </c>
      <c r="C758" t="s">
        <v>15</v>
      </c>
      <c r="D758" t="s">
        <v>8</v>
      </c>
      <c r="E758">
        <v>42335</v>
      </c>
      <c r="F758">
        <v>8297</v>
      </c>
      <c r="G758" t="s">
        <v>14</v>
      </c>
    </row>
    <row r="759" spans="1:7" x14ac:dyDescent="0.3">
      <c r="A759">
        <v>758</v>
      </c>
      <c r="B759" s="4">
        <v>45519</v>
      </c>
      <c r="C759" t="s">
        <v>15</v>
      </c>
      <c r="D759" t="s">
        <v>8</v>
      </c>
      <c r="E759">
        <v>44714</v>
      </c>
      <c r="F759">
        <v>2841</v>
      </c>
      <c r="G759" t="s">
        <v>13</v>
      </c>
    </row>
    <row r="760" spans="1:7" x14ac:dyDescent="0.3">
      <c r="A760">
        <v>759</v>
      </c>
      <c r="B760" s="4">
        <v>45485</v>
      </c>
      <c r="C760" t="s">
        <v>15</v>
      </c>
      <c r="D760" t="s">
        <v>8</v>
      </c>
      <c r="E760">
        <v>27854</v>
      </c>
      <c r="F760">
        <v>7385</v>
      </c>
      <c r="G760" t="s">
        <v>14</v>
      </c>
    </row>
    <row r="761" spans="1:7" x14ac:dyDescent="0.3">
      <c r="A761">
        <v>760</v>
      </c>
      <c r="B761" s="4">
        <v>45604</v>
      </c>
      <c r="C761" t="s">
        <v>12</v>
      </c>
      <c r="D761" t="s">
        <v>11</v>
      </c>
      <c r="E761">
        <v>25415</v>
      </c>
      <c r="F761">
        <v>1311</v>
      </c>
      <c r="G761" t="s">
        <v>14</v>
      </c>
    </row>
    <row r="762" spans="1:7" x14ac:dyDescent="0.3">
      <c r="A762">
        <v>761</v>
      </c>
      <c r="B762" s="4">
        <v>45431</v>
      </c>
      <c r="C762" t="s">
        <v>7</v>
      </c>
      <c r="D762" t="s">
        <v>8</v>
      </c>
      <c r="E762">
        <v>42399</v>
      </c>
      <c r="F762">
        <v>-1058</v>
      </c>
      <c r="G762" t="s">
        <v>14</v>
      </c>
    </row>
    <row r="763" spans="1:7" x14ac:dyDescent="0.3">
      <c r="A763">
        <v>762</v>
      </c>
      <c r="B763" s="4">
        <v>45317</v>
      </c>
      <c r="C763" t="s">
        <v>7</v>
      </c>
      <c r="D763" t="s">
        <v>11</v>
      </c>
      <c r="E763">
        <v>20722</v>
      </c>
      <c r="F763">
        <v>3240</v>
      </c>
      <c r="G763" t="s">
        <v>16</v>
      </c>
    </row>
    <row r="764" spans="1:7" x14ac:dyDescent="0.3">
      <c r="A764">
        <v>763</v>
      </c>
      <c r="B764" s="4">
        <v>45508</v>
      </c>
      <c r="C764" t="s">
        <v>17</v>
      </c>
      <c r="D764" t="s">
        <v>11</v>
      </c>
      <c r="E764">
        <v>39117</v>
      </c>
      <c r="F764">
        <v>8462</v>
      </c>
      <c r="G764" t="s">
        <v>14</v>
      </c>
    </row>
    <row r="765" spans="1:7" x14ac:dyDescent="0.3">
      <c r="A765">
        <v>764</v>
      </c>
      <c r="B765" s="4">
        <v>45451</v>
      </c>
      <c r="C765" t="s">
        <v>17</v>
      </c>
      <c r="D765" t="s">
        <v>11</v>
      </c>
      <c r="E765">
        <v>34294</v>
      </c>
      <c r="F765">
        <v>1508</v>
      </c>
      <c r="G765" t="s">
        <v>16</v>
      </c>
    </row>
    <row r="766" spans="1:7" x14ac:dyDescent="0.3">
      <c r="A766">
        <v>765</v>
      </c>
      <c r="B766" s="4">
        <v>45499</v>
      </c>
      <c r="C766" t="s">
        <v>12</v>
      </c>
      <c r="D766" t="s">
        <v>8</v>
      </c>
      <c r="E766">
        <v>3292</v>
      </c>
      <c r="F766">
        <v>4331</v>
      </c>
      <c r="G766" t="s">
        <v>9</v>
      </c>
    </row>
    <row r="767" spans="1:7" x14ac:dyDescent="0.3">
      <c r="A767">
        <v>766</v>
      </c>
      <c r="B767" s="4">
        <v>45521</v>
      </c>
      <c r="C767" t="s">
        <v>17</v>
      </c>
      <c r="D767" t="s">
        <v>8</v>
      </c>
      <c r="E767">
        <v>1076</v>
      </c>
      <c r="F767">
        <v>5313</v>
      </c>
      <c r="G767" t="s">
        <v>16</v>
      </c>
    </row>
    <row r="768" spans="1:7" x14ac:dyDescent="0.3">
      <c r="A768">
        <v>767</v>
      </c>
      <c r="B768" s="4">
        <v>45570</v>
      </c>
      <c r="C768" t="s">
        <v>10</v>
      </c>
      <c r="D768" t="s">
        <v>8</v>
      </c>
      <c r="E768">
        <v>12524</v>
      </c>
      <c r="F768">
        <v>3186</v>
      </c>
      <c r="G768" t="s">
        <v>14</v>
      </c>
    </row>
    <row r="769" spans="1:7" x14ac:dyDescent="0.3">
      <c r="A769">
        <v>768</v>
      </c>
      <c r="B769" s="4">
        <v>45491</v>
      </c>
      <c r="C769" t="s">
        <v>7</v>
      </c>
      <c r="D769" t="s">
        <v>11</v>
      </c>
      <c r="E769">
        <v>35722</v>
      </c>
      <c r="F769">
        <v>7914</v>
      </c>
      <c r="G769" t="s">
        <v>14</v>
      </c>
    </row>
    <row r="770" spans="1:7" x14ac:dyDescent="0.3">
      <c r="A770">
        <v>769</v>
      </c>
      <c r="B770" s="4">
        <v>45648</v>
      </c>
      <c r="C770" t="s">
        <v>7</v>
      </c>
      <c r="D770" t="s">
        <v>8</v>
      </c>
      <c r="E770">
        <v>5717</v>
      </c>
      <c r="F770">
        <v>51</v>
      </c>
      <c r="G770" t="s">
        <v>13</v>
      </c>
    </row>
    <row r="771" spans="1:7" x14ac:dyDescent="0.3">
      <c r="A771">
        <v>770</v>
      </c>
      <c r="B771" s="4">
        <v>45464</v>
      </c>
      <c r="C771" t="s">
        <v>10</v>
      </c>
      <c r="D771" t="s">
        <v>8</v>
      </c>
      <c r="E771">
        <v>18870</v>
      </c>
      <c r="F771">
        <v>4744</v>
      </c>
      <c r="G771" t="s">
        <v>13</v>
      </c>
    </row>
    <row r="772" spans="1:7" x14ac:dyDescent="0.3">
      <c r="A772">
        <v>771</v>
      </c>
      <c r="B772" s="4">
        <v>45503</v>
      </c>
      <c r="C772" t="s">
        <v>7</v>
      </c>
      <c r="D772" t="s">
        <v>8</v>
      </c>
      <c r="E772">
        <v>27205</v>
      </c>
      <c r="F772">
        <v>4878</v>
      </c>
      <c r="G772" t="s">
        <v>9</v>
      </c>
    </row>
    <row r="773" spans="1:7" x14ac:dyDescent="0.3">
      <c r="A773">
        <v>772</v>
      </c>
      <c r="B773" s="4">
        <v>45426</v>
      </c>
      <c r="C773" t="s">
        <v>12</v>
      </c>
      <c r="D773" t="s">
        <v>8</v>
      </c>
      <c r="E773">
        <v>18677</v>
      </c>
      <c r="F773">
        <v>6589</v>
      </c>
      <c r="G773" t="s">
        <v>9</v>
      </c>
    </row>
    <row r="774" spans="1:7" x14ac:dyDescent="0.3">
      <c r="A774">
        <v>773</v>
      </c>
      <c r="B774" s="4">
        <v>45364</v>
      </c>
      <c r="C774" t="s">
        <v>10</v>
      </c>
      <c r="D774" t="s">
        <v>11</v>
      </c>
      <c r="E774">
        <v>49686</v>
      </c>
      <c r="F774">
        <v>2905</v>
      </c>
      <c r="G774" t="s">
        <v>14</v>
      </c>
    </row>
    <row r="775" spans="1:7" x14ac:dyDescent="0.3">
      <c r="A775">
        <v>774</v>
      </c>
      <c r="B775" s="4">
        <v>45488</v>
      </c>
      <c r="C775" t="s">
        <v>7</v>
      </c>
      <c r="D775" t="s">
        <v>11</v>
      </c>
      <c r="E775">
        <v>38992</v>
      </c>
      <c r="F775">
        <v>3823</v>
      </c>
      <c r="G775" t="s">
        <v>13</v>
      </c>
    </row>
    <row r="776" spans="1:7" x14ac:dyDescent="0.3">
      <c r="A776">
        <v>775</v>
      </c>
      <c r="B776" s="4">
        <v>45436</v>
      </c>
      <c r="C776" t="s">
        <v>15</v>
      </c>
      <c r="D776" t="s">
        <v>11</v>
      </c>
      <c r="E776">
        <v>27152</v>
      </c>
      <c r="F776">
        <v>860</v>
      </c>
      <c r="G776" t="s">
        <v>13</v>
      </c>
    </row>
    <row r="777" spans="1:7" x14ac:dyDescent="0.3">
      <c r="A777">
        <v>776</v>
      </c>
      <c r="B777" s="4">
        <v>45485</v>
      </c>
      <c r="C777" t="s">
        <v>7</v>
      </c>
      <c r="D777" t="s">
        <v>8</v>
      </c>
      <c r="E777">
        <v>29342</v>
      </c>
      <c r="F777">
        <v>7472</v>
      </c>
      <c r="G777" t="s">
        <v>14</v>
      </c>
    </row>
    <row r="778" spans="1:7" x14ac:dyDescent="0.3">
      <c r="A778">
        <v>777</v>
      </c>
      <c r="B778" s="4">
        <v>45457</v>
      </c>
      <c r="C778" t="s">
        <v>17</v>
      </c>
      <c r="D778" t="s">
        <v>11</v>
      </c>
      <c r="E778">
        <v>34835</v>
      </c>
      <c r="F778">
        <v>3377</v>
      </c>
      <c r="G778" t="s">
        <v>16</v>
      </c>
    </row>
    <row r="779" spans="1:7" x14ac:dyDescent="0.3">
      <c r="A779">
        <v>778</v>
      </c>
      <c r="B779" s="4">
        <v>45327</v>
      </c>
      <c r="C779" t="s">
        <v>12</v>
      </c>
      <c r="D779" t="s">
        <v>11</v>
      </c>
      <c r="E779">
        <v>9495</v>
      </c>
      <c r="F779">
        <v>3246</v>
      </c>
      <c r="G779" t="s">
        <v>14</v>
      </c>
    </row>
    <row r="780" spans="1:7" x14ac:dyDescent="0.3">
      <c r="A780">
        <v>779</v>
      </c>
      <c r="B780" s="4">
        <v>45529</v>
      </c>
      <c r="C780" t="s">
        <v>10</v>
      </c>
      <c r="D780" t="s">
        <v>8</v>
      </c>
      <c r="E780">
        <v>4819</v>
      </c>
      <c r="F780">
        <v>7117</v>
      </c>
      <c r="G780" t="s">
        <v>9</v>
      </c>
    </row>
    <row r="781" spans="1:7" x14ac:dyDescent="0.3">
      <c r="A781">
        <v>780</v>
      </c>
      <c r="B781" s="4">
        <v>45350</v>
      </c>
      <c r="C781" t="s">
        <v>10</v>
      </c>
      <c r="D781" t="s">
        <v>8</v>
      </c>
      <c r="E781">
        <v>44554</v>
      </c>
      <c r="F781">
        <v>1716</v>
      </c>
      <c r="G781" t="s">
        <v>14</v>
      </c>
    </row>
    <row r="782" spans="1:7" x14ac:dyDescent="0.3">
      <c r="A782">
        <v>781</v>
      </c>
      <c r="B782" s="4">
        <v>45428</v>
      </c>
      <c r="C782" t="s">
        <v>10</v>
      </c>
      <c r="D782" t="s">
        <v>8</v>
      </c>
      <c r="E782">
        <v>2809</v>
      </c>
      <c r="F782">
        <v>7218</v>
      </c>
      <c r="G782" t="s">
        <v>13</v>
      </c>
    </row>
    <row r="783" spans="1:7" x14ac:dyDescent="0.3">
      <c r="A783">
        <v>782</v>
      </c>
      <c r="B783" s="4">
        <v>45441</v>
      </c>
      <c r="C783" t="s">
        <v>7</v>
      </c>
      <c r="D783" t="s">
        <v>11</v>
      </c>
      <c r="E783">
        <v>23622</v>
      </c>
      <c r="F783">
        <v>7324</v>
      </c>
      <c r="G783" t="s">
        <v>9</v>
      </c>
    </row>
    <row r="784" spans="1:7" x14ac:dyDescent="0.3">
      <c r="A784">
        <v>783</v>
      </c>
      <c r="B784" s="4">
        <v>45644</v>
      </c>
      <c r="C784" t="s">
        <v>10</v>
      </c>
      <c r="D784" t="s">
        <v>11</v>
      </c>
      <c r="E784">
        <v>2417</v>
      </c>
      <c r="F784">
        <v>3561</v>
      </c>
      <c r="G784" t="s">
        <v>16</v>
      </c>
    </row>
    <row r="785" spans="1:7" x14ac:dyDescent="0.3">
      <c r="A785">
        <v>784</v>
      </c>
      <c r="B785" s="4">
        <v>45430</v>
      </c>
      <c r="C785" t="s">
        <v>17</v>
      </c>
      <c r="D785" t="s">
        <v>11</v>
      </c>
      <c r="E785">
        <v>9339</v>
      </c>
      <c r="F785">
        <v>-467</v>
      </c>
      <c r="G785" t="s">
        <v>16</v>
      </c>
    </row>
    <row r="786" spans="1:7" x14ac:dyDescent="0.3">
      <c r="A786">
        <v>785</v>
      </c>
      <c r="B786" s="4">
        <v>45631</v>
      </c>
      <c r="C786" t="s">
        <v>17</v>
      </c>
      <c r="D786" t="s">
        <v>11</v>
      </c>
      <c r="E786">
        <v>37123</v>
      </c>
      <c r="F786">
        <v>536</v>
      </c>
      <c r="G786" t="s">
        <v>14</v>
      </c>
    </row>
    <row r="787" spans="1:7" x14ac:dyDescent="0.3">
      <c r="A787">
        <v>786</v>
      </c>
      <c r="B787" s="4">
        <v>45481</v>
      </c>
      <c r="C787" t="s">
        <v>17</v>
      </c>
      <c r="D787" t="s">
        <v>8</v>
      </c>
      <c r="E787">
        <v>28985</v>
      </c>
      <c r="F787">
        <v>9715</v>
      </c>
      <c r="G787" t="s">
        <v>14</v>
      </c>
    </row>
    <row r="788" spans="1:7" x14ac:dyDescent="0.3">
      <c r="A788">
        <v>787</v>
      </c>
      <c r="B788" s="4">
        <v>45303</v>
      </c>
      <c r="C788" t="s">
        <v>17</v>
      </c>
      <c r="D788" t="s">
        <v>11</v>
      </c>
      <c r="E788">
        <v>37604</v>
      </c>
      <c r="F788">
        <v>-979</v>
      </c>
      <c r="G788" t="s">
        <v>13</v>
      </c>
    </row>
    <row r="789" spans="1:7" x14ac:dyDescent="0.3">
      <c r="A789">
        <v>788</v>
      </c>
      <c r="B789" s="4">
        <v>45609</v>
      </c>
      <c r="C789" t="s">
        <v>10</v>
      </c>
      <c r="D789" t="s">
        <v>8</v>
      </c>
      <c r="E789">
        <v>12042</v>
      </c>
      <c r="F789">
        <v>3546</v>
      </c>
      <c r="G789" t="s">
        <v>14</v>
      </c>
    </row>
    <row r="790" spans="1:7" x14ac:dyDescent="0.3">
      <c r="A790">
        <v>789</v>
      </c>
      <c r="B790" s="4">
        <v>45596</v>
      </c>
      <c r="C790" t="s">
        <v>10</v>
      </c>
      <c r="D790" t="s">
        <v>11</v>
      </c>
      <c r="E790">
        <v>37652</v>
      </c>
      <c r="F790">
        <v>2586</v>
      </c>
      <c r="G790" t="s">
        <v>16</v>
      </c>
    </row>
    <row r="791" spans="1:7" x14ac:dyDescent="0.3">
      <c r="A791">
        <v>790</v>
      </c>
      <c r="B791" s="4">
        <v>45345</v>
      </c>
      <c r="C791" t="s">
        <v>12</v>
      </c>
      <c r="D791" t="s">
        <v>8</v>
      </c>
      <c r="E791">
        <v>31492</v>
      </c>
      <c r="F791">
        <v>3950</v>
      </c>
      <c r="G791" t="s">
        <v>9</v>
      </c>
    </row>
    <row r="792" spans="1:7" x14ac:dyDescent="0.3">
      <c r="A792">
        <v>791</v>
      </c>
      <c r="B792" s="4">
        <v>45435</v>
      </c>
      <c r="C792" t="s">
        <v>12</v>
      </c>
      <c r="D792" t="s">
        <v>8</v>
      </c>
      <c r="E792">
        <v>19599</v>
      </c>
      <c r="F792">
        <v>4444</v>
      </c>
      <c r="G792" t="s">
        <v>14</v>
      </c>
    </row>
    <row r="793" spans="1:7" x14ac:dyDescent="0.3">
      <c r="A793">
        <v>792</v>
      </c>
      <c r="B793" s="4">
        <v>45346</v>
      </c>
      <c r="C793" t="s">
        <v>10</v>
      </c>
      <c r="D793" t="s">
        <v>11</v>
      </c>
      <c r="E793">
        <v>42288</v>
      </c>
      <c r="F793">
        <v>4921</v>
      </c>
      <c r="G793" t="s">
        <v>13</v>
      </c>
    </row>
    <row r="794" spans="1:7" x14ac:dyDescent="0.3">
      <c r="A794">
        <v>793</v>
      </c>
      <c r="B794" s="4">
        <v>45650</v>
      </c>
      <c r="C794" t="s">
        <v>15</v>
      </c>
      <c r="D794" t="s">
        <v>11</v>
      </c>
      <c r="E794">
        <v>11879</v>
      </c>
      <c r="F794">
        <v>4099</v>
      </c>
      <c r="G794" t="s">
        <v>16</v>
      </c>
    </row>
    <row r="795" spans="1:7" x14ac:dyDescent="0.3">
      <c r="A795">
        <v>794</v>
      </c>
      <c r="B795" s="4">
        <v>45407</v>
      </c>
      <c r="C795" t="s">
        <v>10</v>
      </c>
      <c r="D795" t="s">
        <v>8</v>
      </c>
      <c r="E795">
        <v>11302</v>
      </c>
      <c r="F795">
        <v>4109</v>
      </c>
      <c r="G795" t="s">
        <v>14</v>
      </c>
    </row>
    <row r="796" spans="1:7" x14ac:dyDescent="0.3">
      <c r="A796">
        <v>795</v>
      </c>
      <c r="B796" s="4">
        <v>45415</v>
      </c>
      <c r="C796" t="s">
        <v>12</v>
      </c>
      <c r="D796" t="s">
        <v>8</v>
      </c>
      <c r="E796">
        <v>14201</v>
      </c>
      <c r="F796">
        <v>1052</v>
      </c>
      <c r="G796" t="s">
        <v>16</v>
      </c>
    </row>
    <row r="797" spans="1:7" x14ac:dyDescent="0.3">
      <c r="A797">
        <v>796</v>
      </c>
      <c r="B797" s="4">
        <v>45580</v>
      </c>
      <c r="C797" t="s">
        <v>7</v>
      </c>
      <c r="D797" t="s">
        <v>11</v>
      </c>
      <c r="E797">
        <v>47767</v>
      </c>
      <c r="F797">
        <v>2420</v>
      </c>
      <c r="G797" t="s">
        <v>14</v>
      </c>
    </row>
    <row r="798" spans="1:7" x14ac:dyDescent="0.3">
      <c r="A798">
        <v>797</v>
      </c>
      <c r="B798" s="4">
        <v>45385</v>
      </c>
      <c r="C798" t="s">
        <v>10</v>
      </c>
      <c r="D798" t="s">
        <v>8</v>
      </c>
      <c r="E798">
        <v>45666</v>
      </c>
      <c r="F798">
        <v>4385</v>
      </c>
      <c r="G798" t="s">
        <v>16</v>
      </c>
    </row>
    <row r="799" spans="1:7" x14ac:dyDescent="0.3">
      <c r="A799">
        <v>798</v>
      </c>
      <c r="B799" s="4">
        <v>45634</v>
      </c>
      <c r="C799" t="s">
        <v>17</v>
      </c>
      <c r="D799" t="s">
        <v>8</v>
      </c>
      <c r="E799">
        <v>4298</v>
      </c>
      <c r="F799">
        <v>4446</v>
      </c>
      <c r="G799" t="s">
        <v>16</v>
      </c>
    </row>
    <row r="800" spans="1:7" x14ac:dyDescent="0.3">
      <c r="A800">
        <v>799</v>
      </c>
      <c r="B800" s="4">
        <v>45420</v>
      </c>
      <c r="C800" t="s">
        <v>15</v>
      </c>
      <c r="D800" t="s">
        <v>11</v>
      </c>
      <c r="E800">
        <v>19347</v>
      </c>
      <c r="F800">
        <v>1935</v>
      </c>
      <c r="G800" t="s">
        <v>13</v>
      </c>
    </row>
    <row r="801" spans="1:7" x14ac:dyDescent="0.3">
      <c r="A801">
        <v>800</v>
      </c>
      <c r="B801" s="4">
        <v>45326</v>
      </c>
      <c r="C801" t="s">
        <v>7</v>
      </c>
      <c r="D801" t="s">
        <v>11</v>
      </c>
      <c r="E801">
        <v>21698</v>
      </c>
      <c r="F801">
        <v>-1178</v>
      </c>
      <c r="G801" t="s">
        <v>16</v>
      </c>
    </row>
    <row r="802" spans="1:7" x14ac:dyDescent="0.3">
      <c r="A802">
        <v>801</v>
      </c>
      <c r="B802" s="4">
        <v>45523</v>
      </c>
      <c r="C802" t="s">
        <v>7</v>
      </c>
      <c r="D802" t="s">
        <v>8</v>
      </c>
      <c r="E802">
        <v>15113</v>
      </c>
      <c r="F802">
        <v>1033</v>
      </c>
      <c r="G802" t="s">
        <v>13</v>
      </c>
    </row>
    <row r="803" spans="1:7" x14ac:dyDescent="0.3">
      <c r="A803">
        <v>802</v>
      </c>
      <c r="B803" s="4">
        <v>45604</v>
      </c>
      <c r="C803" t="s">
        <v>17</v>
      </c>
      <c r="D803" t="s">
        <v>11</v>
      </c>
      <c r="E803">
        <v>12686</v>
      </c>
      <c r="F803">
        <v>2825</v>
      </c>
      <c r="G803" t="s">
        <v>9</v>
      </c>
    </row>
    <row r="804" spans="1:7" x14ac:dyDescent="0.3">
      <c r="A804">
        <v>803</v>
      </c>
      <c r="B804" s="4">
        <v>45500</v>
      </c>
      <c r="C804" t="s">
        <v>7</v>
      </c>
      <c r="D804" t="s">
        <v>8</v>
      </c>
      <c r="E804">
        <v>37524</v>
      </c>
      <c r="F804">
        <v>7654</v>
      </c>
      <c r="G804" t="s">
        <v>13</v>
      </c>
    </row>
    <row r="805" spans="1:7" x14ac:dyDescent="0.3">
      <c r="A805">
        <v>804</v>
      </c>
      <c r="B805" s="4">
        <v>45380</v>
      </c>
      <c r="C805" t="s">
        <v>7</v>
      </c>
      <c r="D805" t="s">
        <v>11</v>
      </c>
      <c r="E805">
        <v>10684</v>
      </c>
      <c r="F805">
        <v>-1192</v>
      </c>
      <c r="G805" t="s">
        <v>13</v>
      </c>
    </row>
    <row r="806" spans="1:7" x14ac:dyDescent="0.3">
      <c r="A806">
        <v>805</v>
      </c>
      <c r="B806" s="4">
        <v>45396</v>
      </c>
      <c r="C806" t="s">
        <v>17</v>
      </c>
      <c r="D806" t="s">
        <v>8</v>
      </c>
      <c r="E806">
        <v>40227</v>
      </c>
      <c r="F806">
        <v>4725</v>
      </c>
      <c r="G806" t="s">
        <v>13</v>
      </c>
    </row>
    <row r="807" spans="1:7" x14ac:dyDescent="0.3">
      <c r="A807">
        <v>806</v>
      </c>
      <c r="B807" s="4">
        <v>45571</v>
      </c>
      <c r="C807" t="s">
        <v>17</v>
      </c>
      <c r="D807" t="s">
        <v>8</v>
      </c>
      <c r="E807">
        <v>41177</v>
      </c>
      <c r="F807">
        <v>5207</v>
      </c>
      <c r="G807" t="s">
        <v>9</v>
      </c>
    </row>
    <row r="808" spans="1:7" x14ac:dyDescent="0.3">
      <c r="A808">
        <v>807</v>
      </c>
      <c r="B808" s="4">
        <v>45391</v>
      </c>
      <c r="C808" t="s">
        <v>10</v>
      </c>
      <c r="D808" t="s">
        <v>8</v>
      </c>
      <c r="E808">
        <v>35463</v>
      </c>
      <c r="F808">
        <v>9123</v>
      </c>
      <c r="G808" t="s">
        <v>13</v>
      </c>
    </row>
    <row r="809" spans="1:7" x14ac:dyDescent="0.3">
      <c r="A809">
        <v>808</v>
      </c>
      <c r="B809" s="4">
        <v>45452</v>
      </c>
      <c r="C809" t="s">
        <v>15</v>
      </c>
      <c r="D809" t="s">
        <v>8</v>
      </c>
      <c r="E809">
        <v>35624</v>
      </c>
      <c r="F809">
        <v>1762</v>
      </c>
      <c r="G809" t="s">
        <v>14</v>
      </c>
    </row>
    <row r="810" spans="1:7" x14ac:dyDescent="0.3">
      <c r="A810">
        <v>809</v>
      </c>
      <c r="B810" s="4">
        <v>45433</v>
      </c>
      <c r="C810" t="s">
        <v>7</v>
      </c>
      <c r="D810" t="s">
        <v>8</v>
      </c>
      <c r="E810">
        <v>35527</v>
      </c>
      <c r="F810">
        <v>-57</v>
      </c>
      <c r="G810" t="s">
        <v>16</v>
      </c>
    </row>
    <row r="811" spans="1:7" x14ac:dyDescent="0.3">
      <c r="A811">
        <v>810</v>
      </c>
      <c r="B811" s="4">
        <v>45313</v>
      </c>
      <c r="C811" t="s">
        <v>7</v>
      </c>
      <c r="D811" t="s">
        <v>11</v>
      </c>
      <c r="E811">
        <v>24223</v>
      </c>
      <c r="F811">
        <v>5233</v>
      </c>
      <c r="G811" t="s">
        <v>13</v>
      </c>
    </row>
    <row r="812" spans="1:7" x14ac:dyDescent="0.3">
      <c r="A812">
        <v>811</v>
      </c>
      <c r="B812" s="4">
        <v>45525</v>
      </c>
      <c r="C812" t="s">
        <v>12</v>
      </c>
      <c r="D812" t="s">
        <v>8</v>
      </c>
      <c r="E812">
        <v>29661</v>
      </c>
      <c r="F812">
        <v>-363</v>
      </c>
      <c r="G812" t="s">
        <v>9</v>
      </c>
    </row>
    <row r="813" spans="1:7" x14ac:dyDescent="0.3">
      <c r="A813">
        <v>812</v>
      </c>
      <c r="B813" s="4">
        <v>45554</v>
      </c>
      <c r="C813" t="s">
        <v>15</v>
      </c>
      <c r="D813" t="s">
        <v>11</v>
      </c>
      <c r="E813">
        <v>43792</v>
      </c>
      <c r="F813">
        <v>5420</v>
      </c>
      <c r="G813" t="s">
        <v>13</v>
      </c>
    </row>
    <row r="814" spans="1:7" x14ac:dyDescent="0.3">
      <c r="A814">
        <v>813</v>
      </c>
      <c r="B814" s="4">
        <v>45491</v>
      </c>
      <c r="C814" t="s">
        <v>15</v>
      </c>
      <c r="D814" t="s">
        <v>8</v>
      </c>
      <c r="E814">
        <v>30678</v>
      </c>
      <c r="F814">
        <v>6888</v>
      </c>
      <c r="G814" t="s">
        <v>9</v>
      </c>
    </row>
    <row r="815" spans="1:7" x14ac:dyDescent="0.3">
      <c r="A815">
        <v>814</v>
      </c>
      <c r="B815" s="4">
        <v>45298</v>
      </c>
      <c r="C815" t="s">
        <v>10</v>
      </c>
      <c r="D815" t="s">
        <v>11</v>
      </c>
      <c r="E815">
        <v>8440</v>
      </c>
      <c r="F815">
        <v>613</v>
      </c>
      <c r="G815" t="s">
        <v>13</v>
      </c>
    </row>
    <row r="816" spans="1:7" x14ac:dyDescent="0.3">
      <c r="A816">
        <v>815</v>
      </c>
      <c r="B816" s="4">
        <v>45440</v>
      </c>
      <c r="C816" t="s">
        <v>15</v>
      </c>
      <c r="D816" t="s">
        <v>8</v>
      </c>
      <c r="E816">
        <v>48477</v>
      </c>
      <c r="F816">
        <v>6521</v>
      </c>
      <c r="G816" t="s">
        <v>9</v>
      </c>
    </row>
    <row r="817" spans="1:7" x14ac:dyDescent="0.3">
      <c r="A817">
        <v>816</v>
      </c>
      <c r="B817" s="4">
        <v>45321</v>
      </c>
      <c r="C817" t="s">
        <v>10</v>
      </c>
      <c r="D817" t="s">
        <v>8</v>
      </c>
      <c r="E817">
        <v>29410</v>
      </c>
      <c r="F817">
        <v>4323</v>
      </c>
      <c r="G817" t="s">
        <v>14</v>
      </c>
    </row>
    <row r="818" spans="1:7" x14ac:dyDescent="0.3">
      <c r="A818">
        <v>817</v>
      </c>
      <c r="B818" s="4">
        <v>45312</v>
      </c>
      <c r="C818" t="s">
        <v>10</v>
      </c>
      <c r="D818" t="s">
        <v>8</v>
      </c>
      <c r="E818">
        <v>20110</v>
      </c>
      <c r="F818">
        <v>5836</v>
      </c>
      <c r="G818" t="s">
        <v>14</v>
      </c>
    </row>
    <row r="819" spans="1:7" x14ac:dyDescent="0.3">
      <c r="A819">
        <v>818</v>
      </c>
      <c r="B819" s="4">
        <v>45509</v>
      </c>
      <c r="C819" t="s">
        <v>17</v>
      </c>
      <c r="D819" t="s">
        <v>8</v>
      </c>
      <c r="E819">
        <v>20219</v>
      </c>
      <c r="F819">
        <v>3624</v>
      </c>
      <c r="G819" t="s">
        <v>16</v>
      </c>
    </row>
    <row r="820" spans="1:7" x14ac:dyDescent="0.3">
      <c r="A820">
        <v>819</v>
      </c>
      <c r="B820" s="4">
        <v>45456</v>
      </c>
      <c r="C820" t="s">
        <v>10</v>
      </c>
      <c r="D820" t="s">
        <v>8</v>
      </c>
      <c r="E820">
        <v>49576</v>
      </c>
      <c r="F820">
        <v>4667</v>
      </c>
      <c r="G820" t="s">
        <v>13</v>
      </c>
    </row>
    <row r="821" spans="1:7" x14ac:dyDescent="0.3">
      <c r="A821">
        <v>820</v>
      </c>
      <c r="B821" s="4">
        <v>45449</v>
      </c>
      <c r="C821" t="s">
        <v>7</v>
      </c>
      <c r="D821" t="s">
        <v>11</v>
      </c>
      <c r="E821">
        <v>22681</v>
      </c>
      <c r="F821">
        <v>2209</v>
      </c>
      <c r="G821" t="s">
        <v>14</v>
      </c>
    </row>
    <row r="822" spans="1:7" x14ac:dyDescent="0.3">
      <c r="A822">
        <v>821</v>
      </c>
      <c r="B822" s="4">
        <v>45559</v>
      </c>
      <c r="C822" t="s">
        <v>17</v>
      </c>
      <c r="D822" t="s">
        <v>11</v>
      </c>
      <c r="E822">
        <v>1902</v>
      </c>
      <c r="F822">
        <v>5448</v>
      </c>
      <c r="G822" t="s">
        <v>13</v>
      </c>
    </row>
    <row r="823" spans="1:7" x14ac:dyDescent="0.3">
      <c r="A823">
        <v>822</v>
      </c>
      <c r="B823" s="4">
        <v>45570</v>
      </c>
      <c r="C823" t="s">
        <v>12</v>
      </c>
      <c r="D823" t="s">
        <v>8</v>
      </c>
      <c r="E823">
        <v>47457</v>
      </c>
      <c r="F823">
        <v>5360</v>
      </c>
      <c r="G823" t="s">
        <v>13</v>
      </c>
    </row>
    <row r="824" spans="1:7" x14ac:dyDescent="0.3">
      <c r="A824">
        <v>823</v>
      </c>
      <c r="B824" s="4">
        <v>45648</v>
      </c>
      <c r="C824" t="s">
        <v>10</v>
      </c>
      <c r="D824" t="s">
        <v>11</v>
      </c>
      <c r="E824">
        <v>10484</v>
      </c>
      <c r="F824">
        <v>6746</v>
      </c>
      <c r="G824" t="s">
        <v>13</v>
      </c>
    </row>
    <row r="825" spans="1:7" x14ac:dyDescent="0.3">
      <c r="A825">
        <v>824</v>
      </c>
      <c r="B825" s="4">
        <v>45368</v>
      </c>
      <c r="C825" t="s">
        <v>12</v>
      </c>
      <c r="D825" t="s">
        <v>11</v>
      </c>
      <c r="E825">
        <v>13932</v>
      </c>
      <c r="F825">
        <v>4323</v>
      </c>
      <c r="G825" t="s">
        <v>16</v>
      </c>
    </row>
    <row r="826" spans="1:7" x14ac:dyDescent="0.3">
      <c r="A826">
        <v>825</v>
      </c>
      <c r="B826" s="4">
        <v>45320</v>
      </c>
      <c r="C826" t="s">
        <v>17</v>
      </c>
      <c r="D826" t="s">
        <v>8</v>
      </c>
      <c r="E826">
        <v>5984</v>
      </c>
      <c r="F826">
        <v>8376</v>
      </c>
      <c r="G826" t="s">
        <v>13</v>
      </c>
    </row>
    <row r="827" spans="1:7" x14ac:dyDescent="0.3">
      <c r="A827">
        <v>826</v>
      </c>
      <c r="B827" s="4">
        <v>45331</v>
      </c>
      <c r="C827" t="s">
        <v>7</v>
      </c>
      <c r="D827" t="s">
        <v>8</v>
      </c>
      <c r="E827">
        <v>2992</v>
      </c>
      <c r="F827">
        <v>3837</v>
      </c>
      <c r="G827" t="s">
        <v>9</v>
      </c>
    </row>
    <row r="828" spans="1:7" x14ac:dyDescent="0.3">
      <c r="A828">
        <v>827</v>
      </c>
      <c r="B828" s="4">
        <v>45305</v>
      </c>
      <c r="C828" t="s">
        <v>7</v>
      </c>
      <c r="D828" t="s">
        <v>8</v>
      </c>
      <c r="E828">
        <v>11154</v>
      </c>
      <c r="F828">
        <v>-1426</v>
      </c>
      <c r="G828" t="s">
        <v>16</v>
      </c>
    </row>
    <row r="829" spans="1:7" x14ac:dyDescent="0.3">
      <c r="A829">
        <v>828</v>
      </c>
      <c r="B829" s="4">
        <v>45581</v>
      </c>
      <c r="C829" t="s">
        <v>15</v>
      </c>
      <c r="D829" t="s">
        <v>8</v>
      </c>
      <c r="E829">
        <v>25940</v>
      </c>
      <c r="F829">
        <v>6486</v>
      </c>
      <c r="G829" t="s">
        <v>13</v>
      </c>
    </row>
    <row r="830" spans="1:7" x14ac:dyDescent="0.3">
      <c r="A830">
        <v>829</v>
      </c>
      <c r="B830" s="4">
        <v>45442</v>
      </c>
      <c r="C830" t="s">
        <v>17</v>
      </c>
      <c r="D830" t="s">
        <v>11</v>
      </c>
      <c r="E830">
        <v>3164</v>
      </c>
      <c r="F830">
        <v>3892</v>
      </c>
      <c r="G830" t="s">
        <v>9</v>
      </c>
    </row>
    <row r="831" spans="1:7" x14ac:dyDescent="0.3">
      <c r="A831">
        <v>830</v>
      </c>
      <c r="B831" s="4">
        <v>45406</v>
      </c>
      <c r="C831" t="s">
        <v>17</v>
      </c>
      <c r="D831" t="s">
        <v>11</v>
      </c>
      <c r="E831">
        <v>30928</v>
      </c>
      <c r="F831">
        <v>8808</v>
      </c>
      <c r="G831" t="s">
        <v>16</v>
      </c>
    </row>
    <row r="832" spans="1:7" x14ac:dyDescent="0.3">
      <c r="A832">
        <v>831</v>
      </c>
      <c r="B832" s="4">
        <v>45548</v>
      </c>
      <c r="C832" t="s">
        <v>15</v>
      </c>
      <c r="D832" t="s">
        <v>11</v>
      </c>
      <c r="E832">
        <v>8032</v>
      </c>
      <c r="F832">
        <v>7013</v>
      </c>
      <c r="G832" t="s">
        <v>9</v>
      </c>
    </row>
    <row r="833" spans="1:7" x14ac:dyDescent="0.3">
      <c r="A833">
        <v>832</v>
      </c>
      <c r="B833" s="4">
        <v>45428</v>
      </c>
      <c r="C833" t="s">
        <v>7</v>
      </c>
      <c r="D833" t="s">
        <v>8</v>
      </c>
      <c r="E833">
        <v>10972</v>
      </c>
      <c r="F833">
        <v>2439</v>
      </c>
      <c r="G833" t="s">
        <v>13</v>
      </c>
    </row>
    <row r="834" spans="1:7" x14ac:dyDescent="0.3">
      <c r="A834">
        <v>833</v>
      </c>
      <c r="B834" s="4">
        <v>45330</v>
      </c>
      <c r="C834" t="s">
        <v>7</v>
      </c>
      <c r="D834" t="s">
        <v>8</v>
      </c>
      <c r="E834">
        <v>8602</v>
      </c>
      <c r="F834">
        <v>4074</v>
      </c>
      <c r="G834" t="s">
        <v>13</v>
      </c>
    </row>
    <row r="835" spans="1:7" x14ac:dyDescent="0.3">
      <c r="A835">
        <v>834</v>
      </c>
      <c r="B835" s="4">
        <v>45468</v>
      </c>
      <c r="C835" t="s">
        <v>15</v>
      </c>
      <c r="D835" t="s">
        <v>11</v>
      </c>
      <c r="E835">
        <v>9311</v>
      </c>
      <c r="F835">
        <v>4100</v>
      </c>
      <c r="G835" t="s">
        <v>16</v>
      </c>
    </row>
    <row r="836" spans="1:7" x14ac:dyDescent="0.3">
      <c r="A836">
        <v>835</v>
      </c>
      <c r="B836" s="4">
        <v>45553</v>
      </c>
      <c r="C836" t="s">
        <v>15</v>
      </c>
      <c r="D836" t="s">
        <v>11</v>
      </c>
      <c r="E836">
        <v>4760</v>
      </c>
      <c r="F836">
        <v>552</v>
      </c>
      <c r="G836" t="s">
        <v>9</v>
      </c>
    </row>
    <row r="837" spans="1:7" x14ac:dyDescent="0.3">
      <c r="A837">
        <v>836</v>
      </c>
      <c r="B837" s="4">
        <v>45648</v>
      </c>
      <c r="C837" t="s">
        <v>7</v>
      </c>
      <c r="D837" t="s">
        <v>11</v>
      </c>
      <c r="E837">
        <v>41407</v>
      </c>
      <c r="F837">
        <v>-357</v>
      </c>
      <c r="G837" t="s">
        <v>16</v>
      </c>
    </row>
    <row r="838" spans="1:7" x14ac:dyDescent="0.3">
      <c r="A838">
        <v>837</v>
      </c>
      <c r="B838" s="4">
        <v>45632</v>
      </c>
      <c r="C838" t="s">
        <v>7</v>
      </c>
      <c r="D838" t="s">
        <v>8</v>
      </c>
      <c r="E838">
        <v>21928</v>
      </c>
      <c r="F838">
        <v>8312</v>
      </c>
      <c r="G838" t="s">
        <v>14</v>
      </c>
    </row>
    <row r="839" spans="1:7" x14ac:dyDescent="0.3">
      <c r="A839">
        <v>838</v>
      </c>
      <c r="B839" s="4">
        <v>45361</v>
      </c>
      <c r="C839" t="s">
        <v>12</v>
      </c>
      <c r="D839" t="s">
        <v>11</v>
      </c>
      <c r="E839">
        <v>41284</v>
      </c>
      <c r="F839">
        <v>-1001</v>
      </c>
      <c r="G839" t="s">
        <v>9</v>
      </c>
    </row>
    <row r="840" spans="1:7" x14ac:dyDescent="0.3">
      <c r="A840">
        <v>839</v>
      </c>
      <c r="B840" s="4">
        <v>45501</v>
      </c>
      <c r="C840" t="s">
        <v>15</v>
      </c>
      <c r="D840" t="s">
        <v>8</v>
      </c>
      <c r="E840">
        <v>11546</v>
      </c>
      <c r="F840">
        <v>4083</v>
      </c>
      <c r="G840" t="s">
        <v>14</v>
      </c>
    </row>
    <row r="841" spans="1:7" x14ac:dyDescent="0.3">
      <c r="A841">
        <v>840</v>
      </c>
      <c r="B841" s="4">
        <v>45642</v>
      </c>
      <c r="C841" t="s">
        <v>7</v>
      </c>
      <c r="D841" t="s">
        <v>11</v>
      </c>
      <c r="E841">
        <v>21233</v>
      </c>
      <c r="F841">
        <v>7355</v>
      </c>
      <c r="G841" t="s">
        <v>16</v>
      </c>
    </row>
    <row r="842" spans="1:7" x14ac:dyDescent="0.3">
      <c r="A842">
        <v>841</v>
      </c>
      <c r="B842" s="4">
        <v>45609</v>
      </c>
      <c r="C842" t="s">
        <v>7</v>
      </c>
      <c r="D842" t="s">
        <v>11</v>
      </c>
      <c r="E842">
        <v>49918</v>
      </c>
      <c r="F842">
        <v>6925</v>
      </c>
      <c r="G842" t="s">
        <v>16</v>
      </c>
    </row>
    <row r="843" spans="1:7" x14ac:dyDescent="0.3">
      <c r="A843">
        <v>842</v>
      </c>
      <c r="B843" s="4">
        <v>45326</v>
      </c>
      <c r="C843" t="s">
        <v>10</v>
      </c>
      <c r="D843" t="s">
        <v>11</v>
      </c>
      <c r="E843">
        <v>8895</v>
      </c>
      <c r="F843">
        <v>5016</v>
      </c>
      <c r="G843" t="s">
        <v>13</v>
      </c>
    </row>
    <row r="844" spans="1:7" x14ac:dyDescent="0.3">
      <c r="A844">
        <v>843</v>
      </c>
      <c r="B844" s="4">
        <v>45517</v>
      </c>
      <c r="C844" t="s">
        <v>17</v>
      </c>
      <c r="D844" t="s">
        <v>8</v>
      </c>
      <c r="E844">
        <v>14644</v>
      </c>
      <c r="F844">
        <v>1947</v>
      </c>
      <c r="G844" t="s">
        <v>14</v>
      </c>
    </row>
    <row r="845" spans="1:7" x14ac:dyDescent="0.3">
      <c r="A845">
        <v>844</v>
      </c>
      <c r="B845" s="4">
        <v>45487</v>
      </c>
      <c r="C845" t="s">
        <v>15</v>
      </c>
      <c r="D845" t="s">
        <v>11</v>
      </c>
      <c r="E845">
        <v>48491</v>
      </c>
      <c r="F845">
        <v>4862</v>
      </c>
      <c r="G845" t="s">
        <v>16</v>
      </c>
    </row>
    <row r="846" spans="1:7" x14ac:dyDescent="0.3">
      <c r="A846">
        <v>845</v>
      </c>
      <c r="B846" s="4">
        <v>45391</v>
      </c>
      <c r="C846" t="s">
        <v>7</v>
      </c>
      <c r="D846" t="s">
        <v>11</v>
      </c>
      <c r="E846">
        <v>33771</v>
      </c>
      <c r="F846">
        <v>-573</v>
      </c>
      <c r="G846" t="s">
        <v>13</v>
      </c>
    </row>
    <row r="847" spans="1:7" x14ac:dyDescent="0.3">
      <c r="A847">
        <v>846</v>
      </c>
      <c r="B847" s="4">
        <v>45596</v>
      </c>
      <c r="C847" t="s">
        <v>7</v>
      </c>
      <c r="D847" t="s">
        <v>11</v>
      </c>
      <c r="E847">
        <v>31606</v>
      </c>
      <c r="F847">
        <v>-1764</v>
      </c>
      <c r="G847" t="s">
        <v>9</v>
      </c>
    </row>
    <row r="848" spans="1:7" x14ac:dyDescent="0.3">
      <c r="A848">
        <v>847</v>
      </c>
      <c r="B848" s="4">
        <v>45307</v>
      </c>
      <c r="C848" t="s">
        <v>10</v>
      </c>
      <c r="D848" t="s">
        <v>11</v>
      </c>
      <c r="E848">
        <v>9113</v>
      </c>
      <c r="F848">
        <v>4306</v>
      </c>
      <c r="G848" t="s">
        <v>16</v>
      </c>
    </row>
    <row r="849" spans="1:7" x14ac:dyDescent="0.3">
      <c r="A849">
        <v>848</v>
      </c>
      <c r="B849" s="4">
        <v>45364</v>
      </c>
      <c r="C849" t="s">
        <v>12</v>
      </c>
      <c r="D849" t="s">
        <v>8</v>
      </c>
      <c r="E849">
        <v>20964</v>
      </c>
      <c r="F849">
        <v>5449</v>
      </c>
      <c r="G849" t="s">
        <v>14</v>
      </c>
    </row>
    <row r="850" spans="1:7" x14ac:dyDescent="0.3">
      <c r="A850">
        <v>849</v>
      </c>
      <c r="B850" s="4">
        <v>45381</v>
      </c>
      <c r="C850" t="s">
        <v>7</v>
      </c>
      <c r="D850" t="s">
        <v>8</v>
      </c>
      <c r="E850">
        <v>30044</v>
      </c>
      <c r="F850">
        <v>9716</v>
      </c>
      <c r="G850" t="s">
        <v>14</v>
      </c>
    </row>
    <row r="851" spans="1:7" x14ac:dyDescent="0.3">
      <c r="A851">
        <v>850</v>
      </c>
      <c r="B851" s="4">
        <v>45540</v>
      </c>
      <c r="C851" t="s">
        <v>15</v>
      </c>
      <c r="D851" t="s">
        <v>11</v>
      </c>
      <c r="E851">
        <v>1386</v>
      </c>
      <c r="F851">
        <v>7952</v>
      </c>
      <c r="G851" t="s">
        <v>9</v>
      </c>
    </row>
    <row r="852" spans="1:7" x14ac:dyDescent="0.3">
      <c r="A852">
        <v>851</v>
      </c>
      <c r="B852" s="4">
        <v>45466</v>
      </c>
      <c r="C852" t="s">
        <v>17</v>
      </c>
      <c r="D852" t="s">
        <v>11</v>
      </c>
      <c r="E852">
        <v>47179</v>
      </c>
      <c r="F852">
        <v>8430</v>
      </c>
      <c r="G852" t="s">
        <v>16</v>
      </c>
    </row>
    <row r="853" spans="1:7" x14ac:dyDescent="0.3">
      <c r="A853">
        <v>852</v>
      </c>
      <c r="B853" s="4">
        <v>45605</v>
      </c>
      <c r="C853" t="s">
        <v>17</v>
      </c>
      <c r="D853" t="s">
        <v>11</v>
      </c>
      <c r="E853">
        <v>35298</v>
      </c>
      <c r="F853">
        <v>3808</v>
      </c>
      <c r="G853" t="s">
        <v>9</v>
      </c>
    </row>
    <row r="854" spans="1:7" x14ac:dyDescent="0.3">
      <c r="A854">
        <v>853</v>
      </c>
      <c r="B854" s="4">
        <v>45399</v>
      </c>
      <c r="C854" t="s">
        <v>12</v>
      </c>
      <c r="D854" t="s">
        <v>8</v>
      </c>
      <c r="E854">
        <v>1489</v>
      </c>
      <c r="F854">
        <v>2586</v>
      </c>
      <c r="G854" t="s">
        <v>16</v>
      </c>
    </row>
    <row r="855" spans="1:7" x14ac:dyDescent="0.3">
      <c r="A855">
        <v>854</v>
      </c>
      <c r="B855" s="4">
        <v>45467</v>
      </c>
      <c r="C855" t="s">
        <v>17</v>
      </c>
      <c r="D855" t="s">
        <v>11</v>
      </c>
      <c r="E855">
        <v>7795</v>
      </c>
      <c r="F855">
        <v>300</v>
      </c>
      <c r="G855" t="s">
        <v>16</v>
      </c>
    </row>
    <row r="856" spans="1:7" x14ac:dyDescent="0.3">
      <c r="A856">
        <v>855</v>
      </c>
      <c r="B856" s="4">
        <v>45648</v>
      </c>
      <c r="C856" t="s">
        <v>7</v>
      </c>
      <c r="D856" t="s">
        <v>11</v>
      </c>
      <c r="E856">
        <v>5789</v>
      </c>
      <c r="F856">
        <v>-112</v>
      </c>
      <c r="G856" t="s">
        <v>16</v>
      </c>
    </row>
    <row r="857" spans="1:7" x14ac:dyDescent="0.3">
      <c r="A857">
        <v>856</v>
      </c>
      <c r="B857" s="4">
        <v>45639</v>
      </c>
      <c r="C857" t="s">
        <v>10</v>
      </c>
      <c r="D857" t="s">
        <v>11</v>
      </c>
      <c r="E857">
        <v>25205</v>
      </c>
      <c r="F857">
        <v>8859</v>
      </c>
      <c r="G857" t="s">
        <v>16</v>
      </c>
    </row>
    <row r="858" spans="1:7" x14ac:dyDescent="0.3">
      <c r="A858">
        <v>857</v>
      </c>
      <c r="B858" s="4">
        <v>45510</v>
      </c>
      <c r="C858" t="s">
        <v>10</v>
      </c>
      <c r="D858" t="s">
        <v>11</v>
      </c>
      <c r="E858">
        <v>45015</v>
      </c>
      <c r="F858">
        <v>9051</v>
      </c>
      <c r="G858" t="s">
        <v>13</v>
      </c>
    </row>
    <row r="859" spans="1:7" x14ac:dyDescent="0.3">
      <c r="A859">
        <v>858</v>
      </c>
      <c r="B859" s="4">
        <v>45444</v>
      </c>
      <c r="C859" t="s">
        <v>10</v>
      </c>
      <c r="D859" t="s">
        <v>8</v>
      </c>
      <c r="E859">
        <v>12762</v>
      </c>
      <c r="F859">
        <v>5944</v>
      </c>
      <c r="G859" t="s">
        <v>16</v>
      </c>
    </row>
    <row r="860" spans="1:7" x14ac:dyDescent="0.3">
      <c r="A860">
        <v>859</v>
      </c>
      <c r="B860" s="4">
        <v>45517</v>
      </c>
      <c r="C860" t="s">
        <v>10</v>
      </c>
      <c r="D860" t="s">
        <v>11</v>
      </c>
      <c r="E860">
        <v>25664</v>
      </c>
      <c r="F860">
        <v>8818</v>
      </c>
      <c r="G860" t="s">
        <v>16</v>
      </c>
    </row>
    <row r="861" spans="1:7" x14ac:dyDescent="0.3">
      <c r="A861">
        <v>860</v>
      </c>
      <c r="B861" s="4">
        <v>45337</v>
      </c>
      <c r="C861" t="s">
        <v>7</v>
      </c>
      <c r="D861" t="s">
        <v>8</v>
      </c>
      <c r="E861">
        <v>37379</v>
      </c>
      <c r="F861">
        <v>8483</v>
      </c>
      <c r="G861" t="s">
        <v>13</v>
      </c>
    </row>
    <row r="862" spans="1:7" x14ac:dyDescent="0.3">
      <c r="A862">
        <v>861</v>
      </c>
      <c r="B862" s="4">
        <v>45505</v>
      </c>
      <c r="C862" t="s">
        <v>15</v>
      </c>
      <c r="D862" t="s">
        <v>11</v>
      </c>
      <c r="E862">
        <v>46287</v>
      </c>
      <c r="F862">
        <v>4025</v>
      </c>
      <c r="G862" t="s">
        <v>9</v>
      </c>
    </row>
    <row r="863" spans="1:7" x14ac:dyDescent="0.3">
      <c r="A863">
        <v>862</v>
      </c>
      <c r="B863" s="4">
        <v>45503</v>
      </c>
      <c r="C863" t="s">
        <v>10</v>
      </c>
      <c r="D863" t="s">
        <v>8</v>
      </c>
      <c r="E863">
        <v>39845</v>
      </c>
      <c r="F863">
        <v>7477</v>
      </c>
      <c r="G863" t="s">
        <v>13</v>
      </c>
    </row>
    <row r="864" spans="1:7" x14ac:dyDescent="0.3">
      <c r="A864">
        <v>863</v>
      </c>
      <c r="B864" s="4">
        <v>45480</v>
      </c>
      <c r="C864" t="s">
        <v>15</v>
      </c>
      <c r="D864" t="s">
        <v>11</v>
      </c>
      <c r="E864">
        <v>12580</v>
      </c>
      <c r="F864">
        <v>216</v>
      </c>
      <c r="G864" t="s">
        <v>13</v>
      </c>
    </row>
    <row r="865" spans="1:7" x14ac:dyDescent="0.3">
      <c r="A865">
        <v>864</v>
      </c>
      <c r="B865" s="4">
        <v>45369</v>
      </c>
      <c r="C865" t="s">
        <v>7</v>
      </c>
      <c r="D865" t="s">
        <v>8</v>
      </c>
      <c r="E865">
        <v>26033</v>
      </c>
      <c r="F865">
        <v>9618</v>
      </c>
      <c r="G865" t="s">
        <v>13</v>
      </c>
    </row>
    <row r="866" spans="1:7" x14ac:dyDescent="0.3">
      <c r="A866">
        <v>865</v>
      </c>
      <c r="B866" s="4">
        <v>45318</v>
      </c>
      <c r="C866" t="s">
        <v>12</v>
      </c>
      <c r="D866" t="s">
        <v>8</v>
      </c>
      <c r="E866">
        <v>5123</v>
      </c>
      <c r="F866">
        <v>5369</v>
      </c>
      <c r="G866" t="s">
        <v>9</v>
      </c>
    </row>
    <row r="867" spans="1:7" x14ac:dyDescent="0.3">
      <c r="A867">
        <v>866</v>
      </c>
      <c r="B867" s="4">
        <v>45437</v>
      </c>
      <c r="C867" t="s">
        <v>7</v>
      </c>
      <c r="D867" t="s">
        <v>8</v>
      </c>
      <c r="E867">
        <v>20816</v>
      </c>
      <c r="F867">
        <v>9277</v>
      </c>
      <c r="G867" t="s">
        <v>16</v>
      </c>
    </row>
    <row r="868" spans="1:7" x14ac:dyDescent="0.3">
      <c r="A868">
        <v>867</v>
      </c>
      <c r="B868" s="4">
        <v>45297</v>
      </c>
      <c r="C868" t="s">
        <v>15</v>
      </c>
      <c r="D868" t="s">
        <v>11</v>
      </c>
      <c r="E868">
        <v>49961</v>
      </c>
      <c r="F868">
        <v>7897</v>
      </c>
      <c r="G868" t="s">
        <v>13</v>
      </c>
    </row>
    <row r="869" spans="1:7" x14ac:dyDescent="0.3">
      <c r="A869">
        <v>868</v>
      </c>
      <c r="B869" s="4">
        <v>45447</v>
      </c>
      <c r="C869" t="s">
        <v>12</v>
      </c>
      <c r="D869" t="s">
        <v>8</v>
      </c>
      <c r="E869">
        <v>5865</v>
      </c>
      <c r="F869">
        <v>8932</v>
      </c>
      <c r="G869" t="s">
        <v>16</v>
      </c>
    </row>
    <row r="870" spans="1:7" x14ac:dyDescent="0.3">
      <c r="A870">
        <v>869</v>
      </c>
      <c r="B870" s="4">
        <v>45510</v>
      </c>
      <c r="C870" t="s">
        <v>7</v>
      </c>
      <c r="D870" t="s">
        <v>11</v>
      </c>
      <c r="E870">
        <v>34986</v>
      </c>
      <c r="F870">
        <v>9409</v>
      </c>
      <c r="G870" t="s">
        <v>14</v>
      </c>
    </row>
    <row r="871" spans="1:7" x14ac:dyDescent="0.3">
      <c r="A871">
        <v>870</v>
      </c>
      <c r="B871" s="4">
        <v>45622</v>
      </c>
      <c r="C871" t="s">
        <v>17</v>
      </c>
      <c r="D871" t="s">
        <v>11</v>
      </c>
      <c r="E871">
        <v>24180</v>
      </c>
      <c r="F871">
        <v>2916</v>
      </c>
      <c r="G871" t="s">
        <v>16</v>
      </c>
    </row>
    <row r="872" spans="1:7" x14ac:dyDescent="0.3">
      <c r="A872">
        <v>871</v>
      </c>
      <c r="B872" s="4">
        <v>45457</v>
      </c>
      <c r="C872" t="s">
        <v>10</v>
      </c>
      <c r="D872" t="s">
        <v>8</v>
      </c>
      <c r="E872">
        <v>23744</v>
      </c>
      <c r="F872">
        <v>9445</v>
      </c>
      <c r="G872" t="s">
        <v>16</v>
      </c>
    </row>
    <row r="873" spans="1:7" x14ac:dyDescent="0.3">
      <c r="A873">
        <v>872</v>
      </c>
      <c r="B873" s="4">
        <v>45349</v>
      </c>
      <c r="C873" t="s">
        <v>7</v>
      </c>
      <c r="D873" t="s">
        <v>8</v>
      </c>
      <c r="E873">
        <v>18549</v>
      </c>
      <c r="F873">
        <v>3258</v>
      </c>
      <c r="G873" t="s">
        <v>9</v>
      </c>
    </row>
    <row r="874" spans="1:7" x14ac:dyDescent="0.3">
      <c r="A874">
        <v>873</v>
      </c>
      <c r="B874" s="4">
        <v>45447</v>
      </c>
      <c r="C874" t="s">
        <v>7</v>
      </c>
      <c r="D874" t="s">
        <v>8</v>
      </c>
      <c r="E874">
        <v>1104</v>
      </c>
      <c r="F874">
        <v>-1400</v>
      </c>
      <c r="G874" t="s">
        <v>16</v>
      </c>
    </row>
    <row r="875" spans="1:7" x14ac:dyDescent="0.3">
      <c r="A875">
        <v>874</v>
      </c>
      <c r="B875" s="4">
        <v>45639</v>
      </c>
      <c r="C875" t="s">
        <v>7</v>
      </c>
      <c r="D875" t="s">
        <v>11</v>
      </c>
      <c r="E875">
        <v>21519</v>
      </c>
      <c r="F875">
        <v>3389</v>
      </c>
      <c r="G875" t="s">
        <v>14</v>
      </c>
    </row>
    <row r="876" spans="1:7" x14ac:dyDescent="0.3">
      <c r="A876">
        <v>875</v>
      </c>
      <c r="B876" s="4">
        <v>45400</v>
      </c>
      <c r="C876" t="s">
        <v>7</v>
      </c>
      <c r="D876" t="s">
        <v>11</v>
      </c>
      <c r="E876">
        <v>16924</v>
      </c>
      <c r="F876">
        <v>1709</v>
      </c>
      <c r="G876" t="s">
        <v>14</v>
      </c>
    </row>
    <row r="877" spans="1:7" x14ac:dyDescent="0.3">
      <c r="A877">
        <v>876</v>
      </c>
      <c r="B877" s="4">
        <v>45422</v>
      </c>
      <c r="C877" t="s">
        <v>10</v>
      </c>
      <c r="D877" t="s">
        <v>8</v>
      </c>
      <c r="E877">
        <v>9708</v>
      </c>
      <c r="F877">
        <v>1964</v>
      </c>
      <c r="G877" t="s">
        <v>14</v>
      </c>
    </row>
    <row r="878" spans="1:7" x14ac:dyDescent="0.3">
      <c r="A878">
        <v>877</v>
      </c>
      <c r="B878" s="4">
        <v>45511</v>
      </c>
      <c r="C878" t="s">
        <v>12</v>
      </c>
      <c r="D878" t="s">
        <v>8</v>
      </c>
      <c r="E878">
        <v>5353</v>
      </c>
      <c r="F878">
        <v>5989</v>
      </c>
      <c r="G878" t="s">
        <v>9</v>
      </c>
    </row>
    <row r="879" spans="1:7" x14ac:dyDescent="0.3">
      <c r="A879">
        <v>878</v>
      </c>
      <c r="B879" s="4">
        <v>45365</v>
      </c>
      <c r="C879" t="s">
        <v>15</v>
      </c>
      <c r="D879" t="s">
        <v>8</v>
      </c>
      <c r="E879">
        <v>26185</v>
      </c>
      <c r="F879">
        <v>3430</v>
      </c>
      <c r="G879" t="s">
        <v>16</v>
      </c>
    </row>
    <row r="880" spans="1:7" x14ac:dyDescent="0.3">
      <c r="A880">
        <v>879</v>
      </c>
      <c r="B880" s="4">
        <v>45371</v>
      </c>
      <c r="C880" t="s">
        <v>12</v>
      </c>
      <c r="D880" t="s">
        <v>8</v>
      </c>
      <c r="E880">
        <v>26841</v>
      </c>
      <c r="F880">
        <v>3923</v>
      </c>
      <c r="G880" t="s">
        <v>9</v>
      </c>
    </row>
    <row r="881" spans="1:7" x14ac:dyDescent="0.3">
      <c r="A881">
        <v>880</v>
      </c>
      <c r="B881" s="4">
        <v>45564</v>
      </c>
      <c r="C881" t="s">
        <v>17</v>
      </c>
      <c r="D881" t="s">
        <v>8</v>
      </c>
      <c r="E881">
        <v>1575</v>
      </c>
      <c r="F881">
        <v>3440</v>
      </c>
      <c r="G881" t="s">
        <v>13</v>
      </c>
    </row>
    <row r="882" spans="1:7" x14ac:dyDescent="0.3">
      <c r="A882">
        <v>881</v>
      </c>
      <c r="B882" s="4">
        <v>45330</v>
      </c>
      <c r="C882" t="s">
        <v>12</v>
      </c>
      <c r="D882" t="s">
        <v>8</v>
      </c>
      <c r="E882">
        <v>3326</v>
      </c>
      <c r="F882">
        <v>5713</v>
      </c>
      <c r="G882" t="s">
        <v>9</v>
      </c>
    </row>
    <row r="883" spans="1:7" x14ac:dyDescent="0.3">
      <c r="A883">
        <v>882</v>
      </c>
      <c r="B883" s="4">
        <v>45493</v>
      </c>
      <c r="C883" t="s">
        <v>10</v>
      </c>
      <c r="D883" t="s">
        <v>8</v>
      </c>
      <c r="E883">
        <v>29004</v>
      </c>
      <c r="F883">
        <v>2822</v>
      </c>
      <c r="G883" t="s">
        <v>16</v>
      </c>
    </row>
    <row r="884" spans="1:7" x14ac:dyDescent="0.3">
      <c r="A884">
        <v>883</v>
      </c>
      <c r="B884" s="4">
        <v>45342</v>
      </c>
      <c r="C884" t="s">
        <v>7</v>
      </c>
      <c r="D884" t="s">
        <v>11</v>
      </c>
      <c r="E884">
        <v>2942</v>
      </c>
      <c r="F884">
        <v>6047</v>
      </c>
      <c r="G884" t="s">
        <v>9</v>
      </c>
    </row>
    <row r="885" spans="1:7" x14ac:dyDescent="0.3">
      <c r="A885">
        <v>884</v>
      </c>
      <c r="B885" s="4">
        <v>45522</v>
      </c>
      <c r="C885" t="s">
        <v>17</v>
      </c>
      <c r="D885" t="s">
        <v>11</v>
      </c>
      <c r="E885">
        <v>32610</v>
      </c>
      <c r="F885">
        <v>752</v>
      </c>
      <c r="G885" t="s">
        <v>16</v>
      </c>
    </row>
    <row r="886" spans="1:7" x14ac:dyDescent="0.3">
      <c r="A886">
        <v>885</v>
      </c>
      <c r="B886" s="4">
        <v>45424</v>
      </c>
      <c r="C886" t="s">
        <v>10</v>
      </c>
      <c r="D886" t="s">
        <v>11</v>
      </c>
      <c r="E886">
        <v>36300</v>
      </c>
      <c r="F886">
        <v>9042</v>
      </c>
      <c r="G886" t="s">
        <v>13</v>
      </c>
    </row>
    <row r="887" spans="1:7" x14ac:dyDescent="0.3">
      <c r="A887">
        <v>886</v>
      </c>
      <c r="B887" s="4">
        <v>45307</v>
      </c>
      <c r="C887" t="s">
        <v>12</v>
      </c>
      <c r="D887" t="s">
        <v>11</v>
      </c>
      <c r="E887">
        <v>27368</v>
      </c>
      <c r="F887">
        <v>5431</v>
      </c>
      <c r="G887" t="s">
        <v>13</v>
      </c>
    </row>
    <row r="888" spans="1:7" x14ac:dyDescent="0.3">
      <c r="A888">
        <v>887</v>
      </c>
      <c r="B888" s="4">
        <v>45450</v>
      </c>
      <c r="C888" t="s">
        <v>15</v>
      </c>
      <c r="D888" t="s">
        <v>8</v>
      </c>
      <c r="E888">
        <v>6185</v>
      </c>
      <c r="F888">
        <v>-746</v>
      </c>
      <c r="G888" t="s">
        <v>16</v>
      </c>
    </row>
    <row r="889" spans="1:7" x14ac:dyDescent="0.3">
      <c r="A889">
        <v>888</v>
      </c>
      <c r="B889" s="4">
        <v>45360</v>
      </c>
      <c r="C889" t="s">
        <v>15</v>
      </c>
      <c r="D889" t="s">
        <v>8</v>
      </c>
      <c r="E889">
        <v>4263</v>
      </c>
      <c r="F889">
        <v>4407</v>
      </c>
      <c r="G889" t="s">
        <v>13</v>
      </c>
    </row>
    <row r="890" spans="1:7" x14ac:dyDescent="0.3">
      <c r="A890">
        <v>889</v>
      </c>
      <c r="B890" s="4">
        <v>45625</v>
      </c>
      <c r="C890" t="s">
        <v>7</v>
      </c>
      <c r="D890" t="s">
        <v>8</v>
      </c>
      <c r="E890">
        <v>36974</v>
      </c>
      <c r="F890">
        <v>264</v>
      </c>
      <c r="G890" t="s">
        <v>9</v>
      </c>
    </row>
    <row r="891" spans="1:7" x14ac:dyDescent="0.3">
      <c r="A891">
        <v>890</v>
      </c>
      <c r="B891" s="4">
        <v>45330</v>
      </c>
      <c r="C891" t="s">
        <v>10</v>
      </c>
      <c r="D891" t="s">
        <v>8</v>
      </c>
      <c r="E891">
        <v>37157</v>
      </c>
      <c r="F891">
        <v>-101</v>
      </c>
      <c r="G891" t="s">
        <v>13</v>
      </c>
    </row>
    <row r="892" spans="1:7" x14ac:dyDescent="0.3">
      <c r="A892">
        <v>891</v>
      </c>
      <c r="B892" s="4">
        <v>45550</v>
      </c>
      <c r="C892" t="s">
        <v>17</v>
      </c>
      <c r="D892" t="s">
        <v>8</v>
      </c>
      <c r="E892">
        <v>49958</v>
      </c>
      <c r="F892">
        <v>2905</v>
      </c>
      <c r="G892" t="s">
        <v>13</v>
      </c>
    </row>
    <row r="893" spans="1:7" x14ac:dyDescent="0.3">
      <c r="A893">
        <v>892</v>
      </c>
      <c r="B893" s="4">
        <v>45436</v>
      </c>
      <c r="C893" t="s">
        <v>7</v>
      </c>
      <c r="D893" t="s">
        <v>8</v>
      </c>
      <c r="E893">
        <v>12076</v>
      </c>
      <c r="F893">
        <v>2226</v>
      </c>
      <c r="G893" t="s">
        <v>13</v>
      </c>
    </row>
    <row r="894" spans="1:7" x14ac:dyDescent="0.3">
      <c r="A894">
        <v>893</v>
      </c>
      <c r="B894" s="4">
        <v>45614</v>
      </c>
      <c r="C894" t="s">
        <v>17</v>
      </c>
      <c r="D894" t="s">
        <v>8</v>
      </c>
      <c r="E894">
        <v>805</v>
      </c>
      <c r="F894">
        <v>6080</v>
      </c>
      <c r="G894" t="s">
        <v>14</v>
      </c>
    </row>
    <row r="895" spans="1:7" x14ac:dyDescent="0.3">
      <c r="A895">
        <v>894</v>
      </c>
      <c r="B895" s="4">
        <v>45627</v>
      </c>
      <c r="C895" t="s">
        <v>15</v>
      </c>
      <c r="D895" t="s">
        <v>8</v>
      </c>
      <c r="E895">
        <v>10249</v>
      </c>
      <c r="F895">
        <v>901</v>
      </c>
      <c r="G895" t="s">
        <v>9</v>
      </c>
    </row>
    <row r="896" spans="1:7" x14ac:dyDescent="0.3">
      <c r="A896">
        <v>895</v>
      </c>
      <c r="B896" s="4">
        <v>45397</v>
      </c>
      <c r="C896" t="s">
        <v>15</v>
      </c>
      <c r="D896" t="s">
        <v>8</v>
      </c>
      <c r="E896">
        <v>18401</v>
      </c>
      <c r="F896">
        <v>7586</v>
      </c>
      <c r="G896" t="s">
        <v>9</v>
      </c>
    </row>
    <row r="897" spans="1:7" x14ac:dyDescent="0.3">
      <c r="A897">
        <v>896</v>
      </c>
      <c r="B897" s="4">
        <v>45470</v>
      </c>
      <c r="C897" t="s">
        <v>15</v>
      </c>
      <c r="D897" t="s">
        <v>11</v>
      </c>
      <c r="E897">
        <v>48767</v>
      </c>
      <c r="F897">
        <v>-224</v>
      </c>
      <c r="G897" t="s">
        <v>9</v>
      </c>
    </row>
    <row r="898" spans="1:7" x14ac:dyDescent="0.3">
      <c r="A898">
        <v>897</v>
      </c>
      <c r="B898" s="4">
        <v>45511</v>
      </c>
      <c r="C898" t="s">
        <v>10</v>
      </c>
      <c r="D898" t="s">
        <v>8</v>
      </c>
      <c r="E898">
        <v>15001</v>
      </c>
      <c r="F898">
        <v>1455</v>
      </c>
      <c r="G898" t="s">
        <v>9</v>
      </c>
    </row>
    <row r="899" spans="1:7" x14ac:dyDescent="0.3">
      <c r="A899">
        <v>898</v>
      </c>
      <c r="B899" s="4">
        <v>45380</v>
      </c>
      <c r="C899" t="s">
        <v>12</v>
      </c>
      <c r="D899" t="s">
        <v>11</v>
      </c>
      <c r="E899">
        <v>43330</v>
      </c>
      <c r="F899">
        <v>7899</v>
      </c>
      <c r="G899" t="s">
        <v>16</v>
      </c>
    </row>
    <row r="900" spans="1:7" x14ac:dyDescent="0.3">
      <c r="A900">
        <v>899</v>
      </c>
      <c r="B900" s="4">
        <v>45324</v>
      </c>
      <c r="C900" t="s">
        <v>7</v>
      </c>
      <c r="D900" t="s">
        <v>8</v>
      </c>
      <c r="E900">
        <v>43433</v>
      </c>
      <c r="F900">
        <v>6624</v>
      </c>
      <c r="G900" t="s">
        <v>14</v>
      </c>
    </row>
    <row r="901" spans="1:7" x14ac:dyDescent="0.3">
      <c r="A901">
        <v>900</v>
      </c>
      <c r="B901" s="4">
        <v>45410</v>
      </c>
      <c r="C901" t="s">
        <v>10</v>
      </c>
      <c r="D901" t="s">
        <v>8</v>
      </c>
      <c r="E901">
        <v>13667</v>
      </c>
      <c r="F901">
        <v>-1503</v>
      </c>
      <c r="G901" t="s">
        <v>13</v>
      </c>
    </row>
    <row r="902" spans="1:7" x14ac:dyDescent="0.3">
      <c r="A902">
        <v>901</v>
      </c>
      <c r="B902" s="4">
        <v>45494</v>
      </c>
      <c r="C902" t="s">
        <v>10</v>
      </c>
      <c r="D902" t="s">
        <v>11</v>
      </c>
      <c r="E902">
        <v>13378</v>
      </c>
      <c r="F902">
        <v>9652</v>
      </c>
      <c r="G902" t="s">
        <v>9</v>
      </c>
    </row>
    <row r="903" spans="1:7" x14ac:dyDescent="0.3">
      <c r="A903">
        <v>902</v>
      </c>
      <c r="B903" s="4">
        <v>45449</v>
      </c>
      <c r="C903" t="s">
        <v>17</v>
      </c>
      <c r="D903" t="s">
        <v>8</v>
      </c>
      <c r="E903">
        <v>22339</v>
      </c>
      <c r="F903">
        <v>-158</v>
      </c>
      <c r="G903" t="s">
        <v>14</v>
      </c>
    </row>
    <row r="904" spans="1:7" x14ac:dyDescent="0.3">
      <c r="A904">
        <v>903</v>
      </c>
      <c r="B904" s="4">
        <v>45604</v>
      </c>
      <c r="C904" t="s">
        <v>17</v>
      </c>
      <c r="D904" t="s">
        <v>11</v>
      </c>
      <c r="E904">
        <v>12604</v>
      </c>
      <c r="F904">
        <v>3418</v>
      </c>
      <c r="G904" t="s">
        <v>13</v>
      </c>
    </row>
    <row r="905" spans="1:7" x14ac:dyDescent="0.3">
      <c r="A905">
        <v>904</v>
      </c>
      <c r="B905" s="4">
        <v>45348</v>
      </c>
      <c r="C905" t="s">
        <v>7</v>
      </c>
      <c r="D905" t="s">
        <v>11</v>
      </c>
      <c r="E905">
        <v>28565</v>
      </c>
      <c r="F905">
        <v>1655</v>
      </c>
      <c r="G905" t="s">
        <v>16</v>
      </c>
    </row>
    <row r="906" spans="1:7" x14ac:dyDescent="0.3">
      <c r="A906">
        <v>905</v>
      </c>
      <c r="B906" s="4">
        <v>45342</v>
      </c>
      <c r="C906" t="s">
        <v>10</v>
      </c>
      <c r="D906" t="s">
        <v>8</v>
      </c>
      <c r="E906">
        <v>35686</v>
      </c>
      <c r="F906">
        <v>223</v>
      </c>
      <c r="G906" t="s">
        <v>14</v>
      </c>
    </row>
    <row r="907" spans="1:7" x14ac:dyDescent="0.3">
      <c r="A907">
        <v>906</v>
      </c>
      <c r="B907" s="4">
        <v>45336</v>
      </c>
      <c r="C907" t="s">
        <v>10</v>
      </c>
      <c r="D907" t="s">
        <v>11</v>
      </c>
      <c r="E907">
        <v>24967</v>
      </c>
      <c r="F907">
        <v>5286</v>
      </c>
      <c r="G907" t="s">
        <v>13</v>
      </c>
    </row>
    <row r="908" spans="1:7" x14ac:dyDescent="0.3">
      <c r="A908">
        <v>907</v>
      </c>
      <c r="B908" s="4">
        <v>45384</v>
      </c>
      <c r="C908" t="s">
        <v>15</v>
      </c>
      <c r="D908" t="s">
        <v>11</v>
      </c>
      <c r="E908">
        <v>37496</v>
      </c>
      <c r="F908">
        <v>2565</v>
      </c>
      <c r="G908" t="s">
        <v>16</v>
      </c>
    </row>
    <row r="909" spans="1:7" x14ac:dyDescent="0.3">
      <c r="A909">
        <v>908</v>
      </c>
      <c r="B909" s="4">
        <v>45589</v>
      </c>
      <c r="C909" t="s">
        <v>7</v>
      </c>
      <c r="D909" t="s">
        <v>8</v>
      </c>
      <c r="E909">
        <v>43197</v>
      </c>
      <c r="F909">
        <v>5423</v>
      </c>
      <c r="G909" t="s">
        <v>14</v>
      </c>
    </row>
    <row r="910" spans="1:7" x14ac:dyDescent="0.3">
      <c r="A910">
        <v>909</v>
      </c>
      <c r="B910" s="4">
        <v>45567</v>
      </c>
      <c r="C910" t="s">
        <v>17</v>
      </c>
      <c r="D910" t="s">
        <v>11</v>
      </c>
      <c r="E910">
        <v>10315</v>
      </c>
      <c r="F910">
        <v>8133</v>
      </c>
      <c r="G910" t="s">
        <v>14</v>
      </c>
    </row>
    <row r="911" spans="1:7" x14ac:dyDescent="0.3">
      <c r="A911">
        <v>910</v>
      </c>
      <c r="B911" s="4">
        <v>45628</v>
      </c>
      <c r="C911" t="s">
        <v>12</v>
      </c>
      <c r="D911" t="s">
        <v>11</v>
      </c>
      <c r="E911">
        <v>39390</v>
      </c>
      <c r="F911">
        <v>-403</v>
      </c>
      <c r="G911" t="s">
        <v>9</v>
      </c>
    </row>
    <row r="912" spans="1:7" x14ac:dyDescent="0.3">
      <c r="A912">
        <v>911</v>
      </c>
      <c r="B912" s="4">
        <v>45485</v>
      </c>
      <c r="C912" t="s">
        <v>17</v>
      </c>
      <c r="D912" t="s">
        <v>11</v>
      </c>
      <c r="E912">
        <v>1814</v>
      </c>
      <c r="F912">
        <v>1866</v>
      </c>
      <c r="G912" t="s">
        <v>14</v>
      </c>
    </row>
    <row r="913" spans="1:7" x14ac:dyDescent="0.3">
      <c r="A913">
        <v>912</v>
      </c>
      <c r="B913" s="4">
        <v>45323</v>
      </c>
      <c r="C913" t="s">
        <v>10</v>
      </c>
      <c r="D913" t="s">
        <v>8</v>
      </c>
      <c r="E913">
        <v>6352</v>
      </c>
      <c r="F913">
        <v>536</v>
      </c>
      <c r="G913" t="s">
        <v>14</v>
      </c>
    </row>
    <row r="914" spans="1:7" x14ac:dyDescent="0.3">
      <c r="A914">
        <v>913</v>
      </c>
      <c r="B914" s="4">
        <v>45539</v>
      </c>
      <c r="C914" t="s">
        <v>15</v>
      </c>
      <c r="D914" t="s">
        <v>8</v>
      </c>
      <c r="E914">
        <v>19548</v>
      </c>
      <c r="F914">
        <v>672</v>
      </c>
      <c r="G914" t="s">
        <v>16</v>
      </c>
    </row>
    <row r="915" spans="1:7" x14ac:dyDescent="0.3">
      <c r="A915">
        <v>914</v>
      </c>
      <c r="B915" s="4">
        <v>45647</v>
      </c>
      <c r="C915" t="s">
        <v>17</v>
      </c>
      <c r="D915" t="s">
        <v>8</v>
      </c>
      <c r="E915">
        <v>29812</v>
      </c>
      <c r="F915">
        <v>-1973</v>
      </c>
      <c r="G915" t="s">
        <v>16</v>
      </c>
    </row>
    <row r="916" spans="1:7" x14ac:dyDescent="0.3">
      <c r="A916">
        <v>915</v>
      </c>
      <c r="B916" s="4">
        <v>45488</v>
      </c>
      <c r="C916" t="s">
        <v>10</v>
      </c>
      <c r="D916" t="s">
        <v>11</v>
      </c>
      <c r="E916">
        <v>1216</v>
      </c>
      <c r="F916">
        <v>3410</v>
      </c>
      <c r="G916" t="s">
        <v>9</v>
      </c>
    </row>
    <row r="917" spans="1:7" x14ac:dyDescent="0.3">
      <c r="A917">
        <v>916</v>
      </c>
      <c r="B917" s="4">
        <v>45356</v>
      </c>
      <c r="C917" t="s">
        <v>17</v>
      </c>
      <c r="D917" t="s">
        <v>11</v>
      </c>
      <c r="E917">
        <v>28235</v>
      </c>
      <c r="F917">
        <v>5666</v>
      </c>
      <c r="G917" t="s">
        <v>16</v>
      </c>
    </row>
    <row r="918" spans="1:7" x14ac:dyDescent="0.3">
      <c r="A918">
        <v>917</v>
      </c>
      <c r="B918" s="4">
        <v>45551</v>
      </c>
      <c r="C918" t="s">
        <v>7</v>
      </c>
      <c r="D918" t="s">
        <v>8</v>
      </c>
      <c r="E918">
        <v>28735</v>
      </c>
      <c r="F918">
        <v>-1021</v>
      </c>
      <c r="G918" t="s">
        <v>9</v>
      </c>
    </row>
    <row r="919" spans="1:7" x14ac:dyDescent="0.3">
      <c r="A919">
        <v>918</v>
      </c>
      <c r="B919" s="4">
        <v>45440</v>
      </c>
      <c r="C919" t="s">
        <v>12</v>
      </c>
      <c r="D919" t="s">
        <v>11</v>
      </c>
      <c r="E919">
        <v>25217</v>
      </c>
      <c r="F919">
        <v>3669</v>
      </c>
      <c r="G919" t="s">
        <v>14</v>
      </c>
    </row>
    <row r="920" spans="1:7" x14ac:dyDescent="0.3">
      <c r="A920">
        <v>919</v>
      </c>
      <c r="B920" s="4">
        <v>45516</v>
      </c>
      <c r="C920" t="s">
        <v>10</v>
      </c>
      <c r="D920" t="s">
        <v>11</v>
      </c>
      <c r="E920">
        <v>18978</v>
      </c>
      <c r="F920">
        <v>-1072</v>
      </c>
      <c r="G920" t="s">
        <v>16</v>
      </c>
    </row>
    <row r="921" spans="1:7" x14ac:dyDescent="0.3">
      <c r="A921">
        <v>920</v>
      </c>
      <c r="B921" s="4">
        <v>45392</v>
      </c>
      <c r="C921" t="s">
        <v>10</v>
      </c>
      <c r="D921" t="s">
        <v>8</v>
      </c>
      <c r="E921">
        <v>11890</v>
      </c>
      <c r="F921">
        <v>577</v>
      </c>
      <c r="G921" t="s">
        <v>14</v>
      </c>
    </row>
    <row r="922" spans="1:7" x14ac:dyDescent="0.3">
      <c r="A922">
        <v>921</v>
      </c>
      <c r="B922" s="4">
        <v>45343</v>
      </c>
      <c r="C922" t="s">
        <v>7</v>
      </c>
      <c r="D922" t="s">
        <v>11</v>
      </c>
      <c r="E922">
        <v>25698</v>
      </c>
      <c r="F922">
        <v>3284</v>
      </c>
      <c r="G922" t="s">
        <v>9</v>
      </c>
    </row>
    <row r="923" spans="1:7" x14ac:dyDescent="0.3">
      <c r="A923">
        <v>922</v>
      </c>
      <c r="B923" s="4">
        <v>45592</v>
      </c>
      <c r="C923" t="s">
        <v>15</v>
      </c>
      <c r="D923" t="s">
        <v>11</v>
      </c>
      <c r="E923">
        <v>39739</v>
      </c>
      <c r="F923">
        <v>6050</v>
      </c>
      <c r="G923" t="s">
        <v>16</v>
      </c>
    </row>
    <row r="924" spans="1:7" x14ac:dyDescent="0.3">
      <c r="A924">
        <v>923</v>
      </c>
      <c r="B924" s="4">
        <v>45342</v>
      </c>
      <c r="C924" t="s">
        <v>10</v>
      </c>
      <c r="D924" t="s">
        <v>8</v>
      </c>
      <c r="E924">
        <v>37481</v>
      </c>
      <c r="F924">
        <v>9095</v>
      </c>
      <c r="G924" t="s">
        <v>9</v>
      </c>
    </row>
    <row r="925" spans="1:7" x14ac:dyDescent="0.3">
      <c r="A925">
        <v>924</v>
      </c>
      <c r="B925" s="4">
        <v>45362</v>
      </c>
      <c r="C925" t="s">
        <v>17</v>
      </c>
      <c r="D925" t="s">
        <v>11</v>
      </c>
      <c r="E925">
        <v>34205</v>
      </c>
      <c r="F925">
        <v>1287</v>
      </c>
      <c r="G925" t="s">
        <v>16</v>
      </c>
    </row>
    <row r="926" spans="1:7" x14ac:dyDescent="0.3">
      <c r="A926">
        <v>925</v>
      </c>
      <c r="B926" s="4">
        <v>45492</v>
      </c>
      <c r="C926" t="s">
        <v>15</v>
      </c>
      <c r="D926" t="s">
        <v>11</v>
      </c>
      <c r="E926">
        <v>6206</v>
      </c>
      <c r="F926">
        <v>788</v>
      </c>
      <c r="G926" t="s">
        <v>16</v>
      </c>
    </row>
    <row r="927" spans="1:7" x14ac:dyDescent="0.3">
      <c r="A927">
        <v>926</v>
      </c>
      <c r="B927" s="4">
        <v>45394</v>
      </c>
      <c r="C927" t="s">
        <v>7</v>
      </c>
      <c r="D927" t="s">
        <v>8</v>
      </c>
      <c r="E927">
        <v>4801</v>
      </c>
      <c r="F927">
        <v>215</v>
      </c>
      <c r="G927" t="s">
        <v>13</v>
      </c>
    </row>
    <row r="928" spans="1:7" x14ac:dyDescent="0.3">
      <c r="A928">
        <v>927</v>
      </c>
      <c r="B928" s="4">
        <v>45429</v>
      </c>
      <c r="C928" t="s">
        <v>10</v>
      </c>
      <c r="D928" t="s">
        <v>11</v>
      </c>
      <c r="E928">
        <v>35132</v>
      </c>
      <c r="F928">
        <v>488</v>
      </c>
      <c r="G928" t="s">
        <v>13</v>
      </c>
    </row>
    <row r="929" spans="1:7" x14ac:dyDescent="0.3">
      <c r="A929">
        <v>928</v>
      </c>
      <c r="B929" s="4">
        <v>45347</v>
      </c>
      <c r="C929" t="s">
        <v>17</v>
      </c>
      <c r="D929" t="s">
        <v>11</v>
      </c>
      <c r="E929">
        <v>16171</v>
      </c>
      <c r="F929">
        <v>9666</v>
      </c>
      <c r="G929" t="s">
        <v>14</v>
      </c>
    </row>
    <row r="930" spans="1:7" x14ac:dyDescent="0.3">
      <c r="A930">
        <v>929</v>
      </c>
      <c r="B930" s="4">
        <v>45583</v>
      </c>
      <c r="C930" t="s">
        <v>7</v>
      </c>
      <c r="D930" t="s">
        <v>11</v>
      </c>
      <c r="E930">
        <v>35556</v>
      </c>
      <c r="F930">
        <v>328</v>
      </c>
      <c r="G930" t="s">
        <v>16</v>
      </c>
    </row>
    <row r="931" spans="1:7" x14ac:dyDescent="0.3">
      <c r="A931">
        <v>930</v>
      </c>
      <c r="B931" s="4">
        <v>45416</v>
      </c>
      <c r="C931" t="s">
        <v>15</v>
      </c>
      <c r="D931" t="s">
        <v>8</v>
      </c>
      <c r="E931">
        <v>26149</v>
      </c>
      <c r="F931">
        <v>6780</v>
      </c>
      <c r="G931" t="s">
        <v>14</v>
      </c>
    </row>
    <row r="932" spans="1:7" x14ac:dyDescent="0.3">
      <c r="A932">
        <v>931</v>
      </c>
      <c r="B932" s="4">
        <v>45300</v>
      </c>
      <c r="C932" t="s">
        <v>12</v>
      </c>
      <c r="D932" t="s">
        <v>8</v>
      </c>
      <c r="E932">
        <v>8701</v>
      </c>
      <c r="F932">
        <v>-254</v>
      </c>
      <c r="G932" t="s">
        <v>14</v>
      </c>
    </row>
    <row r="933" spans="1:7" x14ac:dyDescent="0.3">
      <c r="A933">
        <v>932</v>
      </c>
      <c r="B933" s="4">
        <v>45371</v>
      </c>
      <c r="C933" t="s">
        <v>7</v>
      </c>
      <c r="D933" t="s">
        <v>8</v>
      </c>
      <c r="E933">
        <v>33468</v>
      </c>
      <c r="F933">
        <v>-1972</v>
      </c>
      <c r="G933" t="s">
        <v>9</v>
      </c>
    </row>
    <row r="934" spans="1:7" x14ac:dyDescent="0.3">
      <c r="A934">
        <v>933</v>
      </c>
      <c r="B934" s="4">
        <v>45544</v>
      </c>
      <c r="C934" t="s">
        <v>15</v>
      </c>
      <c r="D934" t="s">
        <v>8</v>
      </c>
      <c r="E934">
        <v>23788</v>
      </c>
      <c r="F934">
        <v>9553</v>
      </c>
      <c r="G934" t="s">
        <v>13</v>
      </c>
    </row>
    <row r="935" spans="1:7" x14ac:dyDescent="0.3">
      <c r="A935">
        <v>934</v>
      </c>
      <c r="B935" s="4">
        <v>45396</v>
      </c>
      <c r="C935" t="s">
        <v>10</v>
      </c>
      <c r="D935" t="s">
        <v>11</v>
      </c>
      <c r="E935">
        <v>49319</v>
      </c>
      <c r="F935">
        <v>4263</v>
      </c>
      <c r="G935" t="s">
        <v>16</v>
      </c>
    </row>
    <row r="936" spans="1:7" x14ac:dyDescent="0.3">
      <c r="A936">
        <v>935</v>
      </c>
      <c r="B936" s="4">
        <v>45438</v>
      </c>
      <c r="C936" t="s">
        <v>7</v>
      </c>
      <c r="D936" t="s">
        <v>11</v>
      </c>
      <c r="E936">
        <v>40609</v>
      </c>
      <c r="F936">
        <v>6675</v>
      </c>
      <c r="G936" t="s">
        <v>16</v>
      </c>
    </row>
    <row r="937" spans="1:7" x14ac:dyDescent="0.3">
      <c r="A937">
        <v>936</v>
      </c>
      <c r="B937" s="4">
        <v>45389</v>
      </c>
      <c r="C937" t="s">
        <v>10</v>
      </c>
      <c r="D937" t="s">
        <v>8</v>
      </c>
      <c r="E937">
        <v>38347</v>
      </c>
      <c r="F937">
        <v>6319</v>
      </c>
      <c r="G937" t="s">
        <v>16</v>
      </c>
    </row>
    <row r="938" spans="1:7" x14ac:dyDescent="0.3">
      <c r="A938">
        <v>937</v>
      </c>
      <c r="B938" s="4">
        <v>45381</v>
      </c>
      <c r="C938" t="s">
        <v>17</v>
      </c>
      <c r="D938" t="s">
        <v>11</v>
      </c>
      <c r="E938">
        <v>24030</v>
      </c>
      <c r="F938">
        <v>5502</v>
      </c>
      <c r="G938" t="s">
        <v>16</v>
      </c>
    </row>
    <row r="939" spans="1:7" x14ac:dyDescent="0.3">
      <c r="A939">
        <v>938</v>
      </c>
      <c r="B939" s="4">
        <v>45466</v>
      </c>
      <c r="C939" t="s">
        <v>15</v>
      </c>
      <c r="D939" t="s">
        <v>8</v>
      </c>
      <c r="E939">
        <v>11748</v>
      </c>
      <c r="F939">
        <v>8140</v>
      </c>
      <c r="G939" t="s">
        <v>9</v>
      </c>
    </row>
    <row r="940" spans="1:7" x14ac:dyDescent="0.3">
      <c r="A940">
        <v>939</v>
      </c>
      <c r="B940" s="4">
        <v>45420</v>
      </c>
      <c r="C940" t="s">
        <v>10</v>
      </c>
      <c r="D940" t="s">
        <v>8</v>
      </c>
      <c r="E940">
        <v>9288</v>
      </c>
      <c r="F940">
        <v>3390</v>
      </c>
      <c r="G940" t="s">
        <v>16</v>
      </c>
    </row>
    <row r="941" spans="1:7" x14ac:dyDescent="0.3">
      <c r="A941">
        <v>940</v>
      </c>
      <c r="B941" s="4">
        <v>45374</v>
      </c>
      <c r="C941" t="s">
        <v>7</v>
      </c>
      <c r="D941" t="s">
        <v>11</v>
      </c>
      <c r="E941">
        <v>19303</v>
      </c>
      <c r="F941">
        <v>-1160</v>
      </c>
      <c r="G941" t="s">
        <v>14</v>
      </c>
    </row>
    <row r="942" spans="1:7" x14ac:dyDescent="0.3">
      <c r="A942">
        <v>941</v>
      </c>
      <c r="B942" s="4">
        <v>45354</v>
      </c>
      <c r="C942" t="s">
        <v>7</v>
      </c>
      <c r="D942" t="s">
        <v>11</v>
      </c>
      <c r="E942">
        <v>2549</v>
      </c>
      <c r="F942">
        <v>8707</v>
      </c>
      <c r="G942" t="s">
        <v>9</v>
      </c>
    </row>
    <row r="943" spans="1:7" x14ac:dyDescent="0.3">
      <c r="A943">
        <v>942</v>
      </c>
      <c r="B943" s="4">
        <v>45549</v>
      </c>
      <c r="C943" t="s">
        <v>7</v>
      </c>
      <c r="D943" t="s">
        <v>8</v>
      </c>
      <c r="E943">
        <v>37522</v>
      </c>
      <c r="F943">
        <v>1232</v>
      </c>
      <c r="G943" t="s">
        <v>13</v>
      </c>
    </row>
    <row r="944" spans="1:7" x14ac:dyDescent="0.3">
      <c r="A944">
        <v>943</v>
      </c>
      <c r="B944" s="4">
        <v>45317</v>
      </c>
      <c r="C944" t="s">
        <v>12</v>
      </c>
      <c r="D944" t="s">
        <v>11</v>
      </c>
      <c r="E944">
        <v>9690</v>
      </c>
      <c r="F944">
        <v>7824</v>
      </c>
      <c r="G944" t="s">
        <v>14</v>
      </c>
    </row>
    <row r="945" spans="1:7" x14ac:dyDescent="0.3">
      <c r="A945">
        <v>944</v>
      </c>
      <c r="B945" s="4">
        <v>45633</v>
      </c>
      <c r="C945" t="s">
        <v>12</v>
      </c>
      <c r="D945" t="s">
        <v>8</v>
      </c>
      <c r="E945">
        <v>635</v>
      </c>
      <c r="F945">
        <v>9952</v>
      </c>
      <c r="G945" t="s">
        <v>14</v>
      </c>
    </row>
    <row r="946" spans="1:7" x14ac:dyDescent="0.3">
      <c r="A946">
        <v>945</v>
      </c>
      <c r="B946" s="4">
        <v>45455</v>
      </c>
      <c r="C946" t="s">
        <v>15</v>
      </c>
      <c r="D946" t="s">
        <v>8</v>
      </c>
      <c r="E946">
        <v>31566</v>
      </c>
      <c r="F946">
        <v>5658</v>
      </c>
      <c r="G946" t="s">
        <v>9</v>
      </c>
    </row>
    <row r="947" spans="1:7" x14ac:dyDescent="0.3">
      <c r="A947">
        <v>946</v>
      </c>
      <c r="B947" s="4">
        <v>45586</v>
      </c>
      <c r="C947" t="s">
        <v>15</v>
      </c>
      <c r="D947" t="s">
        <v>8</v>
      </c>
      <c r="E947">
        <v>46217</v>
      </c>
      <c r="F947">
        <v>8689</v>
      </c>
      <c r="G947" t="s">
        <v>13</v>
      </c>
    </row>
    <row r="948" spans="1:7" x14ac:dyDescent="0.3">
      <c r="A948">
        <v>947</v>
      </c>
      <c r="B948" s="4">
        <v>45415</v>
      </c>
      <c r="C948" t="s">
        <v>12</v>
      </c>
      <c r="D948" t="s">
        <v>8</v>
      </c>
      <c r="E948">
        <v>21761</v>
      </c>
      <c r="F948">
        <v>9662</v>
      </c>
      <c r="G948" t="s">
        <v>14</v>
      </c>
    </row>
    <row r="949" spans="1:7" x14ac:dyDescent="0.3">
      <c r="A949">
        <v>948</v>
      </c>
      <c r="B949" s="4">
        <v>45508</v>
      </c>
      <c r="C949" t="s">
        <v>12</v>
      </c>
      <c r="D949" t="s">
        <v>8</v>
      </c>
      <c r="E949">
        <v>28649</v>
      </c>
      <c r="F949">
        <v>7763</v>
      </c>
      <c r="G949" t="s">
        <v>16</v>
      </c>
    </row>
    <row r="950" spans="1:7" x14ac:dyDescent="0.3">
      <c r="A950">
        <v>949</v>
      </c>
      <c r="B950" s="4">
        <v>45302</v>
      </c>
      <c r="C950" t="s">
        <v>10</v>
      </c>
      <c r="D950" t="s">
        <v>11</v>
      </c>
      <c r="E950">
        <v>21568</v>
      </c>
      <c r="F950">
        <v>3904</v>
      </c>
      <c r="G950" t="s">
        <v>13</v>
      </c>
    </row>
    <row r="951" spans="1:7" x14ac:dyDescent="0.3">
      <c r="A951">
        <v>950</v>
      </c>
      <c r="B951" s="4">
        <v>45618</v>
      </c>
      <c r="C951" t="s">
        <v>7</v>
      </c>
      <c r="D951" t="s">
        <v>11</v>
      </c>
      <c r="E951">
        <v>13673</v>
      </c>
      <c r="F951">
        <v>392</v>
      </c>
      <c r="G951" t="s">
        <v>14</v>
      </c>
    </row>
    <row r="952" spans="1:7" x14ac:dyDescent="0.3">
      <c r="A952">
        <v>951</v>
      </c>
      <c r="B952" s="4">
        <v>45620</v>
      </c>
      <c r="C952" t="s">
        <v>7</v>
      </c>
      <c r="D952" t="s">
        <v>11</v>
      </c>
      <c r="E952">
        <v>22058</v>
      </c>
      <c r="F952">
        <v>3482</v>
      </c>
      <c r="G952" t="s">
        <v>13</v>
      </c>
    </row>
    <row r="953" spans="1:7" x14ac:dyDescent="0.3">
      <c r="A953">
        <v>952</v>
      </c>
      <c r="B953" s="4">
        <v>45637</v>
      </c>
      <c r="C953" t="s">
        <v>7</v>
      </c>
      <c r="D953" t="s">
        <v>11</v>
      </c>
      <c r="E953">
        <v>15986</v>
      </c>
      <c r="F953">
        <v>1189</v>
      </c>
      <c r="G953" t="s">
        <v>13</v>
      </c>
    </row>
    <row r="954" spans="1:7" x14ac:dyDescent="0.3">
      <c r="A954">
        <v>953</v>
      </c>
      <c r="B954" s="4">
        <v>45330</v>
      </c>
      <c r="C954" t="s">
        <v>12</v>
      </c>
      <c r="D954" t="s">
        <v>8</v>
      </c>
      <c r="E954">
        <v>26639</v>
      </c>
      <c r="F954">
        <v>-1681</v>
      </c>
      <c r="G954" t="s">
        <v>16</v>
      </c>
    </row>
    <row r="955" spans="1:7" x14ac:dyDescent="0.3">
      <c r="A955">
        <v>954</v>
      </c>
      <c r="B955" s="4">
        <v>45348</v>
      </c>
      <c r="C955" t="s">
        <v>10</v>
      </c>
      <c r="D955" t="s">
        <v>8</v>
      </c>
      <c r="E955">
        <v>43735</v>
      </c>
      <c r="F955">
        <v>4057</v>
      </c>
      <c r="G955" t="s">
        <v>14</v>
      </c>
    </row>
    <row r="956" spans="1:7" x14ac:dyDescent="0.3">
      <c r="A956">
        <v>955</v>
      </c>
      <c r="B956" s="4">
        <v>45331</v>
      </c>
      <c r="C956" t="s">
        <v>12</v>
      </c>
      <c r="D956" t="s">
        <v>11</v>
      </c>
      <c r="E956">
        <v>14648</v>
      </c>
      <c r="F956">
        <v>3857</v>
      </c>
      <c r="G956" t="s">
        <v>9</v>
      </c>
    </row>
    <row r="957" spans="1:7" x14ac:dyDescent="0.3">
      <c r="A957">
        <v>956</v>
      </c>
      <c r="B957" s="4">
        <v>45485</v>
      </c>
      <c r="C957" t="s">
        <v>10</v>
      </c>
      <c r="D957" t="s">
        <v>8</v>
      </c>
      <c r="E957">
        <v>45056</v>
      </c>
      <c r="F957">
        <v>9652</v>
      </c>
      <c r="G957" t="s">
        <v>16</v>
      </c>
    </row>
    <row r="958" spans="1:7" x14ac:dyDescent="0.3">
      <c r="A958">
        <v>957</v>
      </c>
      <c r="B958" s="4">
        <v>45500</v>
      </c>
      <c r="C958" t="s">
        <v>17</v>
      </c>
      <c r="D958" t="s">
        <v>11</v>
      </c>
      <c r="E958">
        <v>8389</v>
      </c>
      <c r="F958">
        <v>2342</v>
      </c>
      <c r="G958" t="s">
        <v>9</v>
      </c>
    </row>
    <row r="959" spans="1:7" x14ac:dyDescent="0.3">
      <c r="A959">
        <v>958</v>
      </c>
      <c r="B959" s="4">
        <v>45576</v>
      </c>
      <c r="C959" t="s">
        <v>10</v>
      </c>
      <c r="D959" t="s">
        <v>11</v>
      </c>
      <c r="E959">
        <v>25436</v>
      </c>
      <c r="F959">
        <v>2501</v>
      </c>
      <c r="G959" t="s">
        <v>13</v>
      </c>
    </row>
    <row r="960" spans="1:7" x14ac:dyDescent="0.3">
      <c r="A960">
        <v>959</v>
      </c>
      <c r="B960" s="4">
        <v>45607</v>
      </c>
      <c r="C960" t="s">
        <v>15</v>
      </c>
      <c r="D960" t="s">
        <v>11</v>
      </c>
      <c r="E960">
        <v>40902</v>
      </c>
      <c r="F960">
        <v>8470</v>
      </c>
      <c r="G960" t="s">
        <v>9</v>
      </c>
    </row>
    <row r="961" spans="1:7" x14ac:dyDescent="0.3">
      <c r="A961">
        <v>960</v>
      </c>
      <c r="B961" s="4">
        <v>45350</v>
      </c>
      <c r="C961" t="s">
        <v>12</v>
      </c>
      <c r="D961" t="s">
        <v>11</v>
      </c>
      <c r="E961">
        <v>40750</v>
      </c>
      <c r="F961">
        <v>8974</v>
      </c>
      <c r="G961" t="s">
        <v>9</v>
      </c>
    </row>
    <row r="962" spans="1:7" x14ac:dyDescent="0.3">
      <c r="A962">
        <v>961</v>
      </c>
      <c r="B962" s="4">
        <v>45421</v>
      </c>
      <c r="C962" t="s">
        <v>17</v>
      </c>
      <c r="D962" t="s">
        <v>11</v>
      </c>
      <c r="E962">
        <v>26607</v>
      </c>
      <c r="F962">
        <v>6905</v>
      </c>
      <c r="G962" t="s">
        <v>9</v>
      </c>
    </row>
    <row r="963" spans="1:7" x14ac:dyDescent="0.3">
      <c r="A963">
        <v>962</v>
      </c>
      <c r="B963" s="4">
        <v>45573</v>
      </c>
      <c r="C963" t="s">
        <v>10</v>
      </c>
      <c r="D963" t="s">
        <v>8</v>
      </c>
      <c r="E963">
        <v>19785</v>
      </c>
      <c r="F963">
        <v>7872</v>
      </c>
      <c r="G963" t="s">
        <v>16</v>
      </c>
    </row>
    <row r="964" spans="1:7" x14ac:dyDescent="0.3">
      <c r="A964">
        <v>963</v>
      </c>
      <c r="B964" s="4">
        <v>45638</v>
      </c>
      <c r="C964" t="s">
        <v>15</v>
      </c>
      <c r="D964" t="s">
        <v>11</v>
      </c>
      <c r="E964">
        <v>39678</v>
      </c>
      <c r="F964">
        <v>-1871</v>
      </c>
      <c r="G964" t="s">
        <v>9</v>
      </c>
    </row>
    <row r="965" spans="1:7" x14ac:dyDescent="0.3">
      <c r="A965">
        <v>964</v>
      </c>
      <c r="B965" s="4">
        <v>45364</v>
      </c>
      <c r="C965" t="s">
        <v>10</v>
      </c>
      <c r="D965" t="s">
        <v>11</v>
      </c>
      <c r="E965">
        <v>42006</v>
      </c>
      <c r="F965">
        <v>6756</v>
      </c>
      <c r="G965" t="s">
        <v>13</v>
      </c>
    </row>
    <row r="966" spans="1:7" x14ac:dyDescent="0.3">
      <c r="A966">
        <v>965</v>
      </c>
      <c r="B966" s="4">
        <v>45655</v>
      </c>
      <c r="C966" t="s">
        <v>10</v>
      </c>
      <c r="D966" t="s">
        <v>11</v>
      </c>
      <c r="E966">
        <v>46023</v>
      </c>
      <c r="F966">
        <v>1939</v>
      </c>
      <c r="G966" t="s">
        <v>16</v>
      </c>
    </row>
    <row r="967" spans="1:7" x14ac:dyDescent="0.3">
      <c r="A967">
        <v>966</v>
      </c>
      <c r="B967" s="4">
        <v>45342</v>
      </c>
      <c r="C967" t="s">
        <v>17</v>
      </c>
      <c r="D967" t="s">
        <v>8</v>
      </c>
      <c r="E967">
        <v>11166</v>
      </c>
      <c r="F967">
        <v>4543</v>
      </c>
      <c r="G967" t="s">
        <v>16</v>
      </c>
    </row>
    <row r="968" spans="1:7" x14ac:dyDescent="0.3">
      <c r="A968">
        <v>967</v>
      </c>
      <c r="B968" s="4">
        <v>45656</v>
      </c>
      <c r="C968" t="s">
        <v>10</v>
      </c>
      <c r="D968" t="s">
        <v>11</v>
      </c>
      <c r="E968">
        <v>3824</v>
      </c>
      <c r="F968">
        <v>5419</v>
      </c>
      <c r="G968" t="s">
        <v>9</v>
      </c>
    </row>
    <row r="969" spans="1:7" x14ac:dyDescent="0.3">
      <c r="A969">
        <v>968</v>
      </c>
      <c r="B969" s="4">
        <v>45567</v>
      </c>
      <c r="C969" t="s">
        <v>10</v>
      </c>
      <c r="D969" t="s">
        <v>8</v>
      </c>
      <c r="E969">
        <v>12069</v>
      </c>
      <c r="F969">
        <v>3565</v>
      </c>
      <c r="G969" t="s">
        <v>9</v>
      </c>
    </row>
    <row r="970" spans="1:7" x14ac:dyDescent="0.3">
      <c r="A970">
        <v>969</v>
      </c>
      <c r="B970" s="4">
        <v>45418</v>
      </c>
      <c r="C970" t="s">
        <v>17</v>
      </c>
      <c r="D970" t="s">
        <v>11</v>
      </c>
      <c r="E970">
        <v>26140</v>
      </c>
      <c r="F970">
        <v>7386</v>
      </c>
      <c r="G970" t="s">
        <v>9</v>
      </c>
    </row>
    <row r="971" spans="1:7" x14ac:dyDescent="0.3">
      <c r="A971">
        <v>970</v>
      </c>
      <c r="B971" s="4">
        <v>45490</v>
      </c>
      <c r="C971" t="s">
        <v>12</v>
      </c>
      <c r="D971" t="s">
        <v>8</v>
      </c>
      <c r="E971">
        <v>42170</v>
      </c>
      <c r="F971">
        <v>3975</v>
      </c>
      <c r="G971" t="s">
        <v>16</v>
      </c>
    </row>
    <row r="972" spans="1:7" x14ac:dyDescent="0.3">
      <c r="A972">
        <v>971</v>
      </c>
      <c r="B972" s="4">
        <v>45317</v>
      </c>
      <c r="C972" t="s">
        <v>7</v>
      </c>
      <c r="D972" t="s">
        <v>8</v>
      </c>
      <c r="E972">
        <v>14801</v>
      </c>
      <c r="F972">
        <v>4274</v>
      </c>
      <c r="G972" t="s">
        <v>16</v>
      </c>
    </row>
    <row r="973" spans="1:7" x14ac:dyDescent="0.3">
      <c r="A973">
        <v>972</v>
      </c>
      <c r="B973" s="4">
        <v>45390</v>
      </c>
      <c r="C973" t="s">
        <v>15</v>
      </c>
      <c r="D973" t="s">
        <v>11</v>
      </c>
      <c r="E973">
        <v>26851</v>
      </c>
      <c r="F973">
        <v>-1889</v>
      </c>
      <c r="G973" t="s">
        <v>14</v>
      </c>
    </row>
    <row r="974" spans="1:7" x14ac:dyDescent="0.3">
      <c r="A974">
        <v>973</v>
      </c>
      <c r="B974" s="4">
        <v>45363</v>
      </c>
      <c r="C974" t="s">
        <v>10</v>
      </c>
      <c r="D974" t="s">
        <v>8</v>
      </c>
      <c r="E974">
        <v>33442</v>
      </c>
      <c r="F974">
        <v>7462</v>
      </c>
      <c r="G974" t="s">
        <v>9</v>
      </c>
    </row>
    <row r="975" spans="1:7" x14ac:dyDescent="0.3">
      <c r="A975">
        <v>974</v>
      </c>
      <c r="B975" s="4">
        <v>45601</v>
      </c>
      <c r="C975" t="s">
        <v>10</v>
      </c>
      <c r="D975" t="s">
        <v>11</v>
      </c>
      <c r="E975">
        <v>4717</v>
      </c>
      <c r="F975">
        <v>5225</v>
      </c>
      <c r="G975" t="s">
        <v>9</v>
      </c>
    </row>
    <row r="976" spans="1:7" x14ac:dyDescent="0.3">
      <c r="A976">
        <v>975</v>
      </c>
      <c r="B976" s="4">
        <v>45382</v>
      </c>
      <c r="C976" t="s">
        <v>12</v>
      </c>
      <c r="D976" t="s">
        <v>8</v>
      </c>
      <c r="E976">
        <v>25368</v>
      </c>
      <c r="F976">
        <v>7920</v>
      </c>
      <c r="G976" t="s">
        <v>16</v>
      </c>
    </row>
    <row r="977" spans="1:7" x14ac:dyDescent="0.3">
      <c r="A977">
        <v>976</v>
      </c>
      <c r="B977" s="4">
        <v>45364</v>
      </c>
      <c r="C977" t="s">
        <v>10</v>
      </c>
      <c r="D977" t="s">
        <v>11</v>
      </c>
      <c r="E977">
        <v>32565</v>
      </c>
      <c r="F977">
        <v>6248</v>
      </c>
      <c r="G977" t="s">
        <v>16</v>
      </c>
    </row>
    <row r="978" spans="1:7" x14ac:dyDescent="0.3">
      <c r="A978">
        <v>977</v>
      </c>
      <c r="B978" s="4">
        <v>45450</v>
      </c>
      <c r="C978" t="s">
        <v>17</v>
      </c>
      <c r="D978" t="s">
        <v>8</v>
      </c>
      <c r="E978">
        <v>28187</v>
      </c>
      <c r="F978">
        <v>4362</v>
      </c>
      <c r="G978" t="s">
        <v>14</v>
      </c>
    </row>
    <row r="979" spans="1:7" x14ac:dyDescent="0.3">
      <c r="A979">
        <v>978</v>
      </c>
      <c r="B979" s="4">
        <v>45399</v>
      </c>
      <c r="C979" t="s">
        <v>17</v>
      </c>
      <c r="D979" t="s">
        <v>8</v>
      </c>
      <c r="E979">
        <v>8647</v>
      </c>
      <c r="F979">
        <v>7217</v>
      </c>
      <c r="G979" t="s">
        <v>9</v>
      </c>
    </row>
    <row r="980" spans="1:7" x14ac:dyDescent="0.3">
      <c r="A980">
        <v>979</v>
      </c>
      <c r="B980" s="4">
        <v>45316</v>
      </c>
      <c r="C980" t="s">
        <v>12</v>
      </c>
      <c r="D980" t="s">
        <v>8</v>
      </c>
      <c r="E980">
        <v>42774</v>
      </c>
      <c r="F980">
        <v>-1159</v>
      </c>
      <c r="G980" t="s">
        <v>14</v>
      </c>
    </row>
    <row r="981" spans="1:7" x14ac:dyDescent="0.3">
      <c r="A981">
        <v>980</v>
      </c>
      <c r="B981" s="4">
        <v>45340</v>
      </c>
      <c r="C981" t="s">
        <v>10</v>
      </c>
      <c r="D981" t="s">
        <v>8</v>
      </c>
      <c r="E981">
        <v>6061</v>
      </c>
      <c r="F981">
        <v>-766</v>
      </c>
      <c r="G981" t="s">
        <v>16</v>
      </c>
    </row>
    <row r="982" spans="1:7" x14ac:dyDescent="0.3">
      <c r="A982">
        <v>981</v>
      </c>
      <c r="B982" s="4">
        <v>45496</v>
      </c>
      <c r="C982" t="s">
        <v>10</v>
      </c>
      <c r="D982" t="s">
        <v>8</v>
      </c>
      <c r="E982">
        <v>45265</v>
      </c>
      <c r="F982">
        <v>7830</v>
      </c>
      <c r="G982" t="s">
        <v>16</v>
      </c>
    </row>
    <row r="983" spans="1:7" x14ac:dyDescent="0.3">
      <c r="A983">
        <v>982</v>
      </c>
      <c r="B983" s="4">
        <v>45604</v>
      </c>
      <c r="C983" t="s">
        <v>10</v>
      </c>
      <c r="D983" t="s">
        <v>11</v>
      </c>
      <c r="E983">
        <v>49742</v>
      </c>
      <c r="F983">
        <v>6476</v>
      </c>
      <c r="G983" t="s">
        <v>9</v>
      </c>
    </row>
    <row r="984" spans="1:7" x14ac:dyDescent="0.3">
      <c r="A984">
        <v>983</v>
      </c>
      <c r="B984" s="4">
        <v>45361</v>
      </c>
      <c r="C984" t="s">
        <v>10</v>
      </c>
      <c r="D984" t="s">
        <v>8</v>
      </c>
      <c r="E984">
        <v>42276</v>
      </c>
      <c r="F984">
        <v>8638</v>
      </c>
      <c r="G984" t="s">
        <v>13</v>
      </c>
    </row>
    <row r="985" spans="1:7" x14ac:dyDescent="0.3">
      <c r="A985">
        <v>984</v>
      </c>
      <c r="B985" s="4">
        <v>45376</v>
      </c>
      <c r="C985" t="s">
        <v>12</v>
      </c>
      <c r="D985" t="s">
        <v>11</v>
      </c>
      <c r="E985">
        <v>4847</v>
      </c>
      <c r="F985">
        <v>720</v>
      </c>
      <c r="G985" t="s">
        <v>9</v>
      </c>
    </row>
    <row r="986" spans="1:7" x14ac:dyDescent="0.3">
      <c r="A986">
        <v>985</v>
      </c>
      <c r="B986" s="4">
        <v>45616</v>
      </c>
      <c r="C986" t="s">
        <v>17</v>
      </c>
      <c r="D986" t="s">
        <v>11</v>
      </c>
      <c r="E986">
        <v>24647</v>
      </c>
      <c r="F986">
        <v>-1282</v>
      </c>
      <c r="G986" t="s">
        <v>16</v>
      </c>
    </row>
    <row r="987" spans="1:7" x14ac:dyDescent="0.3">
      <c r="A987">
        <v>986</v>
      </c>
      <c r="B987" s="4">
        <v>45404</v>
      </c>
      <c r="C987" t="s">
        <v>10</v>
      </c>
      <c r="D987" t="s">
        <v>8</v>
      </c>
      <c r="E987">
        <v>27738</v>
      </c>
      <c r="F987">
        <v>4241</v>
      </c>
      <c r="G987" t="s">
        <v>13</v>
      </c>
    </row>
    <row r="988" spans="1:7" x14ac:dyDescent="0.3">
      <c r="A988">
        <v>987</v>
      </c>
      <c r="B988" s="4">
        <v>45522</v>
      </c>
      <c r="C988" t="s">
        <v>12</v>
      </c>
      <c r="D988" t="s">
        <v>11</v>
      </c>
      <c r="E988">
        <v>21057</v>
      </c>
      <c r="F988">
        <v>3809</v>
      </c>
      <c r="G988" t="s">
        <v>13</v>
      </c>
    </row>
    <row r="989" spans="1:7" x14ac:dyDescent="0.3">
      <c r="A989">
        <v>988</v>
      </c>
      <c r="B989" s="4">
        <v>45413</v>
      </c>
      <c r="C989" t="s">
        <v>15</v>
      </c>
      <c r="D989" t="s">
        <v>8</v>
      </c>
      <c r="E989">
        <v>30745</v>
      </c>
      <c r="F989">
        <v>-600</v>
      </c>
      <c r="G989" t="s">
        <v>13</v>
      </c>
    </row>
    <row r="990" spans="1:7" x14ac:dyDescent="0.3">
      <c r="A990">
        <v>989</v>
      </c>
      <c r="B990" s="4">
        <v>45426</v>
      </c>
      <c r="C990" t="s">
        <v>10</v>
      </c>
      <c r="D990" t="s">
        <v>8</v>
      </c>
      <c r="E990">
        <v>16534</v>
      </c>
      <c r="F990">
        <v>-276</v>
      </c>
      <c r="G990" t="s">
        <v>14</v>
      </c>
    </row>
    <row r="991" spans="1:7" x14ac:dyDescent="0.3">
      <c r="A991">
        <v>990</v>
      </c>
      <c r="B991" s="4">
        <v>45326</v>
      </c>
      <c r="C991" t="s">
        <v>12</v>
      </c>
      <c r="D991" t="s">
        <v>8</v>
      </c>
      <c r="E991">
        <v>25172</v>
      </c>
      <c r="F991">
        <v>7147</v>
      </c>
      <c r="G991" t="s">
        <v>16</v>
      </c>
    </row>
    <row r="992" spans="1:7" x14ac:dyDescent="0.3">
      <c r="A992">
        <v>991</v>
      </c>
      <c r="B992" s="4">
        <v>45485</v>
      </c>
      <c r="C992" t="s">
        <v>17</v>
      </c>
      <c r="D992" t="s">
        <v>8</v>
      </c>
      <c r="E992">
        <v>7817</v>
      </c>
      <c r="F992">
        <v>6094</v>
      </c>
      <c r="G992" t="s">
        <v>16</v>
      </c>
    </row>
    <row r="993" spans="1:7" x14ac:dyDescent="0.3">
      <c r="A993">
        <v>992</v>
      </c>
      <c r="B993" s="4">
        <v>45647</v>
      </c>
      <c r="C993" t="s">
        <v>12</v>
      </c>
      <c r="D993" t="s">
        <v>8</v>
      </c>
      <c r="E993">
        <v>41138</v>
      </c>
      <c r="F993">
        <v>8176</v>
      </c>
      <c r="G993" t="s">
        <v>14</v>
      </c>
    </row>
    <row r="994" spans="1:7" x14ac:dyDescent="0.3">
      <c r="A994">
        <v>993</v>
      </c>
      <c r="B994" s="4">
        <v>45462</v>
      </c>
      <c r="C994" t="s">
        <v>10</v>
      </c>
      <c r="D994" t="s">
        <v>11</v>
      </c>
      <c r="E994">
        <v>3069</v>
      </c>
      <c r="F994">
        <v>9668</v>
      </c>
      <c r="G994" t="s">
        <v>16</v>
      </c>
    </row>
    <row r="995" spans="1:7" x14ac:dyDescent="0.3">
      <c r="A995">
        <v>994</v>
      </c>
      <c r="B995" s="4">
        <v>45352</v>
      </c>
      <c r="C995" t="s">
        <v>17</v>
      </c>
      <c r="D995" t="s">
        <v>11</v>
      </c>
      <c r="E995">
        <v>28002</v>
      </c>
      <c r="F995">
        <v>1476</v>
      </c>
      <c r="G995" t="s">
        <v>9</v>
      </c>
    </row>
    <row r="996" spans="1:7" x14ac:dyDescent="0.3">
      <c r="A996">
        <v>995</v>
      </c>
      <c r="B996" s="4">
        <v>45547</v>
      </c>
      <c r="C996" t="s">
        <v>7</v>
      </c>
      <c r="D996" t="s">
        <v>8</v>
      </c>
      <c r="E996">
        <v>26384</v>
      </c>
      <c r="F996">
        <v>6951</v>
      </c>
      <c r="G996" t="s">
        <v>9</v>
      </c>
    </row>
    <row r="997" spans="1:7" x14ac:dyDescent="0.3">
      <c r="A997">
        <v>996</v>
      </c>
      <c r="B997" s="4">
        <v>45451</v>
      </c>
      <c r="C997" t="s">
        <v>12</v>
      </c>
      <c r="D997" t="s">
        <v>11</v>
      </c>
      <c r="E997">
        <v>34547</v>
      </c>
      <c r="F997">
        <v>-974</v>
      </c>
      <c r="G997" t="s">
        <v>9</v>
      </c>
    </row>
    <row r="998" spans="1:7" x14ac:dyDescent="0.3">
      <c r="A998">
        <v>997</v>
      </c>
      <c r="B998" s="4">
        <v>45633</v>
      </c>
      <c r="C998" t="s">
        <v>10</v>
      </c>
      <c r="D998" t="s">
        <v>11</v>
      </c>
      <c r="E998">
        <v>29608</v>
      </c>
      <c r="F998">
        <v>1602</v>
      </c>
      <c r="G998" t="s">
        <v>13</v>
      </c>
    </row>
    <row r="999" spans="1:7" x14ac:dyDescent="0.3">
      <c r="A999">
        <v>998</v>
      </c>
      <c r="B999" s="4">
        <v>45524</v>
      </c>
      <c r="C999" t="s">
        <v>12</v>
      </c>
      <c r="D999" t="s">
        <v>8</v>
      </c>
      <c r="E999">
        <v>40699</v>
      </c>
      <c r="F999">
        <v>2000</v>
      </c>
      <c r="G999" t="s">
        <v>16</v>
      </c>
    </row>
    <row r="1000" spans="1:7" x14ac:dyDescent="0.3">
      <c r="A1000">
        <v>999</v>
      </c>
      <c r="B1000" s="4">
        <v>45541</v>
      </c>
      <c r="C1000" t="s">
        <v>15</v>
      </c>
      <c r="D1000" t="s">
        <v>8</v>
      </c>
      <c r="E1000">
        <v>36088</v>
      </c>
      <c r="F1000">
        <v>-1048</v>
      </c>
      <c r="G1000" t="s">
        <v>9</v>
      </c>
    </row>
    <row r="1001" spans="1:7" x14ac:dyDescent="0.3">
      <c r="A1001">
        <v>1000</v>
      </c>
      <c r="B1001" s="4">
        <v>45633</v>
      </c>
      <c r="C1001" t="s">
        <v>10</v>
      </c>
      <c r="D1001" t="s">
        <v>8</v>
      </c>
      <c r="E1001">
        <v>32309</v>
      </c>
      <c r="F1001">
        <v>1962</v>
      </c>
      <c r="G1001" t="s">
        <v>16</v>
      </c>
    </row>
  </sheetData>
  <pageMargins left="0.75" right="0.75" top="1" bottom="1" header="0.5" footer="0.5"/>
  <tableParts count="1">
    <tablePart r:id="rId1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FFF68-075A-4F37-BE74-D7459FD48ED7}">
  <dimension ref="U4:W11"/>
  <sheetViews>
    <sheetView showGridLines="0" zoomScale="75" zoomScaleNormal="87" workbookViewId="0">
      <selection activeCell="T14" sqref="T14"/>
    </sheetView>
  </sheetViews>
  <sheetFormatPr defaultRowHeight="14.4" x14ac:dyDescent="0.3"/>
  <cols>
    <col min="1" max="1" width="1.44140625" customWidth="1"/>
    <col min="2" max="2" width="13.77734375" customWidth="1"/>
    <col min="3" max="3" width="6" customWidth="1"/>
    <col min="21" max="21" width="16.5546875" bestFit="1" customWidth="1"/>
    <col min="22" max="22" width="12" bestFit="1" customWidth="1"/>
    <col min="23" max="23" width="12.21875" bestFit="1" customWidth="1"/>
  </cols>
  <sheetData>
    <row r="4" spans="21:23" x14ac:dyDescent="0.3">
      <c r="U4" t="str">
        <f>PROPER(U2)</f>
        <v/>
      </c>
      <c r="V4" t="str">
        <f t="shared" ref="V4:W4" si="0">PROPER(V2)</f>
        <v/>
      </c>
      <c r="W4" t="str">
        <f t="shared" si="0"/>
        <v/>
      </c>
    </row>
    <row r="5" spans="21:23" x14ac:dyDescent="0.3">
      <c r="U5" t="s">
        <v>22</v>
      </c>
      <c r="V5" t="s">
        <v>20</v>
      </c>
      <c r="W5" t="s">
        <v>21</v>
      </c>
    </row>
    <row r="6" spans="21:23" x14ac:dyDescent="0.3">
      <c r="U6" s="7">
        <v>1000</v>
      </c>
      <c r="V6" s="7">
        <v>24411667</v>
      </c>
      <c r="W6" s="7">
        <v>4083692</v>
      </c>
    </row>
    <row r="7" spans="21:23" ht="8.4" customHeight="1" x14ac:dyDescent="0.3"/>
    <row r="10" spans="21:23" x14ac:dyDescent="0.3">
      <c r="U10">
        <f>Ecommerce!I45</f>
        <v>1000</v>
      </c>
      <c r="W10">
        <f>GETPIVOTDATA("Sum of Profit",$U$5)</f>
        <v>4083692</v>
      </c>
    </row>
    <row r="11" spans="21:23" x14ac:dyDescent="0.3">
      <c r="V11">
        <f>GETPIVOTDATA("Sum of Sales",$U$5)</f>
        <v>24411667</v>
      </c>
    </row>
  </sheetData>
  <pageMargins left="0.7" right="0.7" top="0.75" bottom="0.75" header="0.3" footer="0.3"/>
  <pageSetup orientation="portrait" r:id="rId2"/>
  <drawing r:id="rId3"/>
  <extLst>
    <ext xmlns:x14="http://schemas.microsoft.com/office/spreadsheetml/2009/9/main" uri="{05C60535-1F16-4fd2-B633-F4F36F0B64E0}">
      <x14:sparklineGroups xmlns:xm="http://schemas.microsoft.com/office/excel/2006/main">
        <x14:sparklineGroup displayEmptyCellsAs="gap" low="1" negative="1" xr2:uid="{F6FEAA39-EA31-4E31-B15D-4F4ACB4C4F0D}">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Sheet1!V11</xm:f>
              <xm:sqref>U11</xm:sqref>
            </x14:sparkline>
          </x14:sparklines>
        </x14:sparklineGroup>
      </x14:sparklineGroups>
    </ex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Ecommerce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manish kumar</cp:lastModifiedBy>
  <dcterms:created xsi:type="dcterms:W3CDTF">2026-03-23T10:35:58Z</dcterms:created>
  <dcterms:modified xsi:type="dcterms:W3CDTF">2026-05-07T07:39:55Z</dcterms:modified>
</cp:coreProperties>
</file>